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nguy\AppData\Local\Temp\claude\C--Users-Inguy-OneDrive-Desktop-T-i-li-u-h-c-t-p-Crane-trolley-main\8398a007-d2b8-4be8-b928-f5af10a443b8\scratchpad\fix\"/>
    </mc:Choice>
  </mc:AlternateContent>
  <xr:revisionPtr revIDLastSave="0" documentId="13_ncr:1_{A333D4CB-E7EC-45ED-A3C3-52FF49C43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Tong_hop" sheetId="2" r:id="rId2"/>
    <sheet name="Params" sheetId="3" r:id="rId3"/>
    <sheet name="GiaDinh_K3" sheetId="4" r:id="rId4"/>
    <sheet name="Catalogue" sheetId="5" r:id="rId5"/>
    <sheet name="Tính chọn" sheetId="6" r:id="rId6"/>
    <sheet name="Kiểm tra" sheetId="7" r:id="rId7"/>
    <sheet name="Dẫn xuất" sheetId="8" r:id="rId8"/>
    <sheet name="Mo_phong" sheetId="9" r:id="rId9"/>
    <sheet name="WCCA" sheetId="10" r:id="rId10"/>
    <sheet name="Quy_dao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" l="1"/>
  <c r="C24" i="8"/>
  <c r="D37" i="2"/>
  <c r="D36" i="2"/>
  <c r="D23" i="2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I16" i="10"/>
  <c r="H16" i="10"/>
  <c r="G16" i="10"/>
  <c r="F16" i="10"/>
  <c r="E16" i="10"/>
  <c r="D16" i="10"/>
  <c r="C16" i="10"/>
  <c r="B16" i="10"/>
  <c r="I7" i="10"/>
  <c r="H7" i="10"/>
  <c r="G7" i="10"/>
  <c r="F7" i="10"/>
  <c r="E7" i="10"/>
  <c r="D7" i="10"/>
  <c r="C7" i="10"/>
  <c r="B7" i="10"/>
  <c r="C71" i="9"/>
  <c r="G71" i="9" s="1"/>
  <c r="C70" i="9"/>
  <c r="G70" i="9" s="1"/>
  <c r="C69" i="9"/>
  <c r="G69" i="9" s="1"/>
  <c r="C68" i="9"/>
  <c r="G68" i="9" s="1"/>
  <c r="C67" i="9"/>
  <c r="G67" i="9" s="1"/>
  <c r="C66" i="9"/>
  <c r="G66" i="9" s="1"/>
  <c r="C65" i="9"/>
  <c r="G65" i="9" s="1"/>
  <c r="C64" i="9"/>
  <c r="G64" i="9" s="1"/>
  <c r="C63" i="9"/>
  <c r="G63" i="9" s="1"/>
  <c r="C62" i="9"/>
  <c r="G62" i="9" s="1"/>
  <c r="C61" i="9"/>
  <c r="G61" i="9" s="1"/>
  <c r="C60" i="9"/>
  <c r="G60" i="9" s="1"/>
  <c r="C59" i="9"/>
  <c r="G59" i="9" s="1"/>
  <c r="C58" i="9"/>
  <c r="G58" i="9" s="1"/>
  <c r="C57" i="9"/>
  <c r="G57" i="9" s="1"/>
  <c r="C56" i="9"/>
  <c r="G56" i="9" s="1"/>
  <c r="C54" i="9"/>
  <c r="G54" i="9" s="1"/>
  <c r="C53" i="9"/>
  <c r="G53" i="9" s="1"/>
  <c r="C45" i="9"/>
  <c r="G45" i="9" s="1"/>
  <c r="C44" i="9"/>
  <c r="G44" i="9" s="1"/>
  <c r="C43" i="9"/>
  <c r="G43" i="9" s="1"/>
  <c r="C40" i="9"/>
  <c r="G40" i="9" s="1"/>
  <c r="C39" i="9"/>
  <c r="G39" i="9" s="1"/>
  <c r="C38" i="9"/>
  <c r="G38" i="9" s="1"/>
  <c r="C36" i="9"/>
  <c r="G36" i="9" s="1"/>
  <c r="C34" i="9"/>
  <c r="G34" i="9" s="1"/>
  <c r="C33" i="9"/>
  <c r="G33" i="9" s="1"/>
  <c r="C32" i="9"/>
  <c r="G32" i="9" s="1"/>
  <c r="C31" i="9"/>
  <c r="G31" i="9" s="1"/>
  <c r="C30" i="9"/>
  <c r="G30" i="9" s="1"/>
  <c r="C29" i="9"/>
  <c r="G29" i="9" s="1"/>
  <c r="C28" i="9"/>
  <c r="G28" i="9" s="1"/>
  <c r="C25" i="9"/>
  <c r="G25" i="9" s="1"/>
  <c r="C19" i="9"/>
  <c r="G19" i="9" s="1"/>
  <c r="C18" i="9"/>
  <c r="G18" i="9" s="1"/>
  <c r="C15" i="9"/>
  <c r="G15" i="9" s="1"/>
  <c r="C12" i="9"/>
  <c r="G12" i="9" s="1"/>
  <c r="C11" i="9"/>
  <c r="G11" i="9" s="1"/>
  <c r="C10" i="9"/>
  <c r="G10" i="9" s="1"/>
  <c r="C9" i="9"/>
  <c r="G9" i="9" s="1"/>
  <c r="C8" i="9"/>
  <c r="G8" i="9" s="1"/>
  <c r="C7" i="9"/>
  <c r="G7" i="9" s="1"/>
  <c r="C21" i="8"/>
  <c r="C19" i="8"/>
  <c r="C18" i="8"/>
  <c r="C14" i="8"/>
  <c r="C11" i="8"/>
  <c r="C10" i="8"/>
  <c r="C9" i="8"/>
  <c r="C7" i="8"/>
  <c r="C43" i="7"/>
  <c r="C42" i="7"/>
  <c r="C41" i="7"/>
  <c r="E34" i="7"/>
  <c r="D33" i="7"/>
  <c r="E30" i="7"/>
  <c r="C30" i="7"/>
  <c r="C29" i="7"/>
  <c r="C28" i="7"/>
  <c r="D27" i="7"/>
  <c r="D26" i="7"/>
  <c r="D25" i="7"/>
  <c r="D24" i="7"/>
  <c r="D21" i="7"/>
  <c r="D20" i="7"/>
  <c r="C20" i="7"/>
  <c r="E20" i="7" s="1"/>
  <c r="D19" i="7"/>
  <c r="C19" i="7"/>
  <c r="E19" i="7" s="1"/>
  <c r="D18" i="7"/>
  <c r="C18" i="7"/>
  <c r="E18" i="7" s="1"/>
  <c r="D17" i="7"/>
  <c r="C15" i="7"/>
  <c r="C14" i="7"/>
  <c r="E9" i="7"/>
  <c r="D219" i="6"/>
  <c r="D217" i="6"/>
  <c r="D216" i="6"/>
  <c r="D215" i="6"/>
  <c r="C37" i="9" s="1"/>
  <c r="G37" i="9" s="1"/>
  <c r="D210" i="6"/>
  <c r="D195" i="6"/>
  <c r="D197" i="6" s="1"/>
  <c r="D177" i="6"/>
  <c r="C6" i="9" s="1"/>
  <c r="G6" i="9" s="1"/>
  <c r="D176" i="6"/>
  <c r="D175" i="6"/>
  <c r="D172" i="6"/>
  <c r="D169" i="6"/>
  <c r="D127" i="6"/>
  <c r="D99" i="6"/>
  <c r="D98" i="6"/>
  <c r="D96" i="6"/>
  <c r="D94" i="6"/>
  <c r="C31" i="7" s="1"/>
  <c r="E31" i="7" s="1"/>
  <c r="D85" i="6"/>
  <c r="D196" i="6" s="1"/>
  <c r="D84" i="6"/>
  <c r="D80" i="6"/>
  <c r="D79" i="6"/>
  <c r="D49" i="6"/>
  <c r="D47" i="6"/>
  <c r="D22" i="7" s="1"/>
  <c r="D43" i="6"/>
  <c r="C21" i="7" s="1"/>
  <c r="E21" i="7" s="1"/>
  <c r="D39" i="6"/>
  <c r="D20" i="6"/>
  <c r="D3" i="6"/>
  <c r="D4" i="6" s="1"/>
  <c r="F28" i="5"/>
  <c r="F27" i="5"/>
  <c r="D39" i="2" s="1"/>
  <c r="F26" i="5"/>
  <c r="F25" i="5"/>
  <c r="F24" i="5"/>
  <c r="D78" i="6" s="1"/>
  <c r="F23" i="5"/>
  <c r="C13" i="7" s="1"/>
  <c r="F22" i="5"/>
  <c r="F21" i="5"/>
  <c r="F20" i="5"/>
  <c r="F19" i="5"/>
  <c r="F18" i="5"/>
  <c r="B21" i="2" s="1"/>
  <c r="F16" i="5"/>
  <c r="F15" i="5"/>
  <c r="F14" i="5"/>
  <c r="F13" i="5"/>
  <c r="F12" i="5"/>
  <c r="F11" i="5"/>
  <c r="F10" i="5"/>
  <c r="F9" i="5"/>
  <c r="F8" i="5"/>
  <c r="D67" i="6" s="1"/>
  <c r="F7" i="5"/>
  <c r="F6" i="5"/>
  <c r="D18" i="6" s="1"/>
  <c r="D19" i="6" s="1"/>
  <c r="F5" i="5"/>
  <c r="F4" i="5"/>
  <c r="F3" i="5"/>
  <c r="C8" i="3"/>
  <c r="C6" i="3"/>
  <c r="C5" i="3"/>
  <c r="D43" i="2"/>
  <c r="D41" i="2"/>
  <c r="D24" i="2"/>
  <c r="D22" i="2"/>
  <c r="D20" i="2"/>
  <c r="D19" i="2"/>
  <c r="B19" i="2"/>
  <c r="D18" i="2"/>
  <c r="D17" i="2"/>
  <c r="B17" i="2"/>
  <c r="B13" i="2"/>
  <c r="B12" i="2"/>
  <c r="B11" i="2"/>
  <c r="B10" i="2"/>
  <c r="B9" i="2"/>
  <c r="B8" i="2"/>
  <c r="B7" i="2"/>
  <c r="B6" i="2"/>
  <c r="D21" i="2" l="1"/>
  <c r="E41" i="7"/>
  <c r="D97" i="6"/>
  <c r="D107" i="6" s="1"/>
  <c r="I8" i="10"/>
  <c r="H8" i="10"/>
  <c r="G8" i="10"/>
  <c r="F8" i="10"/>
  <c r="F14" i="10"/>
  <c r="F13" i="10"/>
  <c r="E8" i="10"/>
  <c r="D8" i="10"/>
  <c r="D14" i="10" s="1"/>
  <c r="D13" i="10"/>
  <c r="C8" i="10"/>
  <c r="C13" i="10"/>
  <c r="C14" i="10"/>
  <c r="B8" i="10"/>
  <c r="D182" i="6"/>
  <c r="C5" i="9"/>
  <c r="G5" i="9" s="1"/>
  <c r="D180" i="6"/>
  <c r="C35" i="7" s="1"/>
  <c r="D181" i="6"/>
  <c r="C4" i="9"/>
  <c r="G4" i="9" s="1"/>
  <c r="C46" i="9"/>
  <c r="G46" i="9" s="1"/>
  <c r="C20" i="8"/>
  <c r="C27" i="7"/>
  <c r="E27" i="7" s="1"/>
  <c r="D131" i="6"/>
  <c r="D133" i="6"/>
  <c r="D213" i="6"/>
  <c r="C17" i="7"/>
  <c r="E17" i="7" s="1"/>
  <c r="D50" i="6"/>
  <c r="D51" i="6"/>
  <c r="D40" i="6"/>
  <c r="F5" i="11" s="1"/>
  <c r="F4" i="11"/>
  <c r="C4" i="8"/>
  <c r="D23" i="6"/>
  <c r="C14" i="9"/>
  <c r="G14" i="9" s="1"/>
  <c r="C16" i="7"/>
  <c r="D14" i="7"/>
  <c r="E14" i="7" s="1"/>
  <c r="C11" i="7"/>
  <c r="D72" i="6"/>
  <c r="C6" i="8"/>
  <c r="C26" i="9"/>
  <c r="G26" i="9" s="1"/>
  <c r="B11" i="10"/>
  <c r="C11" i="10"/>
  <c r="D11" i="10"/>
  <c r="E11" i="10"/>
  <c r="F11" i="10"/>
  <c r="C5" i="7"/>
  <c r="E5" i="7" s="1"/>
  <c r="G11" i="10"/>
  <c r="I11" i="10"/>
  <c r="H11" i="10"/>
  <c r="D68" i="6"/>
  <c r="D101" i="6" s="1"/>
  <c r="D102" i="6" s="1"/>
  <c r="D103" i="6" s="1"/>
  <c r="D36" i="6"/>
  <c r="D69" i="6"/>
  <c r="D11" i="7"/>
  <c r="B31" i="2"/>
  <c r="D21" i="6"/>
  <c r="D31" i="2" s="1"/>
  <c r="D22" i="6"/>
  <c r="D87" i="6"/>
  <c r="D44" i="7"/>
  <c r="C5" i="8"/>
  <c r="C10" i="7"/>
  <c r="D106" i="6"/>
  <c r="D211" i="6"/>
  <c r="D212" i="6" s="1"/>
  <c r="C35" i="9" s="1"/>
  <c r="G35" i="9" s="1"/>
  <c r="D46" i="6"/>
  <c r="C22" i="7" s="1"/>
  <c r="E22" i="7" s="1"/>
  <c r="C9" i="3"/>
  <c r="D42" i="7" s="1"/>
  <c r="E42" i="7" s="1"/>
  <c r="D184" i="6"/>
  <c r="D185" i="6" s="1"/>
  <c r="D14" i="6"/>
  <c r="D6" i="6"/>
  <c r="C3" i="9"/>
  <c r="G3" i="9" s="1"/>
  <c r="D12" i="6"/>
  <c r="D9" i="6"/>
  <c r="D5" i="6"/>
  <c r="C2" i="9"/>
  <c r="G2" i="9" s="1"/>
  <c r="C21" i="3"/>
  <c r="D108" i="6" l="1"/>
  <c r="D109" i="6" s="1"/>
  <c r="B27" i="11"/>
  <c r="C27" i="11"/>
  <c r="B26" i="11"/>
  <c r="C26" i="11"/>
  <c r="D29" i="6"/>
  <c r="D31" i="6" s="1"/>
  <c r="D28" i="6"/>
  <c r="D30" i="6" s="1"/>
  <c r="D178" i="6"/>
  <c r="D173" i="6"/>
  <c r="I9" i="10"/>
  <c r="I10" i="10" s="1"/>
  <c r="I12" i="10" s="1"/>
  <c r="I15" i="10"/>
  <c r="H9" i="10"/>
  <c r="H10" i="10" s="1"/>
  <c r="H12" i="10" s="1"/>
  <c r="H15" i="10"/>
  <c r="G9" i="10"/>
  <c r="G10" i="10" s="1"/>
  <c r="G12" i="10" s="1"/>
  <c r="G15" i="10"/>
  <c r="F9" i="10"/>
  <c r="F10" i="10" s="1"/>
  <c r="F12" i="10" s="1"/>
  <c r="F15" i="10"/>
  <c r="E9" i="10"/>
  <c r="E10" i="10" s="1"/>
  <c r="E12" i="10" s="1"/>
  <c r="E15" i="10"/>
  <c r="D9" i="10"/>
  <c r="D10" i="10" s="1"/>
  <c r="D12" i="10" s="1"/>
  <c r="D15" i="10"/>
  <c r="C9" i="10"/>
  <c r="C10" i="10" s="1"/>
  <c r="C12" i="10" s="1"/>
  <c r="C15" i="10"/>
  <c r="C23" i="7"/>
  <c r="E23" i="7" s="1"/>
  <c r="D45" i="2"/>
  <c r="D136" i="6"/>
  <c r="D137" i="6"/>
  <c r="C51" i="9" s="1"/>
  <c r="G51" i="9" s="1"/>
  <c r="D104" i="6"/>
  <c r="C21" i="9" s="1"/>
  <c r="G21" i="9" s="1"/>
  <c r="D105" i="6"/>
  <c r="D42" i="2"/>
  <c r="D40" i="7"/>
  <c r="B44" i="2"/>
  <c r="D202" i="6"/>
  <c r="C36" i="11"/>
  <c r="B39" i="11"/>
  <c r="B36" i="11"/>
  <c r="D170" i="6"/>
  <c r="C26" i="7" s="1"/>
  <c r="E26" i="7" s="1"/>
  <c r="D24" i="6"/>
  <c r="D91" i="6"/>
  <c r="D93" i="6" s="1"/>
  <c r="D92" i="6"/>
  <c r="D191" i="6"/>
  <c r="C13" i="9"/>
  <c r="G13" i="9" s="1"/>
  <c r="D38" i="2"/>
  <c r="C12" i="7"/>
  <c r="D39" i="7"/>
  <c r="B32" i="2"/>
  <c r="D134" i="6"/>
  <c r="B34" i="2"/>
  <c r="C6" i="7"/>
  <c r="D37" i="6"/>
  <c r="C7" i="7" s="1"/>
  <c r="D121" i="6"/>
  <c r="C32" i="7"/>
  <c r="E32" i="7" s="1"/>
  <c r="C55" i="9"/>
  <c r="G55" i="9" s="1"/>
  <c r="C17" i="8"/>
  <c r="C20" i="9"/>
  <c r="G20" i="9" s="1"/>
  <c r="D16" i="6"/>
  <c r="C4" i="7" s="1"/>
  <c r="E4" i="7" s="1"/>
  <c r="D90" i="6"/>
  <c r="D30" i="7" s="1"/>
  <c r="D34" i="6"/>
  <c r="D15" i="6"/>
  <c r="D26" i="6"/>
  <c r="D89" i="6"/>
  <c r="D29" i="7" s="1"/>
  <c r="E29" i="7" s="1"/>
  <c r="B28" i="2"/>
  <c r="C2" i="7"/>
  <c r="D10" i="6"/>
  <c r="D13" i="6" s="1"/>
  <c r="D25" i="6"/>
  <c r="D7" i="6"/>
  <c r="D35" i="7"/>
  <c r="E35" i="7" s="1"/>
  <c r="D27" i="6"/>
  <c r="D33" i="6"/>
  <c r="C33" i="7"/>
  <c r="E33" i="7" s="1"/>
  <c r="D2" i="7"/>
  <c r="E11" i="7"/>
  <c r="I13" i="10"/>
  <c r="I14" i="10"/>
  <c r="H13" i="10"/>
  <c r="H14" i="10"/>
  <c r="G14" i="10"/>
  <c r="G13" i="10"/>
  <c r="E14" i="10"/>
  <c r="E13" i="10"/>
  <c r="B9" i="10"/>
  <c r="B10" i="10" s="1"/>
  <c r="B12" i="10" s="1"/>
  <c r="B13" i="10"/>
  <c r="B14" i="10"/>
  <c r="B15" i="10"/>
  <c r="D41" i="6"/>
  <c r="D45" i="6"/>
  <c r="C14" i="11"/>
  <c r="C35" i="11"/>
  <c r="B35" i="11"/>
  <c r="C34" i="11"/>
  <c r="C33" i="11"/>
  <c r="C31" i="11"/>
  <c r="B30" i="11"/>
  <c r="B29" i="11"/>
  <c r="C29" i="11"/>
  <c r="B28" i="11"/>
  <c r="C40" i="11"/>
  <c r="B40" i="11"/>
  <c r="C39" i="11"/>
  <c r="C38" i="11"/>
  <c r="B38" i="11"/>
  <c r="C37" i="11"/>
  <c r="B37" i="11"/>
  <c r="B34" i="11"/>
  <c r="B33" i="11"/>
  <c r="C32" i="11"/>
  <c r="B32" i="11"/>
  <c r="B31" i="11"/>
  <c r="C30" i="11"/>
  <c r="C28" i="11"/>
  <c r="B25" i="11"/>
  <c r="C25" i="11"/>
  <c r="B24" i="11"/>
  <c r="C24" i="11"/>
  <c r="B23" i="11"/>
  <c r="C23" i="11"/>
  <c r="C22" i="11"/>
  <c r="B22" i="11"/>
  <c r="B21" i="11"/>
  <c r="C21" i="11"/>
  <c r="C20" i="11"/>
  <c r="B20" i="11"/>
  <c r="B19" i="11"/>
  <c r="C19" i="11"/>
  <c r="B18" i="11"/>
  <c r="C18" i="11"/>
  <c r="C17" i="11"/>
  <c r="B17" i="11"/>
  <c r="C16" i="11"/>
  <c r="B16" i="11"/>
  <c r="C15" i="11"/>
  <c r="B15" i="11"/>
  <c r="B14" i="11"/>
  <c r="D70" i="6"/>
  <c r="D100" i="6"/>
  <c r="D110" i="6" s="1"/>
  <c r="D74" i="6"/>
  <c r="D75" i="6" s="1"/>
  <c r="D233" i="6"/>
  <c r="B55" i="2" l="1"/>
  <c r="D234" i="6"/>
  <c r="D179" i="6"/>
  <c r="C16" i="9"/>
  <c r="G16" i="9" s="1"/>
  <c r="C13" i="8"/>
  <c r="C50" i="9"/>
  <c r="G50" i="9" s="1"/>
  <c r="D111" i="6"/>
  <c r="D112" i="6"/>
  <c r="D55" i="6"/>
  <c r="D54" i="6"/>
  <c r="D81" i="6"/>
  <c r="D138" i="6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39" i="6"/>
  <c r="C3" i="7"/>
  <c r="E3" i="7" s="1"/>
  <c r="B37" i="2"/>
  <c r="B29" i="2"/>
  <c r="C2" i="8"/>
  <c r="D11" i="6"/>
  <c r="D7" i="7"/>
  <c r="E7" i="7" s="1"/>
  <c r="D192" i="6"/>
  <c r="D193" i="6" s="1"/>
  <c r="D194" i="6" s="1"/>
  <c r="C44" i="7"/>
  <c r="E44" i="7" s="1"/>
  <c r="D88" i="6"/>
  <c r="D187" i="6"/>
  <c r="B33" i="2"/>
  <c r="D35" i="6"/>
  <c r="D52" i="6"/>
  <c r="F6" i="11"/>
  <c r="D42" i="6"/>
  <c r="D228" i="6"/>
  <c r="D220" i="6"/>
  <c r="D44" i="6"/>
  <c r="D15" i="11"/>
  <c r="C24" i="9"/>
  <c r="G24" i="9" s="1"/>
  <c r="D122" i="6"/>
  <c r="C27" i="9" s="1"/>
  <c r="G27" i="9" s="1"/>
  <c r="D16" i="7"/>
  <c r="E16" i="7" s="1"/>
  <c r="C8" i="8"/>
  <c r="B39" i="2"/>
  <c r="D76" i="6"/>
  <c r="D77" i="6" s="1"/>
  <c r="E2" i="7"/>
  <c r="B40" i="2" l="1"/>
  <c r="D236" i="6"/>
  <c r="D235" i="6"/>
  <c r="D40" i="2" s="1"/>
  <c r="D189" i="6"/>
  <c r="C37" i="7" s="1"/>
  <c r="C17" i="9"/>
  <c r="G17" i="9" s="1"/>
  <c r="D186" i="6"/>
  <c r="D183" i="6"/>
  <c r="C22" i="9"/>
  <c r="G22" i="9" s="1"/>
  <c r="D113" i="6"/>
  <c r="C23" i="9"/>
  <c r="G23" i="9" s="1"/>
  <c r="D114" i="6"/>
  <c r="D63" i="6"/>
  <c r="D62" i="6"/>
  <c r="D198" i="6"/>
  <c r="D200" i="6" s="1"/>
  <c r="D199" i="6"/>
  <c r="D152" i="6"/>
  <c r="D153" i="6"/>
  <c r="D37" i="7"/>
  <c r="D154" i="6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B30" i="2"/>
  <c r="D10" i="7"/>
  <c r="E10" i="7" s="1"/>
  <c r="D28" i="7"/>
  <c r="E28" i="7" s="1"/>
  <c r="B43" i="2"/>
  <c r="D34" i="2"/>
  <c r="D71" i="6"/>
  <c r="C3" i="8"/>
  <c r="D6" i="7"/>
  <c r="E6" i="7" s="1"/>
  <c r="D33" i="2"/>
  <c r="B78" i="11"/>
  <c r="B121" i="11"/>
  <c r="B77" i="11"/>
  <c r="C78" i="11"/>
  <c r="C43" i="11"/>
  <c r="B43" i="11"/>
  <c r="C44" i="11"/>
  <c r="B44" i="11"/>
  <c r="C45" i="11"/>
  <c r="B45" i="11"/>
  <c r="B68" i="11"/>
  <c r="B46" i="11"/>
  <c r="B47" i="11"/>
  <c r="C47" i="11"/>
  <c r="B48" i="11"/>
  <c r="C48" i="11"/>
  <c r="B49" i="11"/>
  <c r="C49" i="11"/>
  <c r="B50" i="11"/>
  <c r="C50" i="11"/>
  <c r="B51" i="11"/>
  <c r="C51" i="11"/>
  <c r="B52" i="11"/>
  <c r="C52" i="11"/>
  <c r="C53" i="11"/>
  <c r="B53" i="11"/>
  <c r="C54" i="11"/>
  <c r="B54" i="11"/>
  <c r="C55" i="11"/>
  <c r="B55" i="11"/>
  <c r="B57" i="11"/>
  <c r="C58" i="11"/>
  <c r="B60" i="11"/>
  <c r="B61" i="11"/>
  <c r="B63" i="11"/>
  <c r="C64" i="11"/>
  <c r="B65" i="11"/>
  <c r="C65" i="11"/>
  <c r="B42" i="11"/>
  <c r="B56" i="11"/>
  <c r="C57" i="11"/>
  <c r="B59" i="11"/>
  <c r="C60" i="11"/>
  <c r="C62" i="11"/>
  <c r="C63" i="11"/>
  <c r="C42" i="11"/>
  <c r="C56" i="11"/>
  <c r="B58" i="11"/>
  <c r="C59" i="11"/>
  <c r="C61" i="11"/>
  <c r="B62" i="11"/>
  <c r="B64" i="11"/>
  <c r="C113" i="11"/>
  <c r="C114" i="11"/>
  <c r="B114" i="11"/>
  <c r="C41" i="11"/>
  <c r="B41" i="11"/>
  <c r="C46" i="11"/>
  <c r="F7" i="11"/>
  <c r="D230" i="6"/>
  <c r="D221" i="6"/>
  <c r="D222" i="6" s="1"/>
  <c r="D223" i="6" s="1"/>
  <c r="E15" i="11"/>
  <c r="D16" i="11"/>
  <c r="B41" i="2"/>
  <c r="D15" i="7"/>
  <c r="E15" i="7" s="1"/>
  <c r="D82" i="6"/>
  <c r="D64" i="6"/>
  <c r="D65" i="6"/>
  <c r="D53" i="6"/>
  <c r="D57" i="6"/>
  <c r="D56" i="6"/>
  <c r="D58" i="6" s="1"/>
  <c r="E37" i="7" l="1"/>
  <c r="C77" i="11"/>
  <c r="C66" i="11"/>
  <c r="B67" i="11"/>
  <c r="C68" i="11"/>
  <c r="C110" i="11"/>
  <c r="B66" i="11"/>
  <c r="C67" i="11"/>
  <c r="C109" i="11"/>
  <c r="B111" i="11"/>
  <c r="C69" i="11"/>
  <c r="B69" i="11"/>
  <c r="B110" i="11"/>
  <c r="C115" i="11"/>
  <c r="B115" i="11"/>
  <c r="C116" i="11"/>
  <c r="C125" i="11"/>
  <c r="D188" i="6"/>
  <c r="D116" i="6"/>
  <c r="D117" i="6"/>
  <c r="D118" i="6" s="1"/>
  <c r="D123" i="6"/>
  <c r="C70" i="11"/>
  <c r="C93" i="11"/>
  <c r="C94" i="11"/>
  <c r="C95" i="11"/>
  <c r="B116" i="11"/>
  <c r="C134" i="11"/>
  <c r="B142" i="11"/>
  <c r="C143" i="11"/>
  <c r="B145" i="11"/>
  <c r="B147" i="11"/>
  <c r="C148" i="11"/>
  <c r="C122" i="11"/>
  <c r="C123" i="11"/>
  <c r="B123" i="11"/>
  <c r="C124" i="11"/>
  <c r="B125" i="11"/>
  <c r="C126" i="11"/>
  <c r="C127" i="11"/>
  <c r="C128" i="11"/>
  <c r="D115" i="6"/>
  <c r="D119" i="6" s="1"/>
  <c r="C36" i="7"/>
  <c r="E36" i="7" s="1"/>
  <c r="B70" i="11"/>
  <c r="B71" i="11"/>
  <c r="C71" i="11"/>
  <c r="B72" i="11"/>
  <c r="C72" i="11"/>
  <c r="B79" i="11"/>
  <c r="C79" i="11"/>
  <c r="C80" i="11"/>
  <c r="B80" i="11"/>
  <c r="B81" i="11"/>
  <c r="C82" i="11"/>
  <c r="B82" i="11"/>
  <c r="B83" i="11"/>
  <c r="B84" i="11"/>
  <c r="B85" i="11"/>
  <c r="C86" i="11"/>
  <c r="C87" i="11"/>
  <c r="B88" i="11"/>
  <c r="C89" i="11"/>
  <c r="B89" i="11"/>
  <c r="C90" i="11"/>
  <c r="B90" i="11"/>
  <c r="B92" i="11"/>
  <c r="C91" i="11"/>
  <c r="B91" i="11"/>
  <c r="C92" i="11"/>
  <c r="B93" i="11"/>
  <c r="B94" i="11"/>
  <c r="B95" i="11"/>
  <c r="C83" i="11"/>
  <c r="C85" i="11"/>
  <c r="B87" i="11"/>
  <c r="C96" i="11"/>
  <c r="C111" i="11"/>
  <c r="C112" i="11"/>
  <c r="B112" i="11"/>
  <c r="B113" i="11"/>
  <c r="B128" i="11"/>
  <c r="C129" i="11"/>
  <c r="B129" i="11"/>
  <c r="B132" i="11"/>
  <c r="B134" i="11"/>
  <c r="B144" i="11"/>
  <c r="B146" i="11"/>
  <c r="C146" i="11"/>
  <c r="C147" i="11"/>
  <c r="B148" i="11"/>
  <c r="B149" i="11"/>
  <c r="C149" i="11"/>
  <c r="B150" i="11"/>
  <c r="C150" i="11"/>
  <c r="B151" i="11"/>
  <c r="C151" i="11"/>
  <c r="B152" i="11"/>
  <c r="C152" i="11"/>
  <c r="B153" i="11"/>
  <c r="C153" i="11"/>
  <c r="B154" i="11"/>
  <c r="C154" i="11"/>
  <c r="B155" i="11"/>
  <c r="C155" i="11"/>
  <c r="C130" i="11"/>
  <c r="C132" i="11"/>
  <c r="C142" i="11"/>
  <c r="C144" i="11"/>
  <c r="C165" i="11"/>
  <c r="B131" i="11"/>
  <c r="B133" i="11"/>
  <c r="B143" i="11"/>
  <c r="C145" i="11"/>
  <c r="C41" i="9"/>
  <c r="G41" i="9" s="1"/>
  <c r="C23" i="8"/>
  <c r="B47" i="2"/>
  <c r="C22" i="8"/>
  <c r="D207" i="6"/>
  <c r="D201" i="6"/>
  <c r="C24" i="7"/>
  <c r="E24" i="7" s="1"/>
  <c r="D166" i="6"/>
  <c r="D167" i="6"/>
  <c r="B38" i="2"/>
  <c r="D13" i="7"/>
  <c r="E13" i="7" s="1"/>
  <c r="D12" i="7"/>
  <c r="E12" i="7" s="1"/>
  <c r="F8" i="11"/>
  <c r="F10" i="11"/>
  <c r="C75" i="9"/>
  <c r="G75" i="9" s="1"/>
  <c r="D231" i="6"/>
  <c r="C76" i="9" s="1"/>
  <c r="G76" i="9" s="1"/>
  <c r="C72" i="9"/>
  <c r="G72" i="9" s="1"/>
  <c r="D224" i="6"/>
  <c r="E16" i="11"/>
  <c r="D83" i="6"/>
  <c r="D43" i="7" s="1"/>
  <c r="E43" i="7" s="1"/>
  <c r="B42" i="2"/>
  <c r="D214" i="6"/>
  <c r="C40" i="7"/>
  <c r="E40" i="7" s="1"/>
  <c r="B35" i="2"/>
  <c r="D59" i="6"/>
  <c r="C81" i="11"/>
  <c r="C84" i="11"/>
  <c r="B86" i="11"/>
  <c r="C88" i="11"/>
  <c r="B96" i="11"/>
  <c r="B97" i="11"/>
  <c r="C97" i="11"/>
  <c r="B98" i="11"/>
  <c r="C98" i="11"/>
  <c r="C99" i="11"/>
  <c r="B99" i="11"/>
  <c r="C100" i="11"/>
  <c r="B100" i="11"/>
  <c r="C101" i="11"/>
  <c r="B101" i="11"/>
  <c r="C102" i="11"/>
  <c r="B102" i="11"/>
  <c r="B103" i="11"/>
  <c r="C103" i="11"/>
  <c r="B104" i="11"/>
  <c r="C104" i="11"/>
  <c r="B105" i="11"/>
  <c r="C105" i="11"/>
  <c r="C106" i="11"/>
  <c r="B106" i="11"/>
  <c r="B107" i="11"/>
  <c r="C107" i="11"/>
  <c r="B108" i="11"/>
  <c r="C108" i="11"/>
  <c r="B109" i="11"/>
  <c r="C117" i="11"/>
  <c r="B117" i="11"/>
  <c r="B127" i="11"/>
  <c r="C131" i="11"/>
  <c r="C133" i="11"/>
  <c r="C135" i="11"/>
  <c r="B135" i="11"/>
  <c r="C136" i="11"/>
  <c r="B136" i="11"/>
  <c r="C137" i="11"/>
  <c r="B137" i="11"/>
  <c r="B138" i="11"/>
  <c r="C138" i="11"/>
  <c r="B139" i="11"/>
  <c r="C139" i="11"/>
  <c r="C140" i="11"/>
  <c r="B140" i="11"/>
  <c r="B141" i="11"/>
  <c r="C141" i="11"/>
  <c r="B124" i="11"/>
  <c r="B126" i="11"/>
  <c r="B130" i="11"/>
  <c r="B156" i="11"/>
  <c r="C156" i="11"/>
  <c r="B157" i="11"/>
  <c r="C157" i="11"/>
  <c r="B158" i="11"/>
  <c r="C158" i="11"/>
  <c r="B159" i="11"/>
  <c r="C159" i="11"/>
  <c r="B160" i="11"/>
  <c r="C160" i="11"/>
  <c r="B161" i="11"/>
  <c r="C161" i="11"/>
  <c r="B162" i="11"/>
  <c r="C162" i="11"/>
  <c r="B163" i="11"/>
  <c r="C163" i="11"/>
  <c r="B164" i="11"/>
  <c r="C164" i="11"/>
  <c r="B165" i="11"/>
  <c r="C118" i="11"/>
  <c r="C121" i="11"/>
  <c r="B118" i="11"/>
  <c r="C73" i="11"/>
  <c r="B74" i="11"/>
  <c r="C75" i="11"/>
  <c r="C76" i="11"/>
  <c r="B73" i="11"/>
  <c r="C74" i="11"/>
  <c r="B75" i="11"/>
  <c r="B76" i="11"/>
  <c r="B120" i="11"/>
  <c r="B122" i="11"/>
  <c r="B119" i="11"/>
  <c r="C119" i="11"/>
  <c r="C120" i="11"/>
  <c r="D17" i="1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124" i="6" l="1"/>
  <c r="D125" i="6"/>
  <c r="D135" i="6"/>
  <c r="D128" i="6"/>
  <c r="D120" i="6"/>
  <c r="D129" i="6" s="1"/>
  <c r="B174" i="11"/>
  <c r="C171" i="11"/>
  <c r="B187" i="11"/>
  <c r="B173" i="11"/>
  <c r="C172" i="11"/>
  <c r="B175" i="11"/>
  <c r="B176" i="11"/>
  <c r="B177" i="11"/>
  <c r="C187" i="11"/>
  <c r="D203" i="6"/>
  <c r="D204" i="6" s="1"/>
  <c r="D205" i="6" s="1"/>
  <c r="D206" i="6" s="1"/>
  <c r="C42" i="9"/>
  <c r="G42" i="9" s="1"/>
  <c r="C188" i="11"/>
  <c r="B189" i="11"/>
  <c r="C190" i="11"/>
  <c r="B186" i="11"/>
  <c r="C185" i="11"/>
  <c r="C184" i="11"/>
  <c r="B183" i="11"/>
  <c r="C182" i="11"/>
  <c r="C181" i="11"/>
  <c r="C180" i="11"/>
  <c r="C179" i="11"/>
  <c r="C178" i="11"/>
  <c r="B168" i="11"/>
  <c r="B166" i="11"/>
  <c r="B190" i="11"/>
  <c r="C186" i="11"/>
  <c r="B185" i="11"/>
  <c r="B184" i="11"/>
  <c r="C183" i="11"/>
  <c r="B182" i="11"/>
  <c r="B181" i="11"/>
  <c r="B180" i="11"/>
  <c r="B179" i="11"/>
  <c r="B178" i="11"/>
  <c r="C177" i="11"/>
  <c r="C176" i="11"/>
  <c r="C175" i="11"/>
  <c r="C174" i="11"/>
  <c r="C173" i="11"/>
  <c r="B172" i="11"/>
  <c r="B171" i="11"/>
  <c r="B170" i="11"/>
  <c r="B169" i="11"/>
  <c r="C168" i="11"/>
  <c r="C167" i="11"/>
  <c r="C166" i="11"/>
  <c r="C189" i="11"/>
  <c r="C170" i="11"/>
  <c r="B167" i="11"/>
  <c r="B188" i="11"/>
  <c r="C169" i="11"/>
  <c r="F9" i="11"/>
  <c r="B216" i="11" s="1"/>
  <c r="G14" i="11"/>
  <c r="F14" i="11"/>
  <c r="G15" i="11"/>
  <c r="F15" i="11"/>
  <c r="H15" i="11" s="1"/>
  <c r="F16" i="11"/>
  <c r="H16" i="11" s="1"/>
  <c r="G16" i="11"/>
  <c r="G17" i="11"/>
  <c r="F17" i="11"/>
  <c r="H17" i="11" s="1"/>
  <c r="F18" i="11"/>
  <c r="H18" i="11" s="1"/>
  <c r="G18" i="11"/>
  <c r="G19" i="11"/>
  <c r="F19" i="11"/>
  <c r="H19" i="11" s="1"/>
  <c r="F20" i="11"/>
  <c r="H20" i="11" s="1"/>
  <c r="G20" i="11"/>
  <c r="F21" i="11"/>
  <c r="H21" i="11" s="1"/>
  <c r="G21" i="11"/>
  <c r="G22" i="11"/>
  <c r="F22" i="11"/>
  <c r="H22" i="11" s="1"/>
  <c r="F23" i="11"/>
  <c r="H23" i="11" s="1"/>
  <c r="G23" i="11"/>
  <c r="G24" i="11"/>
  <c r="F24" i="11"/>
  <c r="H24" i="11" s="1"/>
  <c r="G25" i="11"/>
  <c r="F25" i="11"/>
  <c r="H25" i="11" s="1"/>
  <c r="F26" i="11"/>
  <c r="H26" i="11" s="1"/>
  <c r="F27" i="11"/>
  <c r="H27" i="11" s="1"/>
  <c r="G27" i="11"/>
  <c r="G28" i="11"/>
  <c r="F29" i="11"/>
  <c r="H29" i="11" s="1"/>
  <c r="G29" i="11"/>
  <c r="G30" i="11"/>
  <c r="F31" i="11"/>
  <c r="H31" i="11" s="1"/>
  <c r="G32" i="11"/>
  <c r="F33" i="11"/>
  <c r="H33" i="11" s="1"/>
  <c r="G34" i="11"/>
  <c r="F35" i="11"/>
  <c r="H35" i="11" s="1"/>
  <c r="G35" i="11"/>
  <c r="F37" i="11"/>
  <c r="H37" i="11" s="1"/>
  <c r="G38" i="11"/>
  <c r="F38" i="11"/>
  <c r="H38" i="11" s="1"/>
  <c r="G39" i="11"/>
  <c r="F39" i="11"/>
  <c r="H39" i="11" s="1"/>
  <c r="G40" i="11"/>
  <c r="F40" i="11"/>
  <c r="H40" i="11" s="1"/>
  <c r="F41" i="11"/>
  <c r="H41" i="11" s="1"/>
  <c r="G41" i="11"/>
  <c r="G42" i="11"/>
  <c r="F42" i="11"/>
  <c r="H42" i="11" s="1"/>
  <c r="G43" i="11"/>
  <c r="F43" i="11"/>
  <c r="H43" i="11" s="1"/>
  <c r="G44" i="11"/>
  <c r="F44" i="11"/>
  <c r="H44" i="11" s="1"/>
  <c r="F45" i="11"/>
  <c r="H45" i="11" s="1"/>
  <c r="G45" i="11"/>
  <c r="F46" i="11"/>
  <c r="H46" i="11" s="1"/>
  <c r="G46" i="11"/>
  <c r="F47" i="11"/>
  <c r="H47" i="11" s="1"/>
  <c r="G47" i="11"/>
  <c r="F48" i="11"/>
  <c r="H48" i="11" s="1"/>
  <c r="G48" i="11"/>
  <c r="F49" i="11"/>
  <c r="H49" i="11" s="1"/>
  <c r="G49" i="11"/>
  <c r="G26" i="11"/>
  <c r="F28" i="11"/>
  <c r="H28" i="11" s="1"/>
  <c r="F30" i="11"/>
  <c r="H30" i="11" s="1"/>
  <c r="G31" i="11"/>
  <c r="F32" i="11"/>
  <c r="H32" i="11" s="1"/>
  <c r="G33" i="11"/>
  <c r="F34" i="11"/>
  <c r="H34" i="11" s="1"/>
  <c r="G37" i="11"/>
  <c r="F50" i="11"/>
  <c r="H50" i="11" s="1"/>
  <c r="G50" i="11"/>
  <c r="G51" i="11"/>
  <c r="F51" i="11"/>
  <c r="H51" i="11" s="1"/>
  <c r="F52" i="11"/>
  <c r="H52" i="11" s="1"/>
  <c r="G52" i="11"/>
  <c r="G53" i="11"/>
  <c r="F53" i="11"/>
  <c r="H53" i="11" s="1"/>
  <c r="G54" i="11"/>
  <c r="F54" i="11"/>
  <c r="H54" i="11" s="1"/>
  <c r="F55" i="11"/>
  <c r="H55" i="11" s="1"/>
  <c r="G55" i="11"/>
  <c r="F56" i="11"/>
  <c r="H56" i="11" s="1"/>
  <c r="G56" i="11"/>
  <c r="G57" i="11"/>
  <c r="F57" i="11"/>
  <c r="H57" i="11" s="1"/>
  <c r="F58" i="11"/>
  <c r="H58" i="11" s="1"/>
  <c r="G58" i="11"/>
  <c r="F59" i="11"/>
  <c r="H59" i="11" s="1"/>
  <c r="G59" i="11"/>
  <c r="F60" i="11"/>
  <c r="H60" i="11" s="1"/>
  <c r="G60" i="11"/>
  <c r="G61" i="11"/>
  <c r="F61" i="11"/>
  <c r="H61" i="11" s="1"/>
  <c r="G62" i="11"/>
  <c r="F62" i="11"/>
  <c r="H62" i="11" s="1"/>
  <c r="F64" i="11"/>
  <c r="H64" i="11" s="1"/>
  <c r="G64" i="11"/>
  <c r="F65" i="11"/>
  <c r="H65" i="11" s="1"/>
  <c r="G65" i="11"/>
  <c r="G66" i="11"/>
  <c r="F66" i="11"/>
  <c r="H66" i="11" s="1"/>
  <c r="G67" i="11"/>
  <c r="F67" i="11"/>
  <c r="H67" i="11" s="1"/>
  <c r="G68" i="11"/>
  <c r="F68" i="11"/>
  <c r="H68" i="11" s="1"/>
  <c r="G69" i="11"/>
  <c r="F69" i="11"/>
  <c r="H69" i="11" s="1"/>
  <c r="G70" i="11"/>
  <c r="F70" i="11"/>
  <c r="H70" i="11" s="1"/>
  <c r="F71" i="11"/>
  <c r="H71" i="11" s="1"/>
  <c r="G71" i="11"/>
  <c r="F72" i="11"/>
  <c r="H72" i="11" s="1"/>
  <c r="G72" i="11"/>
  <c r="G73" i="11"/>
  <c r="F74" i="11"/>
  <c r="G74" i="11"/>
  <c r="G75" i="11"/>
  <c r="G76" i="11"/>
  <c r="G77" i="11"/>
  <c r="F78" i="11"/>
  <c r="G79" i="11"/>
  <c r="F81" i="11"/>
  <c r="G82" i="11"/>
  <c r="G83" i="11"/>
  <c r="G84" i="11"/>
  <c r="F85" i="11"/>
  <c r="G86" i="11"/>
  <c r="G87" i="11"/>
  <c r="F87" i="11"/>
  <c r="G88" i="11"/>
  <c r="F88" i="11"/>
  <c r="F89" i="11"/>
  <c r="G89" i="11"/>
  <c r="F90" i="11"/>
  <c r="G90" i="11"/>
  <c r="F91" i="11"/>
  <c r="G91" i="11"/>
  <c r="F92" i="11"/>
  <c r="G92" i="11"/>
  <c r="F93" i="11"/>
  <c r="G94" i="11"/>
  <c r="F94" i="11"/>
  <c r="G95" i="11"/>
  <c r="F73" i="11"/>
  <c r="F75" i="11"/>
  <c r="F76" i="11"/>
  <c r="F77" i="11"/>
  <c r="G78" i="11"/>
  <c r="F79" i="11"/>
  <c r="F80" i="11"/>
  <c r="G80" i="11"/>
  <c r="G81" i="11"/>
  <c r="F82" i="11"/>
  <c r="F83" i="11"/>
  <c r="F84" i="11"/>
  <c r="G85" i="11"/>
  <c r="F86" i="11"/>
  <c r="F95" i="11"/>
  <c r="F96" i="11"/>
  <c r="G96" i="11"/>
  <c r="F97" i="11"/>
  <c r="G97" i="11"/>
  <c r="F98" i="11"/>
  <c r="G98" i="11"/>
  <c r="G99" i="11"/>
  <c r="F99" i="11"/>
  <c r="F100" i="11"/>
  <c r="G100" i="11"/>
  <c r="F101" i="11"/>
  <c r="G101" i="11"/>
  <c r="F102" i="11"/>
  <c r="G102" i="11"/>
  <c r="F103" i="11"/>
  <c r="G103" i="11"/>
  <c r="G104" i="11"/>
  <c r="F104" i="11"/>
  <c r="F105" i="11"/>
  <c r="G105" i="11"/>
  <c r="F106" i="11"/>
  <c r="G106" i="11"/>
  <c r="G107" i="11"/>
  <c r="F107" i="11"/>
  <c r="G108" i="11"/>
  <c r="F108" i="11"/>
  <c r="F109" i="11"/>
  <c r="G109" i="11"/>
  <c r="F110" i="11"/>
  <c r="G110" i="11"/>
  <c r="G111" i="11"/>
  <c r="F111" i="11"/>
  <c r="G112" i="11"/>
  <c r="F112" i="11"/>
  <c r="F113" i="11"/>
  <c r="G113" i="11"/>
  <c r="F114" i="11"/>
  <c r="G114" i="11"/>
  <c r="G115" i="11"/>
  <c r="F115" i="11"/>
  <c r="G116" i="11"/>
  <c r="F116" i="11"/>
  <c r="F117" i="11"/>
  <c r="G117" i="11"/>
  <c r="G121" i="11"/>
  <c r="F122" i="11"/>
  <c r="F123" i="11"/>
  <c r="G124" i="11"/>
  <c r="F125" i="11"/>
  <c r="F129" i="11"/>
  <c r="G130" i="11"/>
  <c r="G135" i="11"/>
  <c r="F136" i="11"/>
  <c r="G136" i="11"/>
  <c r="G137" i="11"/>
  <c r="F137" i="11"/>
  <c r="F138" i="11"/>
  <c r="G138" i="11"/>
  <c r="F139" i="11"/>
  <c r="G139" i="11"/>
  <c r="F140" i="11"/>
  <c r="G140" i="11"/>
  <c r="F130" i="11"/>
  <c r="F132" i="11"/>
  <c r="F133" i="11"/>
  <c r="F144" i="11"/>
  <c r="G149" i="11"/>
  <c r="G158" i="11"/>
  <c r="G119" i="11"/>
  <c r="F119" i="11"/>
  <c r="F120" i="11"/>
  <c r="G120" i="11"/>
  <c r="F121" i="11"/>
  <c r="G122" i="11"/>
  <c r="G123" i="11"/>
  <c r="F124" i="11"/>
  <c r="G125" i="11"/>
  <c r="F126" i="11"/>
  <c r="G126" i="11"/>
  <c r="F127" i="11"/>
  <c r="G127" i="11"/>
  <c r="G128" i="11"/>
  <c r="F128" i="11"/>
  <c r="G129" i="11"/>
  <c r="G131" i="11"/>
  <c r="F131" i="11"/>
  <c r="G132" i="11"/>
  <c r="G133" i="11"/>
  <c r="F134" i="11"/>
  <c r="G134" i="11"/>
  <c r="F135" i="11"/>
  <c r="F141" i="11"/>
  <c r="G141" i="11"/>
  <c r="F142" i="11"/>
  <c r="G142" i="11"/>
  <c r="F143" i="11"/>
  <c r="G143" i="11"/>
  <c r="G144" i="11"/>
  <c r="F146" i="11"/>
  <c r="G146" i="11"/>
  <c r="F147" i="11"/>
  <c r="G147" i="11"/>
  <c r="F148" i="11"/>
  <c r="G148" i="11"/>
  <c r="F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71" i="11"/>
  <c r="G171" i="11"/>
  <c r="F172" i="11"/>
  <c r="G172" i="11"/>
  <c r="F184" i="11"/>
  <c r="G184" i="11"/>
  <c r="G185" i="11"/>
  <c r="F185" i="11"/>
  <c r="F187" i="11"/>
  <c r="G187" i="11"/>
  <c r="F188" i="11"/>
  <c r="G188" i="11"/>
  <c r="F190" i="11"/>
  <c r="G190" i="11"/>
  <c r="F218" i="11"/>
  <c r="G218" i="11"/>
  <c r="F219" i="11"/>
  <c r="G219" i="11"/>
  <c r="F220" i="11"/>
  <c r="G220" i="11"/>
  <c r="F221" i="11"/>
  <c r="G221" i="11"/>
  <c r="G222" i="11"/>
  <c r="F222" i="11"/>
  <c r="F223" i="11"/>
  <c r="G223" i="11"/>
  <c r="F224" i="11"/>
  <c r="G224" i="11"/>
  <c r="F225" i="11"/>
  <c r="G225" i="11"/>
  <c r="G226" i="11"/>
  <c r="F226" i="11"/>
  <c r="F227" i="11"/>
  <c r="F228" i="11"/>
  <c r="G228" i="11"/>
  <c r="F229" i="11"/>
  <c r="G229" i="11"/>
  <c r="F230" i="11"/>
  <c r="G230" i="11"/>
  <c r="F231" i="11"/>
  <c r="G231" i="11"/>
  <c r="F232" i="11"/>
  <c r="G232" i="11"/>
  <c r="F233" i="11"/>
  <c r="G233" i="11"/>
  <c r="F234" i="11"/>
  <c r="G234" i="11"/>
  <c r="F235" i="11"/>
  <c r="G235" i="11"/>
  <c r="F236" i="11"/>
  <c r="G236" i="11"/>
  <c r="F237" i="11"/>
  <c r="G237" i="11"/>
  <c r="F238" i="11"/>
  <c r="G238" i="11"/>
  <c r="F239" i="11"/>
  <c r="G239" i="11"/>
  <c r="F240" i="11"/>
  <c r="G240" i="11"/>
  <c r="F241" i="11"/>
  <c r="G241" i="11"/>
  <c r="F242" i="11"/>
  <c r="G242" i="11"/>
  <c r="F243" i="11"/>
  <c r="G243" i="11"/>
  <c r="F244" i="11"/>
  <c r="G244" i="11"/>
  <c r="F245" i="11"/>
  <c r="G245" i="11"/>
  <c r="F246" i="11"/>
  <c r="G246" i="11"/>
  <c r="F247" i="11"/>
  <c r="G247" i="11"/>
  <c r="F248" i="11"/>
  <c r="G248" i="11"/>
  <c r="F249" i="11"/>
  <c r="G249" i="11"/>
  <c r="F250" i="11"/>
  <c r="G250" i="11"/>
  <c r="F251" i="11"/>
  <c r="G251" i="11"/>
  <c r="F252" i="11"/>
  <c r="G252" i="11"/>
  <c r="F253" i="11"/>
  <c r="G253" i="11"/>
  <c r="F254" i="11"/>
  <c r="G254" i="11"/>
  <c r="G93" i="11"/>
  <c r="G36" i="11"/>
  <c r="G63" i="11"/>
  <c r="F118" i="11"/>
  <c r="G118" i="11"/>
  <c r="F145" i="11"/>
  <c r="G145" i="11"/>
  <c r="F36" i="11"/>
  <c r="H36" i="11" s="1"/>
  <c r="F63" i="11"/>
  <c r="H63" i="11" s="1"/>
  <c r="G227" i="11"/>
  <c r="D225" i="6"/>
  <c r="D226" i="6" s="1"/>
  <c r="D227" i="6" s="1"/>
  <c r="C73" i="9"/>
  <c r="G73" i="9" s="1"/>
  <c r="D60" i="6"/>
  <c r="D61" i="6"/>
  <c r="C52" i="9"/>
  <c r="G52" i="9" s="1"/>
  <c r="D38" i="7"/>
  <c r="C49" i="9"/>
  <c r="G49" i="9" s="1"/>
  <c r="B46" i="2"/>
  <c r="C12" i="8"/>
  <c r="D73" i="11"/>
  <c r="C25" i="7"/>
  <c r="E25" i="7" s="1"/>
  <c r="D46" i="2"/>
  <c r="E17" i="1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G182" i="11" l="1"/>
  <c r="F182" i="11"/>
  <c r="G181" i="11"/>
  <c r="F181" i="11"/>
  <c r="G186" i="11"/>
  <c r="F186" i="11"/>
  <c r="B45" i="2"/>
  <c r="C47" i="9"/>
  <c r="G47" i="9" s="1"/>
  <c r="C15" i="8"/>
  <c r="D130" i="6"/>
  <c r="C48" i="9"/>
  <c r="G48" i="9" s="1"/>
  <c r="C16" i="8"/>
  <c r="H73" i="11"/>
  <c r="F180" i="11"/>
  <c r="G180" i="11"/>
  <c r="F179" i="11"/>
  <c r="G179" i="11"/>
  <c r="F178" i="11"/>
  <c r="G178" i="11"/>
  <c r="F177" i="11"/>
  <c r="G177" i="11"/>
  <c r="F176" i="11"/>
  <c r="G176" i="11"/>
  <c r="F175" i="11"/>
  <c r="G175" i="11"/>
  <c r="F174" i="11"/>
  <c r="G174" i="11"/>
  <c r="G173" i="11"/>
  <c r="F173" i="11"/>
  <c r="C38" i="7"/>
  <c r="E38" i="7" s="1"/>
  <c r="D208" i="6"/>
  <c r="C252" i="11"/>
  <c r="B214" i="11"/>
  <c r="B213" i="11"/>
  <c r="B212" i="11"/>
  <c r="B211" i="11"/>
  <c r="B210" i="11"/>
  <c r="C214" i="11"/>
  <c r="C213" i="11"/>
  <c r="C212" i="11"/>
  <c r="C211" i="11"/>
  <c r="C210" i="11"/>
  <c r="B224" i="11"/>
  <c r="B252" i="11"/>
  <c r="C223" i="11"/>
  <c r="B223" i="11"/>
  <c r="B222" i="11"/>
  <c r="C254" i="11"/>
  <c r="B254" i="11"/>
  <c r="C253" i="11"/>
  <c r="B253" i="11"/>
  <c r="B221" i="11"/>
  <c r="C251" i="11"/>
  <c r="C222" i="11"/>
  <c r="B251" i="11"/>
  <c r="C221" i="11"/>
  <c r="H14" i="11"/>
  <c r="D229" i="6"/>
  <c r="C74" i="9"/>
  <c r="G74" i="9" s="1"/>
  <c r="I17" i="10"/>
  <c r="I18" i="10" s="1"/>
  <c r="G17" i="10"/>
  <c r="G18" i="10" s="1"/>
  <c r="F17" i="10"/>
  <c r="F18" i="10" s="1"/>
  <c r="D17" i="10"/>
  <c r="D18" i="10" s="1"/>
  <c r="H17" i="10"/>
  <c r="H18" i="10" s="1"/>
  <c r="E17" i="10"/>
  <c r="E18" i="10" s="1"/>
  <c r="C17" i="10"/>
  <c r="C18" i="10" s="1"/>
  <c r="B17" i="10"/>
  <c r="B18" i="10" s="1"/>
  <c r="B54" i="2" s="1"/>
  <c r="C9" i="7"/>
  <c r="C8" i="7"/>
  <c r="E8" i="7" s="1"/>
  <c r="B36" i="2"/>
  <c r="E73" i="11"/>
  <c r="D74" i="11"/>
  <c r="G183" i="11"/>
  <c r="F183" i="11"/>
  <c r="G168" i="11"/>
  <c r="F168" i="11"/>
  <c r="F167" i="11"/>
  <c r="G167" i="11"/>
  <c r="F166" i="11"/>
  <c r="G166" i="11"/>
  <c r="F189" i="11"/>
  <c r="G189" i="11"/>
  <c r="G170" i="11"/>
  <c r="F170" i="11"/>
  <c r="G169" i="11"/>
  <c r="F169" i="11"/>
  <c r="B244" i="11"/>
  <c r="C243" i="11"/>
  <c r="B243" i="11"/>
  <c r="C242" i="11"/>
  <c r="B242" i="11"/>
  <c r="C241" i="11"/>
  <c r="B241" i="11"/>
  <c r="C240" i="11"/>
  <c r="B240" i="11"/>
  <c r="C239" i="11"/>
  <c r="B239" i="11"/>
  <c r="C238" i="11"/>
  <c r="B238" i="11"/>
  <c r="C237" i="11"/>
  <c r="B237" i="11"/>
  <c r="C236" i="11"/>
  <c r="B236" i="11"/>
  <c r="C235" i="11"/>
  <c r="B235" i="11"/>
  <c r="C234" i="11"/>
  <c r="B234" i="11"/>
  <c r="C233" i="11"/>
  <c r="B233" i="11"/>
  <c r="C232" i="11"/>
  <c r="B232" i="11"/>
  <c r="C231" i="11"/>
  <c r="B231" i="11"/>
  <c r="C230" i="11"/>
  <c r="B230" i="11"/>
  <c r="C229" i="11"/>
  <c r="B229" i="11"/>
  <c r="C228" i="11"/>
  <c r="B228" i="11"/>
  <c r="C227" i="11"/>
  <c r="B227" i="11"/>
  <c r="C226" i="11"/>
  <c r="B226" i="11"/>
  <c r="C225" i="11"/>
  <c r="B225" i="11"/>
  <c r="C224" i="11"/>
  <c r="C207" i="11"/>
  <c r="B206" i="11"/>
  <c r="B204" i="11"/>
  <c r="B202" i="11"/>
  <c r="C200" i="11"/>
  <c r="B200" i="11"/>
  <c r="B199" i="11"/>
  <c r="C199" i="11"/>
  <c r="B198" i="11"/>
  <c r="C198" i="11"/>
  <c r="C197" i="11"/>
  <c r="B197" i="11"/>
  <c r="B196" i="11"/>
  <c r="C196" i="11"/>
  <c r="B195" i="11"/>
  <c r="C195" i="11"/>
  <c r="B194" i="11"/>
  <c r="C194" i="11"/>
  <c r="B193" i="11"/>
  <c r="C193" i="11"/>
  <c r="B192" i="11"/>
  <c r="B191" i="11"/>
  <c r="C216" i="11"/>
  <c r="C220" i="11"/>
  <c r="B218" i="11"/>
  <c r="C208" i="11"/>
  <c r="C192" i="11"/>
  <c r="C191" i="11"/>
  <c r="B215" i="11"/>
  <c r="C250" i="11"/>
  <c r="B250" i="11"/>
  <c r="C249" i="11"/>
  <c r="B249" i="11"/>
  <c r="C248" i="11"/>
  <c r="B248" i="11"/>
  <c r="C247" i="11"/>
  <c r="B247" i="11"/>
  <c r="C246" i="11"/>
  <c r="B246" i="11"/>
  <c r="C245" i="11"/>
  <c r="B245" i="11"/>
  <c r="C244" i="11"/>
  <c r="B219" i="11"/>
  <c r="B208" i="11"/>
  <c r="C206" i="11"/>
  <c r="C204" i="11"/>
  <c r="B203" i="11"/>
  <c r="B201" i="11"/>
  <c r="C217" i="11"/>
  <c r="C215" i="11"/>
  <c r="C209" i="11"/>
  <c r="B207" i="11"/>
  <c r="B205" i="11"/>
  <c r="C202" i="11"/>
  <c r="B209" i="11"/>
  <c r="B220" i="11"/>
  <c r="B217" i="11"/>
  <c r="C205" i="11"/>
  <c r="C203" i="11"/>
  <c r="C201" i="11"/>
  <c r="C219" i="11"/>
  <c r="C218" i="11"/>
  <c r="D47" i="2" l="1"/>
  <c r="C39" i="7"/>
  <c r="E39" i="7" s="1"/>
  <c r="G214" i="11"/>
  <c r="F214" i="11"/>
  <c r="F213" i="11"/>
  <c r="G213" i="11"/>
  <c r="F212" i="11"/>
  <c r="G212" i="11"/>
  <c r="G211" i="11"/>
  <c r="F211" i="11"/>
  <c r="F210" i="11"/>
  <c r="G210" i="11"/>
  <c r="B50" i="2"/>
  <c r="B52" i="2"/>
  <c r="B53" i="2"/>
  <c r="B56" i="2"/>
  <c r="B51" i="2"/>
  <c r="E74" i="11"/>
  <c r="H74" i="11"/>
  <c r="D75" i="11"/>
  <c r="G207" i="11"/>
  <c r="F207" i="11"/>
  <c r="G200" i="11"/>
  <c r="F200" i="11"/>
  <c r="G199" i="11"/>
  <c r="F199" i="11"/>
  <c r="F198" i="11"/>
  <c r="G198" i="11"/>
  <c r="G197" i="11"/>
  <c r="F197" i="11"/>
  <c r="F196" i="11"/>
  <c r="G196" i="11"/>
  <c r="F195" i="11"/>
  <c r="G195" i="11"/>
  <c r="G194" i="11"/>
  <c r="F194" i="11"/>
  <c r="F193" i="11"/>
  <c r="G193" i="11"/>
  <c r="F216" i="11"/>
  <c r="G216" i="11"/>
  <c r="G208" i="11"/>
  <c r="F208" i="11"/>
  <c r="G192" i="11"/>
  <c r="F192" i="11"/>
  <c r="F191" i="11"/>
  <c r="G191" i="11"/>
  <c r="G206" i="11"/>
  <c r="F206" i="11"/>
  <c r="G204" i="11"/>
  <c r="F204" i="11"/>
  <c r="F217" i="11"/>
  <c r="G217" i="11"/>
  <c r="F215" i="11"/>
  <c r="G215" i="11"/>
  <c r="G209" i="11"/>
  <c r="F209" i="11"/>
  <c r="G202" i="11"/>
  <c r="F202" i="11"/>
  <c r="G205" i="11"/>
  <c r="F205" i="11"/>
  <c r="G203" i="11"/>
  <c r="F203" i="11"/>
  <c r="G201" i="11"/>
  <c r="F201" i="11"/>
  <c r="H5" i="11"/>
  <c r="H6" i="11"/>
  <c r="H75" i="11" l="1"/>
  <c r="D76" i="11"/>
  <c r="H8" i="11"/>
  <c r="H7" i="11"/>
  <c r="E75" i="11"/>
  <c r="E76" i="11" l="1"/>
  <c r="H76" i="11"/>
  <c r="D77" i="11"/>
  <c r="E77" i="11" l="1"/>
  <c r="H77" i="11"/>
  <c r="D78" i="11"/>
  <c r="E78" i="11" l="1"/>
  <c r="H78" i="11"/>
  <c r="D79" i="11"/>
  <c r="E79" i="11" l="1"/>
  <c r="H79" i="11"/>
  <c r="D80" i="11"/>
  <c r="E80" i="11" l="1"/>
  <c r="H80" i="11"/>
  <c r="D81" i="11"/>
  <c r="H81" i="11" l="1"/>
  <c r="D82" i="11"/>
  <c r="E81" i="11"/>
  <c r="E82" i="11" s="1"/>
  <c r="H82" i="11" l="1"/>
  <c r="D83" i="11"/>
  <c r="E83" i="11" l="1"/>
  <c r="H83" i="11"/>
  <c r="D84" i="11"/>
  <c r="E84" i="11" l="1"/>
  <c r="H84" i="11"/>
  <c r="D85" i="11"/>
  <c r="E85" i="11" l="1"/>
  <c r="H85" i="11"/>
  <c r="D86" i="11"/>
  <c r="E86" i="11" l="1"/>
  <c r="H86" i="11"/>
  <c r="D87" i="11"/>
  <c r="E87" i="11" l="1"/>
  <c r="E88" i="11" s="1"/>
  <c r="H87" i="11"/>
  <c r="D88" i="11"/>
  <c r="H88" i="11" l="1"/>
  <c r="D89" i="11"/>
  <c r="E89" i="11" l="1"/>
  <c r="E90" i="11" s="1"/>
  <c r="H89" i="11"/>
  <c r="D90" i="11"/>
  <c r="H90" i="11" l="1"/>
  <c r="D91" i="11"/>
  <c r="E91" i="11" l="1"/>
  <c r="H91" i="11"/>
  <c r="D92" i="11"/>
  <c r="E92" i="11" l="1"/>
  <c r="H92" i="11"/>
  <c r="D93" i="11"/>
  <c r="E93" i="11" l="1"/>
  <c r="H93" i="11"/>
  <c r="D94" i="11"/>
  <c r="H94" i="11" l="1"/>
  <c r="D95" i="11"/>
  <c r="E94" i="11"/>
  <c r="E95" i="11" s="1"/>
  <c r="H95" i="11" l="1"/>
  <c r="D96" i="11"/>
  <c r="E96" i="11" l="1"/>
  <c r="H96" i="11"/>
  <c r="D97" i="11"/>
  <c r="E97" i="11" l="1"/>
  <c r="H97" i="11"/>
  <c r="D98" i="11"/>
  <c r="E98" i="11" l="1"/>
  <c r="H98" i="11"/>
  <c r="D99" i="11"/>
  <c r="E99" i="11" l="1"/>
  <c r="H99" i="11"/>
  <c r="D100" i="11"/>
  <c r="E100" i="11" l="1"/>
  <c r="H100" i="11"/>
  <c r="D101" i="11"/>
  <c r="E101" i="11" l="1"/>
  <c r="H101" i="11"/>
  <c r="D102" i="11"/>
  <c r="E102" i="11" l="1"/>
  <c r="H102" i="11"/>
  <c r="D103" i="11"/>
  <c r="E103" i="11" l="1"/>
  <c r="H103" i="11"/>
  <c r="D104" i="11"/>
  <c r="E104" i="11" l="1"/>
  <c r="H104" i="11"/>
  <c r="D105" i="11"/>
  <c r="E105" i="11" l="1"/>
  <c r="H105" i="11"/>
  <c r="D106" i="11"/>
  <c r="E106" i="11" l="1"/>
  <c r="H106" i="11"/>
  <c r="D107" i="11"/>
  <c r="E107" i="11" l="1"/>
  <c r="H107" i="11"/>
  <c r="D108" i="11"/>
  <c r="E108" i="11" l="1"/>
  <c r="H108" i="11"/>
  <c r="D109" i="11"/>
  <c r="H109" i="11" l="1"/>
  <c r="D110" i="11"/>
  <c r="E109" i="11"/>
  <c r="E110" i="11" l="1"/>
  <c r="H110" i="11"/>
  <c r="D111" i="11"/>
  <c r="E111" i="11" l="1"/>
  <c r="E112" i="11" s="1"/>
  <c r="H111" i="11"/>
  <c r="D112" i="11"/>
  <c r="H112" i="11" l="1"/>
  <c r="D113" i="11"/>
  <c r="E113" i="11" l="1"/>
  <c r="H113" i="11"/>
  <c r="D114" i="11"/>
  <c r="E114" i="11" l="1"/>
  <c r="H114" i="11"/>
  <c r="D115" i="11"/>
  <c r="E115" i="11" l="1"/>
  <c r="H115" i="11"/>
  <c r="D116" i="11"/>
  <c r="E116" i="11" l="1"/>
  <c r="H116" i="11"/>
  <c r="D117" i="11"/>
  <c r="E117" i="11" l="1"/>
  <c r="E118" i="11" s="1"/>
  <c r="H117" i="11"/>
  <c r="D118" i="11"/>
  <c r="H118" i="11" l="1"/>
  <c r="D119" i="11"/>
  <c r="E119" i="11" l="1"/>
  <c r="H119" i="11"/>
  <c r="D120" i="11"/>
  <c r="H120" i="11" l="1"/>
  <c r="D121" i="11"/>
  <c r="E120" i="11"/>
  <c r="E121" i="11" l="1"/>
  <c r="H121" i="11"/>
  <c r="D122" i="11"/>
  <c r="E122" i="11" l="1"/>
  <c r="H122" i="11"/>
  <c r="D123" i="11"/>
  <c r="E123" i="11" l="1"/>
  <c r="H123" i="11"/>
  <c r="D124" i="11"/>
  <c r="E124" i="11" l="1"/>
  <c r="H124" i="11"/>
  <c r="D125" i="11"/>
  <c r="E125" i="11" l="1"/>
  <c r="H125" i="11"/>
  <c r="D126" i="11"/>
  <c r="E126" i="11" l="1"/>
  <c r="H126" i="11"/>
  <c r="D127" i="11"/>
  <c r="E127" i="11" l="1"/>
  <c r="H127" i="11"/>
  <c r="D128" i="11"/>
  <c r="E128" i="11" l="1"/>
  <c r="E129" i="11" s="1"/>
  <c r="H128" i="11"/>
  <c r="D129" i="11"/>
  <c r="H129" i="11" l="1"/>
  <c r="D130" i="11"/>
  <c r="E130" i="11" l="1"/>
  <c r="H130" i="11"/>
  <c r="D131" i="11"/>
  <c r="E131" i="11" l="1"/>
  <c r="H131" i="11"/>
  <c r="D132" i="11"/>
  <c r="E132" i="11" l="1"/>
  <c r="H132" i="11"/>
  <c r="D133" i="11"/>
  <c r="E133" i="11" l="1"/>
  <c r="H133" i="11"/>
  <c r="D134" i="11"/>
  <c r="E134" i="11" l="1"/>
  <c r="E135" i="11" s="1"/>
  <c r="H134" i="11"/>
  <c r="D135" i="11"/>
  <c r="H135" i="11" l="1"/>
  <c r="D136" i="11"/>
  <c r="E136" i="11" l="1"/>
  <c r="H136" i="11"/>
  <c r="D137" i="11"/>
  <c r="H137" i="11" l="1"/>
  <c r="D138" i="11"/>
  <c r="E137" i="11"/>
  <c r="E138" i="11" l="1"/>
  <c r="H138" i="11"/>
  <c r="D139" i="11"/>
  <c r="E139" i="11" l="1"/>
  <c r="H139" i="11"/>
  <c r="D140" i="11"/>
  <c r="H140" i="11" l="1"/>
  <c r="D141" i="11"/>
  <c r="E140" i="11"/>
  <c r="E141" i="11" l="1"/>
  <c r="H141" i="11"/>
  <c r="D142" i="11"/>
  <c r="E142" i="11" l="1"/>
  <c r="H142" i="11"/>
  <c r="D143" i="11"/>
  <c r="H143" i="11" l="1"/>
  <c r="D144" i="11"/>
  <c r="E143" i="11"/>
  <c r="E144" i="11" l="1"/>
  <c r="H144" i="11"/>
  <c r="D145" i="11"/>
  <c r="E145" i="11" l="1"/>
  <c r="H145" i="11"/>
  <c r="D146" i="11"/>
  <c r="H146" i="11" l="1"/>
  <c r="D147" i="11"/>
  <c r="E146" i="11"/>
  <c r="E147" i="11" l="1"/>
  <c r="H147" i="11"/>
  <c r="D148" i="11"/>
  <c r="E148" i="11" l="1"/>
  <c r="H148" i="11"/>
  <c r="D149" i="11"/>
  <c r="H149" i="11" l="1"/>
  <c r="D150" i="11"/>
  <c r="E149" i="11"/>
  <c r="E150" i="11" l="1"/>
  <c r="H150" i="11"/>
  <c r="D151" i="11"/>
  <c r="E151" i="11" l="1"/>
  <c r="H151" i="11"/>
  <c r="D152" i="11"/>
  <c r="H152" i="11" l="1"/>
  <c r="D153" i="11"/>
  <c r="E152" i="11"/>
  <c r="E153" i="11" l="1"/>
  <c r="H153" i="11"/>
  <c r="D154" i="11"/>
  <c r="E154" i="11" l="1"/>
  <c r="H154" i="11"/>
  <c r="D155" i="11"/>
  <c r="H155" i="11" l="1"/>
  <c r="D156" i="11"/>
  <c r="E155" i="11"/>
  <c r="E156" i="11" s="1"/>
  <c r="H156" i="11" l="1"/>
  <c r="D157" i="11"/>
  <c r="E157" i="11" l="1"/>
  <c r="H157" i="11"/>
  <c r="D158" i="11"/>
  <c r="E158" i="11" l="1"/>
  <c r="H158" i="11"/>
  <c r="D159" i="11"/>
  <c r="E159" i="11" l="1"/>
  <c r="H159" i="11"/>
  <c r="D160" i="11"/>
  <c r="E160" i="11" l="1"/>
  <c r="H160" i="11"/>
  <c r="D161" i="11"/>
  <c r="E161" i="11" l="1"/>
  <c r="H161" i="11"/>
  <c r="D162" i="11"/>
  <c r="E162" i="11" l="1"/>
  <c r="H162" i="11"/>
  <c r="D163" i="11"/>
  <c r="E163" i="11" l="1"/>
  <c r="E164" i="11" s="1"/>
  <c r="H163" i="11"/>
  <c r="D164" i="11"/>
  <c r="H164" i="11" l="1"/>
  <c r="D165" i="11"/>
  <c r="E165" i="11" l="1"/>
  <c r="H165" i="11"/>
  <c r="D166" i="11"/>
  <c r="E166" i="11" l="1"/>
  <c r="H166" i="11"/>
  <c r="D167" i="11"/>
  <c r="E167" i="11" l="1"/>
  <c r="E168" i="11" s="1"/>
  <c r="H167" i="11"/>
  <c r="D168" i="11"/>
  <c r="H168" i="11" l="1"/>
  <c r="D169" i="11"/>
  <c r="E169" i="11" l="1"/>
  <c r="E170" i="11" s="1"/>
  <c r="H169" i="11"/>
  <c r="D170" i="11"/>
  <c r="H170" i="11" l="1"/>
  <c r="D171" i="11"/>
  <c r="E171" i="11" l="1"/>
  <c r="H171" i="11"/>
  <c r="D172" i="11"/>
  <c r="H172" i="11" l="1"/>
  <c r="D173" i="11"/>
  <c r="E172" i="11"/>
  <c r="E173" i="11" s="1"/>
  <c r="H173" i="11" l="1"/>
  <c r="D174" i="11"/>
  <c r="E174" i="11" l="1"/>
  <c r="H174" i="11"/>
  <c r="D175" i="11"/>
  <c r="E175" i="11" l="1"/>
  <c r="H175" i="11"/>
  <c r="D176" i="11"/>
  <c r="E176" i="11" l="1"/>
  <c r="H176" i="11"/>
  <c r="D177" i="11"/>
  <c r="E177" i="11" l="1"/>
  <c r="H177" i="11"/>
  <c r="D178" i="11"/>
  <c r="E178" i="11" l="1"/>
  <c r="H178" i="11"/>
  <c r="D179" i="11"/>
  <c r="E179" i="11" l="1"/>
  <c r="H179" i="11"/>
  <c r="D180" i="11"/>
  <c r="E180" i="11" l="1"/>
  <c r="H180" i="11"/>
  <c r="D181" i="11"/>
  <c r="E181" i="11" l="1"/>
  <c r="H181" i="11"/>
  <c r="D182" i="11"/>
  <c r="E182" i="11" l="1"/>
  <c r="H182" i="11"/>
  <c r="D183" i="11"/>
  <c r="E183" i="11" l="1"/>
  <c r="H183" i="11"/>
  <c r="D184" i="11"/>
  <c r="E184" i="11" l="1"/>
  <c r="H184" i="11"/>
  <c r="D185" i="11"/>
  <c r="E185" i="11" l="1"/>
  <c r="H185" i="11"/>
  <c r="D186" i="11"/>
  <c r="E186" i="11" l="1"/>
  <c r="H186" i="11"/>
  <c r="D187" i="11"/>
  <c r="H187" i="11" l="1"/>
  <c r="D188" i="11"/>
  <c r="E187" i="11"/>
  <c r="E188" i="11" s="1"/>
  <c r="H188" i="11" l="1"/>
  <c r="D189" i="11"/>
  <c r="E189" i="11" l="1"/>
  <c r="H189" i="11"/>
  <c r="D190" i="11"/>
  <c r="E190" i="11" l="1"/>
  <c r="H190" i="11"/>
  <c r="D191" i="11"/>
  <c r="E191" i="11" l="1"/>
  <c r="H191" i="11"/>
  <c r="D192" i="11"/>
  <c r="E192" i="11" l="1"/>
  <c r="H192" i="11"/>
  <c r="D193" i="11"/>
  <c r="E193" i="11" l="1"/>
  <c r="H193" i="11"/>
  <c r="D194" i="11"/>
  <c r="E194" i="11" l="1"/>
  <c r="H194" i="11"/>
  <c r="D195" i="11"/>
  <c r="E195" i="11" l="1"/>
  <c r="H195" i="11"/>
  <c r="D196" i="11"/>
  <c r="E196" i="11" l="1"/>
  <c r="H196" i="11"/>
  <c r="D197" i="11"/>
  <c r="E197" i="11" l="1"/>
  <c r="E198" i="11" s="1"/>
  <c r="H197" i="11"/>
  <c r="D198" i="11"/>
  <c r="H198" i="11" l="1"/>
  <c r="D199" i="11"/>
  <c r="E199" i="11" l="1"/>
  <c r="E200" i="11" s="1"/>
  <c r="H199" i="11"/>
  <c r="D200" i="11"/>
  <c r="H200" i="11" l="1"/>
  <c r="D201" i="11"/>
  <c r="E201" i="11" l="1"/>
  <c r="H201" i="11"/>
  <c r="D202" i="11"/>
  <c r="H202" i="11" l="1"/>
  <c r="D203" i="11"/>
  <c r="E202" i="11"/>
  <c r="E203" i="11" l="1"/>
  <c r="H203" i="11"/>
  <c r="D204" i="11"/>
  <c r="E204" i="11" l="1"/>
  <c r="E205" i="11" s="1"/>
  <c r="H204" i="11"/>
  <c r="D205" i="11"/>
  <c r="H205" i="11" l="1"/>
  <c r="D206" i="11"/>
  <c r="E206" i="11" l="1"/>
  <c r="H206" i="11"/>
  <c r="D207" i="11"/>
  <c r="E207" i="11" l="1"/>
  <c r="H207" i="11"/>
  <c r="D208" i="11"/>
  <c r="E208" i="11" l="1"/>
  <c r="H208" i="11"/>
  <c r="D209" i="11"/>
  <c r="H209" i="11" l="1"/>
  <c r="D210" i="11"/>
  <c r="E209" i="11"/>
  <c r="E210" i="11" s="1"/>
  <c r="H210" i="11" l="1"/>
  <c r="D211" i="11"/>
  <c r="E211" i="11" l="1"/>
  <c r="E212" i="11" s="1"/>
  <c r="H211" i="11"/>
  <c r="D212" i="11"/>
  <c r="H212" i="11" l="1"/>
  <c r="D213" i="11"/>
  <c r="E213" i="11" l="1"/>
  <c r="H213" i="11"/>
  <c r="D214" i="11"/>
  <c r="E214" i="11" l="1"/>
  <c r="H214" i="11"/>
  <c r="D215" i="11"/>
  <c r="E215" i="11" l="1"/>
  <c r="H215" i="11"/>
  <c r="D216" i="11"/>
  <c r="E216" i="11" l="1"/>
  <c r="H216" i="11"/>
  <c r="D217" i="11"/>
  <c r="E217" i="11" l="1"/>
  <c r="H217" i="11"/>
  <c r="D218" i="11"/>
  <c r="E218" i="11" l="1"/>
  <c r="H218" i="11"/>
  <c r="D219" i="11"/>
  <c r="E219" i="11" l="1"/>
  <c r="H219" i="11"/>
  <c r="D220" i="11"/>
  <c r="E220" i="11" l="1"/>
  <c r="H220" i="11"/>
  <c r="D221" i="11"/>
  <c r="E221" i="11" l="1"/>
  <c r="H221" i="11"/>
  <c r="D222" i="11"/>
  <c r="H222" i="11" l="1"/>
  <c r="D223" i="11"/>
  <c r="E222" i="11"/>
  <c r="E223" i="11" s="1"/>
  <c r="H223" i="11" l="1"/>
  <c r="D224" i="11"/>
  <c r="E224" i="11" l="1"/>
  <c r="H224" i="11"/>
  <c r="D225" i="11"/>
  <c r="H225" i="11" l="1"/>
  <c r="D226" i="11"/>
  <c r="E225" i="11"/>
  <c r="E226" i="11" l="1"/>
  <c r="H226" i="11"/>
  <c r="D227" i="11"/>
  <c r="E227" i="11" l="1"/>
  <c r="H227" i="11"/>
  <c r="D228" i="11"/>
  <c r="E228" i="11" l="1"/>
  <c r="H228" i="11"/>
  <c r="D229" i="11"/>
  <c r="E229" i="11" l="1"/>
  <c r="H229" i="11"/>
  <c r="D230" i="11"/>
  <c r="H230" i="11" l="1"/>
  <c r="D231" i="11"/>
  <c r="E230" i="11"/>
  <c r="H231" i="11" l="1"/>
  <c r="D232" i="11"/>
  <c r="E231" i="11"/>
  <c r="E232" i="11" l="1"/>
  <c r="H232" i="11"/>
  <c r="D233" i="11"/>
  <c r="E233" i="11" l="1"/>
  <c r="H233" i="11"/>
  <c r="D234" i="11"/>
  <c r="E234" i="11" l="1"/>
  <c r="H234" i="11"/>
  <c r="D235" i="11"/>
  <c r="E235" i="11" l="1"/>
  <c r="H235" i="11"/>
  <c r="D236" i="11"/>
  <c r="E236" i="11" l="1"/>
  <c r="H236" i="11"/>
  <c r="D237" i="11"/>
  <c r="E237" i="11" l="1"/>
  <c r="H237" i="11"/>
  <c r="D238" i="11"/>
  <c r="E238" i="11" l="1"/>
  <c r="H238" i="11"/>
  <c r="D239" i="11"/>
  <c r="E239" i="11" l="1"/>
  <c r="H239" i="11"/>
  <c r="D240" i="11"/>
  <c r="E240" i="11" l="1"/>
  <c r="H240" i="11"/>
  <c r="D241" i="11"/>
  <c r="E241" i="11" l="1"/>
  <c r="H241" i="11"/>
  <c r="D242" i="11"/>
  <c r="E242" i="11" l="1"/>
  <c r="H242" i="11"/>
  <c r="D243" i="11"/>
  <c r="E243" i="11" l="1"/>
  <c r="H243" i="11"/>
  <c r="D244" i="11"/>
  <c r="E244" i="11" l="1"/>
  <c r="H244" i="11"/>
  <c r="D245" i="11"/>
  <c r="E245" i="11" l="1"/>
  <c r="H245" i="11"/>
  <c r="D246" i="11"/>
  <c r="E246" i="11" l="1"/>
  <c r="H246" i="11"/>
  <c r="D247" i="11"/>
  <c r="E247" i="11" l="1"/>
  <c r="H247" i="11"/>
  <c r="D248" i="11"/>
  <c r="E248" i="11" l="1"/>
  <c r="H248" i="11"/>
  <c r="D249" i="11"/>
  <c r="E249" i="11" l="1"/>
  <c r="E250" i="11" s="1"/>
  <c r="H249" i="11"/>
  <c r="D250" i="11"/>
  <c r="H250" i="11" l="1"/>
  <c r="D251" i="11"/>
  <c r="E251" i="11" l="1"/>
  <c r="H251" i="11"/>
  <c r="D252" i="11"/>
  <c r="E252" i="11" l="1"/>
  <c r="H252" i="11"/>
  <c r="D253" i="11"/>
  <c r="E253" i="11" l="1"/>
  <c r="H253" i="11"/>
  <c r="D254" i="11"/>
  <c r="H4" i="11" l="1"/>
  <c r="H254" i="11"/>
  <c r="E254" i="11"/>
  <c r="H9" i="11" s="1"/>
</calcChain>
</file>

<file path=xl/sharedStrings.xml><?xml version="1.0" encoding="utf-8"?>
<sst xmlns="http://schemas.openxmlformats.org/spreadsheetml/2006/main" count="2704" uniqueCount="1706">
  <si>
    <t>FILE TÍNH TOÁN &amp; KIỂM NGHIỆM THIẾT BỊ — HỆ TRUYỀN ĐỘNG XE CON CẦU TRỤC DẦM ĐÔI (x = 2)</t>
  </si>
  <si>
    <t>Mã hồ sơ: CDRL-02 — Gói SOW-3.1 / SOW-3.3 (Khối 3 — CDR-EVT)</t>
  </si>
  <si>
    <t>Baseline: SSoT-8.5EMG-v1.2 (P-01..P-20), SRS Baseline A.1 (ký 24/10/2026; SRS-PERM-04: k_dt ≥ 1.20). Trạng thái: ĐÃ DUYỆT — Cổng G4 đóng 24/10/2026.</t>
  </si>
  <si>
    <t>Phạm vi (QĐ-07): chỉ xét điều kiện vận hành lý tưởng — không mất điện, không E-STOP/dừng khẩn, không xét sự cố thiết bị.</t>
  </si>
  <si>
    <t>QUY ƯỚC MÀU</t>
  </si>
  <si>
    <t>Chữ xanh dương = số nhập (hằng số gốc / giả định / catalogue). Chữ đen = công thức. Chữ xanh lá = công thức lấy từ sheet khác.</t>
  </si>
  <si>
    <t>Nền vàng = ô quyết định của Người dùng (chọn ứng viên động cơ, tỷ số truyền thực tế, R_h, M_B...). Ứng viên động cơ đã chốt sel = 1 (QĐ-04).</t>
  </si>
  <si>
    <t>Mọi ô ở 'Tính chọn', 'Kiểm tra', 'Dẫn xuất' là công thức; không gõ lại hằng số (WORKFLOW_RULES §6).</t>
  </si>
  <si>
    <t>CẤU TRÚC SHEET</t>
  </si>
  <si>
    <t>Params — 20 thông số gốc P-01..P-20 (sao chép đúng SSoT v1.2).</t>
  </si>
  <si>
    <t>GiaDinh_K3 — giả định thiết kế [C] phát sinh ở Khối 3 và ô quyết định (có lý do, mốc kiểm tra). Hàng 43–58: giả định mô phỏng (Khối 4).</t>
  </si>
  <si>
    <t>Catalogue — dữ liệu catalogue web [W-01..W-05] cho 2 ứng viên động cơ SEW DRN và 2 biến tần ABB ACS380.</t>
  </si>
  <si>
    <t>Tính chọn — các khối A..R: tải, quy đổi, S-curve, chu trình S3, λ, biến tần, hãm R_h, phanh, mạch thay thế ĐC, PI MO/SO; O–R: mô hình 2 khối lượng, giới hạn điện áp, DC-link, kịch bản mô phỏng. S (v1.4): kiểm tra bổ sung và P_dc,hãm kể δ, J_B (tham khảo).</t>
  </si>
  <si>
    <t>Kiểm tra — so sánh với ngưỡng SRS Baseline A(.1) &amp; Downstream Allocation → Đạt / Không đạt / TBD.</t>
  </si>
  <si>
    <t>Dẫn xuất — yêu cầu dẫn xuất SRS-D01..D15 (giá trị, yêu cầu cha, bước tính, phép kiểm chứng).</t>
  </si>
  <si>
    <t>WCCA — phân tích trường hợp xấu nhất rút gọn WC-0..WC-7 bằng công thức.</t>
  </si>
  <si>
    <t>Mo_phong — bộ thông số mô phỏng theo tên biến ICD v1.2 §4.1: nguồn duy nhất cho init_params.m (Khối 4); mọi ô là công thức trỏ về sheet gốc. Cột G (v1.4): dòng lệnh MATLAB sinh sẵn.</t>
  </si>
  <si>
    <t>Quy_dao — quỹ đạo S-curve và biểu đồ phụ tải một hành trình (v1.4), mô hình khối cứng như khối D/F; góc II/IV nhân η.</t>
  </si>
  <si>
    <t>NGUỒN CATALOGUE WEB (cần lưu PDF vào 'Tài liệu tham khảo/')</t>
  </si>
  <si>
    <t>[W-01] SEW-EURODRIVE Catalog DRN.. Gearmotors (IE3), 24832936/EN-09/2018, §13.4.1 tr.866 — https://match.kheoos.com/media/medias/k0/46-648c5348d0a1b.pdf</t>
  </si>
  <si>
    <t>[W-02] SEW-EURODRIVE (E)DRN.. (IE3) Gearmotors 60 Hz Revision, 24772933/EN-01/2018, §1.4 tr.24-25 — https://download.sew-eurodrive.com/download/pdf/24772933.pdf</t>
  </si>
  <si>
    <t>[W-03] SEW-EURODRIVE Addendum DRN.. Gearmotors (IE3) 2-/6-pole, 22866450/EN-06/2016, §4.3.2 tr.24-25 — https://download.sew-eurodrive.com/download/pdf/22866450.pdf</t>
  </si>
  <si>
    <t>[W-04] SEW-EURODRIVE ES7C/EV7C — https://download.sew-eurodrive.com/download/html/31974465/en-EN/39119693963.html</t>
  </si>
  <si>
    <t>[W-05] ABB ACS380 catalog 3AUA0000187460 REV D EN 22.9.2020, tr.10, 12, 24 — https://www.auser.fi/wp-content/uploads/ACS380-katalogi.pdf</t>
  </si>
  <si>
    <t>[W-06] SEW Drive Selection (ứng dụng xe con, 25/10/2026): R87, i = 155.34, M_a,max 1550 N·m, F_Ra 17100 N — https://kz.sew-eurodrive.com/os/ds/</t>
  </si>
  <si>
    <t>[W-07] SEW Technical Note B-107-04 'BE Brake - Torques / Spring Combinations / Air Gap' — BE1: 10/7/5 N·m</t>
  </si>
  <si>
    <t>[W-08] ABB ACS380 Quick installation and start-up guide (QISG rev F) — cầu chì gG OFAF000H6 cho 03A3-4</t>
  </si>
  <si>
    <t>[W-09] Danotherm CBH 360 C T 406 210R (Partco): 210 Ω ±10%, 200 W @40 °C, công tắc nhiệt</t>
  </si>
  <si>
    <t>[W-10] ABB AF09-30-10-13 (1SBL137001R1310): AC-3 9 A @400 V, AC-1 25 A (plc-direct)</t>
  </si>
  <si>
    <t>Tất cả PDF nguồn lưu tại 'Tài liệu tham khảo/Catalogue web/'.</t>
  </si>
  <si>
    <t>GIẢI THÍCH NGẮN (vì sao tính như vậy)</t>
  </si>
  <si>
    <t>1) Xe con chạy rất chậm (0.12 m/s) nhưng khối lượng lớn (14,244 kg): mô-men gia tốc ≈ 5 lần mô-men cản tĩnh, trong khi pha gia tốc chỉ ≈ 0.5 s/lần → động cơ phải chọn theo mô-men cực đại (λ), không theo nhiệt.</t>
  </si>
  <si>
    <t>2) M_đt tính theo trung bình bình phương mô-men trên thời gian đóng điện của chu kỳ S3-40% (t_lv = 240 s/600 s); k_dt = P_đm/P_đt.</t>
  </si>
  <si>
    <t>3) λ kiểm tra ở sụt áp -10%: mô-men tới hạn tỷ lệ U², quy về điện áp định mức động cơ U_N = 400 V → λ_K·(342/400)² phải ≥ M_max/M_N.</t>
  </si>
  <si>
    <t>4) R_h nằm trong [R_min; R_max] của chopper biến tần và không lớn hơn U_chop²/P_hãm để hấp thụ đủ công suất hãm đỉnh.</t>
  </si>
  <si>
    <t>5) Tham số mạch thay thế ĐC ước lượng từ dữ liệu bảng tên (sơ đồ vòng tròn, bỏ qua R_s khi tính I0); cần nhận dạng lại (ID-run) khi có động cơ thật.</t>
  </si>
  <si>
    <t>6) PI dòng chỉnh theo tối ưu module (Bài 2.1 slide 26-27; Bài 2.3 slide 33-37); PI tốc độ theo tối ưu đối xứng, chỉnh tại J_tune = √(J_max·J_min) để độ dự trữ pha bằng nhau ở đầy/không tải.</t>
  </si>
  <si>
    <t>7) Mô phỏng dùng mô hình 2 khối lượng: xe con cứng m_xc + con lắc (Q + m_nh). Vì t_acc ≈ 0.5 s ≪ T_p ≈ 7 s, tải chưa kịp chuyển động khi xe tăng tốc nên mô-men đỉnh trên Simulink chỉ ≈ 1/2 mô-men khối cứng của Excel (khối O). Excel giữ khối cứng vì là cận trên an toàn theo bài giảng.</t>
  </si>
  <si>
    <t>8) ĐC định mức 400 V/50 Hz chạy trên lưới 380 V: nghịch lưu chỉ tạo được k_u·U_dc/√2 nên ở gần v_max phải giảm từ thông (khối P, SRS-D14..D15); KT-37/38 kiểm dòng vẫn trong giới hạn.</t>
  </si>
  <si>
    <t>TỔNG HỢP — HỆ TRUYỀN ĐỘNG XE CON CẦU TRỤC DẦM ĐÔI (x = 2) — EXCEL v1.4</t>
  </si>
  <si>
    <t>1. ĐỀ BÀI VÀ GIẢ ĐỊNH CHÍNH</t>
  </si>
  <si>
    <t>Đại lượng</t>
  </si>
  <si>
    <t>Giá trị</t>
  </si>
  <si>
    <t>Đơn vị</t>
  </si>
  <si>
    <t>Nguồn</t>
  </si>
  <si>
    <t>Tải trọng định mức Q</t>
  </si>
  <si>
    <t>kg</t>
  </si>
  <si>
    <t>P-01 [A]</t>
  </si>
  <si>
    <t>Khối lượng cơ cấu nâng hạ m_nh</t>
  </si>
  <si>
    <t>P-02 [A]</t>
  </si>
  <si>
    <t>Khối lượng xe con m_xc</t>
  </si>
  <si>
    <t>P-03 [C] — chưa có catalogue</t>
  </si>
  <si>
    <t>Chiều cao nâng h</t>
  </si>
  <si>
    <t>m</t>
  </si>
  <si>
    <t>P-06 [A]</t>
  </si>
  <si>
    <t>Vận tốc tối đa v_max</t>
  </si>
  <si>
    <t>m/s</t>
  </si>
  <si>
    <t>P-09 [A]</t>
  </si>
  <si>
    <t>Gia tốc cực đại a_max</t>
  </si>
  <si>
    <t>m/s²</t>
  </si>
  <si>
    <t>P-10 [A]</t>
  </si>
  <si>
    <t>Độ giật cực đại ρ_max</t>
  </si>
  <si>
    <t>m/s³</t>
  </si>
  <si>
    <t>P-11 [A]</t>
  </si>
  <si>
    <t>Chế độ làm việc</t>
  </si>
  <si>
    <t>-</t>
  </si>
  <si>
    <t>P-17</t>
  </si>
  <si>
    <t>2. CẤU HÌNH THIẾT BỊ ĐÃ CHỐT (QĐ-04, sel = 1)</t>
  </si>
  <si>
    <t>Hạng mục</t>
  </si>
  <si>
    <t>Thiết bị / mã</t>
  </si>
  <si>
    <t>Thông số chính</t>
  </si>
  <si>
    <t>Động cơ</t>
  </si>
  <si>
    <t>[W-01], [W-02]</t>
  </si>
  <si>
    <t>Hộp số</t>
  </si>
  <si>
    <t>SEW R87 (trụ đồng trục)</t>
  </si>
  <si>
    <t>[W-06]</t>
  </si>
  <si>
    <t>Phanh</t>
  </si>
  <si>
    <t>[W-07]</t>
  </si>
  <si>
    <t>Encoder</t>
  </si>
  <si>
    <t>SEW ES7C</t>
  </si>
  <si>
    <t>[W-04]</t>
  </si>
  <si>
    <t>Biến tần</t>
  </si>
  <si>
    <t>[W-05] tr.12</t>
  </si>
  <si>
    <t>Điện trở hãm</t>
  </si>
  <si>
    <t>Danotherm CBH 360 C T 406 210R</t>
  </si>
  <si>
    <t>[W-05] tr.24, [W-09]</t>
  </si>
  <si>
    <t>Bảo vệ / đóng cắt</t>
  </si>
  <si>
    <t>Cầu chì gG 6 A OFAF000H6 · Contactor ABB AF09-30-10-13</t>
  </si>
  <si>
    <t>[W-08], [W-10]</t>
  </si>
  <si>
    <t>Điều khiển</t>
  </si>
  <si>
    <t>RFOC + S-curve 7 đoạn + FSM</t>
  </si>
  <si>
    <t>SDD Khối 3</t>
  </si>
  <si>
    <t>3. KẾT QUẢ CHÍNH</t>
  </si>
  <si>
    <t>Ngưỡng / so sánh</t>
  </si>
  <si>
    <t>Mã KT</t>
  </si>
  <si>
    <t>Lực cản tĩnh đầy tải F_c</t>
  </si>
  <si>
    <t>N</t>
  </si>
  <si>
    <t>KT-01</t>
  </si>
  <si>
    <t>Lực kéo cực đại F_max</t>
  </si>
  <si>
    <t>Downstream #6</t>
  </si>
  <si>
    <t>KT-06</t>
  </si>
  <si>
    <t>Công suất tĩnh / công suất đỉnh</t>
  </si>
  <si>
    <t>W</t>
  </si>
  <si>
    <t>Tỷ số truyền yêu cầu / thực</t>
  </si>
  <si>
    <t>KT-31</t>
  </si>
  <si>
    <t>Quán tính tổng đầy / không tải</t>
  </si>
  <si>
    <t>kg·m²</t>
  </si>
  <si>
    <t>Mô-men cực đại M_max (a_max)</t>
  </si>
  <si>
    <t>N·m</t>
  </si>
  <si>
    <t>λ khả dụng ở lưới −10% (quy về 400 V)</t>
  </si>
  <si>
    <t>KT-05</t>
  </si>
  <si>
    <t>Mô-men đẳng trị M_đt</t>
  </si>
  <si>
    <t>Hệ số dự trữ nhiệt k_dt</t>
  </si>
  <si>
    <t>KT-07</t>
  </si>
  <si>
    <t>Hệ số bám đầy / không tải</t>
  </si>
  <si>
    <t>KT-02, 03</t>
  </si>
  <si>
    <t>Dòng đỉnh khi tăng tốc</t>
  </si>
  <si>
    <t>A</t>
  </si>
  <si>
    <t>KT-11</t>
  </si>
  <si>
    <t>Công suất hãm đỉnh về DC-link</t>
  </si>
  <si>
    <t>KT-15</t>
  </si>
  <si>
    <t xml:space="preserve">  … kể δ và J_B (tham khảo, khối S)</t>
  </si>
  <si>
    <t>—</t>
  </si>
  <si>
    <t>Cửa sổ R_h</t>
  </si>
  <si>
    <t>Ω</t>
  </si>
  <si>
    <t>KT-13, 14</t>
  </si>
  <si>
    <t>Năng lượng vào R_h mỗi lần dừng</t>
  </si>
  <si>
    <t>J</t>
  </si>
  <si>
    <t>KT-39</t>
  </si>
  <si>
    <t>Cửa sổ mô-men phanh</t>
  </si>
  <si>
    <t>KT-27, 28</t>
  </si>
  <si>
    <t>S-curve: T_j / T_a / t_acc</t>
  </si>
  <si>
    <t>s</t>
  </si>
  <si>
    <t>KT-18..20</t>
  </si>
  <si>
    <t>PI dòng K_p,I / T_i,I</t>
  </si>
  <si>
    <t>KT-22</t>
  </si>
  <si>
    <t>PI tốc độ K_p,ω / T_i,ω</t>
  </si>
  <si>
    <t>KT-23, 24</t>
  </si>
  <si>
    <t>Tỷ số từ thông nhỏ nhất (lưới −10%)</t>
  </si>
  <si>
    <t>KT-37, 38</t>
  </si>
  <si>
    <t>4. KẾT LUẬN</t>
  </si>
  <si>
    <t>Kiểm tra Đạt</t>
  </si>
  <si>
    <t>Không áp dụng (CR-01, QĐ-07)</t>
  </si>
  <si>
    <t>TBD (mô phỏng Khối 4–5)</t>
  </si>
  <si>
    <t>Không đạt</t>
  </si>
  <si>
    <t>Kịch bản WCCA Đạt</t>
  </si>
  <si>
    <t>Biên quá tải nhỏ nhất (WCCA)</t>
  </si>
  <si>
    <t>Kết luận cấu hình</t>
  </si>
  <si>
    <t>Giới hạn còn mở: m_xc = 1,800 kg là giả định [C]; tham số mạch thay thế ĐC ước lượng từ bảng tên (cần ID-run); ngưỡng chopper ACS380 và C_dc chưa đối chiếu firmware/catalogue; tổ hợp R87 + khung DRN80 cần SEW xác nhận khi đặt hàng.</t>
  </si>
  <si>
    <t>Phạm vi: vận hành lý tưởng (QĐ-07) — không xét mất điện, dừng khẩn, sự cố thiết bị.</t>
  </si>
  <si>
    <t>Mã P-xx</t>
  </si>
  <si>
    <t>Ký hiệu</t>
  </si>
  <si>
    <t>Loại [A/B/C]</t>
  </si>
  <si>
    <t>ID yêu cầu</t>
  </si>
  <si>
    <t>Tên thông số (tham khảo)</t>
  </si>
  <si>
    <t>P-01</t>
  </si>
  <si>
    <t>Q</t>
  </si>
  <si>
    <t>[A]</t>
  </si>
  <si>
    <t>SRS-PERM-01</t>
  </si>
  <si>
    <t>Đề bài x = 2 (SSoT v1.2)</t>
  </si>
  <si>
    <t>Tải trọng nâng định mức</t>
  </si>
  <si>
    <t>P-02</t>
  </si>
  <si>
    <t>m_nh</t>
  </si>
  <si>
    <t>Đề bài x = 2</t>
  </si>
  <si>
    <t>Khối lượng cơ cấu nâng hạ</t>
  </si>
  <si>
    <t>P-03</t>
  </si>
  <si>
    <t>m_xc</t>
  </si>
  <si>
    <t>[C]</t>
  </si>
  <si>
    <t>Giả định ~15% Q; kiểm tra lại Khối 2 (chưa có catalogue)</t>
  </si>
  <si>
    <t>Khối lượng bản thân xe con</t>
  </si>
  <si>
    <t>P-04</t>
  </si>
  <si>
    <t>M_Σ</t>
  </si>
  <si>
    <t>[B]</t>
  </si>
  <si>
    <t>P-01+P-02+P-03</t>
  </si>
  <si>
    <t>Tổng khối lượng đầy tải</t>
  </si>
  <si>
    <t>P-05</t>
  </si>
  <si>
    <t>m_tĩnh</t>
  </si>
  <si>
    <t>P-02+P-03</t>
  </si>
  <si>
    <t>Tổng khối lượng không tải</t>
  </si>
  <si>
    <t>P-06</t>
  </si>
  <si>
    <t>h</t>
  </si>
  <si>
    <t>SRS-PERM-03</t>
  </si>
  <si>
    <t>Chiều cao nâng (dài cáp)</t>
  </si>
  <si>
    <t>P-07</t>
  </si>
  <si>
    <t>ω_p</t>
  </si>
  <si>
    <t>rad/s</t>
  </si>
  <si>
    <t>√(g/h)</t>
  </si>
  <si>
    <t>Tần số góc con lắc</t>
  </si>
  <si>
    <t>P-08</t>
  </si>
  <si>
    <t>T_p</t>
  </si>
  <si>
    <t>2π/ω_p</t>
  </si>
  <si>
    <t>Chu kỳ con lắc</t>
  </si>
  <si>
    <t>P-09</t>
  </si>
  <si>
    <t>v_max</t>
  </si>
  <si>
    <t>SRS-PERM-02</t>
  </si>
  <si>
    <t>Vận tốc di chuyển lớn nhất</t>
  </si>
  <si>
    <t>P-10</t>
  </si>
  <si>
    <t>a_max</t>
  </si>
  <si>
    <t>SRS-FUNC-03, SRS-PERM-03</t>
  </si>
  <si>
    <t>Đề bài</t>
  </si>
  <si>
    <t>Gia tốc cực đại cho phép</t>
  </si>
  <si>
    <t>P-11</t>
  </si>
  <si>
    <t>ρ_max</t>
  </si>
  <si>
    <t>Độ giật cực đại cho phép</t>
  </si>
  <si>
    <t>P-12</t>
  </si>
  <si>
    <t>D_bx</t>
  </si>
  <si>
    <t>SRS-PERM-01, SRS-PERM-02</t>
  </si>
  <si>
    <t>Giả định SSoT (nguồn DIN 536 chưa có trong kho)</t>
  </si>
  <si>
    <t>Đường kính bánh xe</t>
  </si>
  <si>
    <t>P-13</t>
  </si>
  <si>
    <t>w_0</t>
  </si>
  <si>
    <t>Giả định SSoT; dải SOW 0.012-0.018</t>
  </si>
  <si>
    <t>Suất cản lăn riêng</t>
  </si>
  <si>
    <t>P-14</t>
  </si>
  <si>
    <t>φ</t>
  </si>
  <si>
    <t>Giả định SSoT (Bài 4 slide 43: truyền lực ma sát)</t>
  </si>
  <si>
    <t>Hệ số bám bánh thép-ray</t>
  </si>
  <si>
    <t>P-15</t>
  </si>
  <si>
    <t>η</t>
  </si>
  <si>
    <t>Giả định SSoT (bảo thủ cho geared motor)</t>
  </si>
  <si>
    <t>Hiệu suất cơ khí</t>
  </si>
  <si>
    <t>P-16</t>
  </si>
  <si>
    <t>i</t>
  </si>
  <si>
    <t>Giả định SSoT; Khối 3 dùng i_thực (SRS-D03)</t>
  </si>
  <si>
    <t>Tỷ số truyền sơ bộ</t>
  </si>
  <si>
    <t>Chế độ</t>
  </si>
  <si>
    <t>S3 - 40%</t>
  </si>
  <si>
    <t>SRS-PERM-04</t>
  </si>
  <si>
    <t>IEC 60034-1 ([R4] tr.23)</t>
  </si>
  <si>
    <t>Chế độ làm việc định mức</t>
  </si>
  <si>
    <t>P-18</t>
  </si>
  <si>
    <t>g</t>
  </si>
  <si>
    <t>SRS-PERM-01, SRS-PERM-03</t>
  </si>
  <si>
    <t>Hằng số</t>
  </si>
  <si>
    <t>Gia tốc trọng trường</t>
  </si>
  <si>
    <t>P-19</t>
  </si>
  <si>
    <t>U_lưới</t>
  </si>
  <si>
    <t>V (±10%, 50 Hz)</t>
  </si>
  <si>
    <t>Lưới hạ thế VN</t>
  </si>
  <si>
    <t>Nguồn điện lưới</t>
  </si>
  <si>
    <t>P-20</t>
  </si>
  <si>
    <t>F_c.đầy</t>
  </si>
  <si>
    <t>M_Σ·g·w_0</t>
  </si>
  <si>
    <t>Lực cản tĩnh đầy tải</t>
  </si>
  <si>
    <t>Mã</t>
  </si>
  <si>
    <t>Công thức / Ghi chú</t>
  </si>
  <si>
    <t>Nguồn công thức</t>
  </si>
  <si>
    <t>Phân giải số của P-17 và P-19 (không phải số mới)</t>
  </si>
  <si>
    <t>CD</t>
  </si>
  <si>
    <t>Hệ số đóng điện tương đối của S3</t>
  </si>
  <si>
    <t>Từ P-17 'S3 - 40%'</t>
  </si>
  <si>
    <t>P-17; IEC 60034-1 [R4] tr.23</t>
  </si>
  <si>
    <t>Tck</t>
  </si>
  <si>
    <t>Chu kỳ chuẩn S3</t>
  </si>
  <si>
    <t>T_ck</t>
  </si>
  <si>
    <t>10 phút (SRS-PERM-04)</t>
  </si>
  <si>
    <t>dU</t>
  </si>
  <si>
    <t>Dung sai điện áp lưới</t>
  </si>
  <si>
    <t>ΔU</t>
  </si>
  <si>
    <t>±10% (P-19)</t>
  </si>
  <si>
    <t>f_grid</t>
  </si>
  <si>
    <t>Tần số lưới</t>
  </si>
  <si>
    <t>f</t>
  </si>
  <si>
    <t>Hz</t>
  </si>
  <si>
    <t>Giả định thiết kế [C] phát sinh ở Khối 3 (mỗi dòng: lý do + mốc kiểm tra)</t>
  </si>
  <si>
    <t>delta</t>
  </si>
  <si>
    <t>Hệ số kể đến quán tính chi tiết quay hộp số/khớp nối</t>
  </si>
  <si>
    <t>δ</t>
  </si>
  <si>
    <t>Giữa dải 1.1-1.2 (WORKFLOW §4.2-B4); kiểm tra lại khi có J hộp số SEW</t>
  </si>
  <si>
    <t>WORKFLOW_RULES §4.2-B4</t>
  </si>
  <si>
    <t>k_dan</t>
  </si>
  <si>
    <t>Tỷ lệ trọng lượng bám trên bánh dẫn</t>
  </si>
  <si>
    <t>k_dẫn</t>
  </si>
  <si>
    <t>2/4 bánh dẫn (SAD TO-02 phương án A)</t>
  </si>
  <si>
    <t>WORKFLOW §4.2-B3; SAD §3.2</t>
  </si>
  <si>
    <t>n_trip</t>
  </si>
  <si>
    <t>Số hành trình trong một chu kỳ S3</t>
  </si>
  <si>
    <t>n_ht</t>
  </si>
  <si>
    <t>1 hành trình đầy tải (Tiến) + 1 hành trình không tải (Lùi); chiều dài hành trình suy ra để CD đúng 40%</t>
  </si>
  <si>
    <t>Giả định chu trình [C]</t>
  </si>
  <si>
    <t>a_set</t>
  </si>
  <si>
    <t>Gia tốc đặt S-curve</t>
  </si>
  <si>
    <t>a*</t>
  </si>
  <si>
    <t>Dự trữ 10% dưới P-10; nằm trong dải QCD-Q03 [0.45; 0.50]</t>
  </si>
  <si>
    <t>SRS-FUNC-03; SOW QCD-Q03</t>
  </si>
  <si>
    <t>rho_set</t>
  </si>
  <si>
    <t>Độ giật đặt S-curve</t>
  </si>
  <si>
    <t>ρ*</t>
  </si>
  <si>
    <t>Dự trữ 10% dưới P-11; dải QCD-Q03 [1.80; 2.00]</t>
  </si>
  <si>
    <t>eta_inv</t>
  </si>
  <si>
    <t>Hiệu suất biến tần</t>
  </si>
  <si>
    <t>η_inv</t>
  </si>
  <si>
    <t>Giá trị điển hình, chưa xác minh catalogue</t>
  </si>
  <si>
    <t>Giả định [C]</t>
  </si>
  <si>
    <t>U_chop</t>
  </si>
  <si>
    <t>Ngưỡng mở Chopper (thiết kế mô hình)</t>
  </si>
  <si>
    <t>V</t>
  </si>
  <si>
    <t>Downstream #3: 700 ± 20 V; ngưỡng thật ACS380 chưa xác minh</t>
  </si>
  <si>
    <t>SRS Baseline A §4 #3</t>
  </si>
  <si>
    <t>U_dcmax</t>
  </si>
  <si>
    <t>Giới hạn điện áp DC-link</t>
  </si>
  <si>
    <t>U_dc,max</t>
  </si>
  <si>
    <t>Downstream #3</t>
  </si>
  <si>
    <t>U_trip</t>
  </si>
  <si>
    <t>Ngưỡng ngắt quá áp (mô hình)</t>
  </si>
  <si>
    <t>Downstream #3: 800 ± 10 V</t>
  </si>
  <si>
    <t>kp_brake</t>
  </si>
  <si>
    <t>Hệ số an toàn phanh giữ</t>
  </si>
  <si>
    <t>k_p</t>
  </si>
  <si>
    <t>Cận trên dải 1.1-1.25 (TCVN 4244 §1.5.3.3 theo Baseline, chưa đối chiếu bản scan)</t>
  </si>
  <si>
    <t>[R1] qua WORKFLOW §4.2-C3</t>
  </si>
  <si>
    <t>k_hold</t>
  </si>
  <si>
    <t>Mô-men giữ thử trước khi nhả phanh (bội số M_N)</t>
  </si>
  <si>
    <t>M_hold/M_N</t>
  </si>
  <si>
    <t>Cận dưới dải [100%; 150%] (Downstream #5)</t>
  </si>
  <si>
    <t>SRS Baseline A §4 #5</t>
  </si>
  <si>
    <t>k_test</t>
  </si>
  <si>
    <t>Hệ số dự trữ phanh khi thử mô-men giữ</t>
  </si>
  <si>
    <t>k_thử</t>
  </si>
  <si>
    <t>Phanh phải giữ được M_hold khi thử (SDD §5)</t>
  </si>
  <si>
    <t>MB_set</t>
  </si>
  <si>
    <t>Mô-men phanh đặt (cấp phanh)</t>
  </si>
  <si>
    <t>M_B</t>
  </si>
  <si>
    <t>Cấp 7 N·m của BE1 (4 lò xo thường + 2 lò xo xanh; các cấp 10/7/5 N·m) — đã xác minh</t>
  </si>
  <si>
    <t>[W-07] SEW B-107-04; QĐ-05</t>
  </si>
  <si>
    <t>t_close</t>
  </si>
  <si>
    <t>Thời gian kẹp phanh (từ lúc cắt điện)</t>
  </si>
  <si>
    <t>t_kẹp</t>
  </si>
  <si>
    <t>Giả định, chưa xác minh catalogue BE</t>
  </si>
  <si>
    <t>f_sw</t>
  </si>
  <si>
    <t>Tần số băm PWM</t>
  </si>
  <si>
    <t>Mặc định ACS380</t>
  </si>
  <si>
    <t>[W-05] tr.10</t>
  </si>
  <si>
    <t>k_Tmu</t>
  </si>
  <si>
    <t>Hệ số trễ nhỏ không bù vòng dòng (T_μi = k/f_sw)</t>
  </si>
  <si>
    <t>k_μ</t>
  </si>
  <si>
    <t>Trễ tính toán 1 chu kỳ + 0.5 chu kỳ PWM</t>
  </si>
  <si>
    <t>Giả định [C] (Bài 2.1 slide 26)</t>
  </si>
  <si>
    <t>Tf_w</t>
  </si>
  <si>
    <t>Hằng số thời gian lọc đo tốc độ</t>
  </si>
  <si>
    <t>T_fω</t>
  </si>
  <si>
    <t>Lọc đo encoder</t>
  </si>
  <si>
    <t>Ts_w</t>
  </si>
  <si>
    <t>Chu kỳ đo tốc độ encoder</t>
  </si>
  <si>
    <t>T_s,ω</t>
  </si>
  <si>
    <t>Đếm sườn trong 1 ms</t>
  </si>
  <si>
    <t>k_fe</t>
  </si>
  <si>
    <t>Tỷ lệ tổn hao sắt + cơ + phụ trong tổng tổn hao</t>
  </si>
  <si>
    <t>k_Fe</t>
  </si>
  <si>
    <t>Dùng để tách R_s; kiểm tra lại bằng ID-run</t>
  </si>
  <si>
    <t>k_sig</t>
  </si>
  <si>
    <t>Tỷ lệ chia điện kháng tản cho stator</t>
  </si>
  <si>
    <t>k_σ</t>
  </si>
  <si>
    <t>L_σs = L_σr = L_k/2 (thông lệ)</t>
  </si>
  <si>
    <t>pp</t>
  </si>
  <si>
    <t>Số đôi cực</t>
  </si>
  <si>
    <t>p</t>
  </si>
  <si>
    <t>Động cơ 4 cực</t>
  </si>
  <si>
    <t>[W-01]</t>
  </si>
  <si>
    <t>U_N</t>
  </si>
  <si>
    <t>Điện áp định mức động cơ (dây)</t>
  </si>
  <si>
    <t>DRN 400 V/50 Hz</t>
  </si>
  <si>
    <t>r_creep</t>
  </si>
  <si>
    <t>Tỷ lệ tốc độ bò</t>
  </si>
  <si>
    <t>r_bò</t>
  </si>
  <si>
    <t>Giữa dải 25-30% (Downstream #8)</t>
  </si>
  <si>
    <t>SRS Baseline A §4 #8</t>
  </si>
  <si>
    <t>v_stop</t>
  </si>
  <si>
    <t>Ngưỡng đóng phanh</t>
  </si>
  <si>
    <t>|v|_đóng</t>
  </si>
  <si>
    <t>Downstream #5</t>
  </si>
  <si>
    <t>v_rev</t>
  </si>
  <si>
    <t>Ngưỡng cấm đảo chiều</t>
  </si>
  <si>
    <t>|v|_đảo</t>
  </si>
  <si>
    <t>N_enc</t>
  </si>
  <si>
    <t>Số chu kỳ encoder / vòng</t>
  </si>
  <si>
    <t>xung/vg</t>
  </si>
  <si>
    <t>Tf_jerk</t>
  </si>
  <si>
    <t>Hằng số lọc đạo hàm đo độ giật</t>
  </si>
  <si>
    <t>T_f</t>
  </si>
  <si>
    <t>Trong dải 0.005-0.01 s</t>
  </si>
  <si>
    <t>SRS chi tiết §5.4</t>
  </si>
  <si>
    <t>exl_max</t>
  </si>
  <si>
    <t>Sai lệch tốc độ xác lập cho phép</t>
  </si>
  <si>
    <t>e_xl,max</t>
  </si>
  <si>
    <t>Downstream #2</t>
  </si>
  <si>
    <t>SRS Baseline A §4 #2</t>
  </si>
  <si>
    <t>PM_min</t>
  </si>
  <si>
    <t>Độ dự trữ pha tối thiểu vòng tốc độ</t>
  </si>
  <si>
    <t>°</t>
  </si>
  <si>
    <t>Thông lệ thiết kế (gián tiếp cho M_p ≤ 10%)</t>
  </si>
  <si>
    <t>Ô quyết định của Người dùng (cổng G4)</t>
  </si>
  <si>
    <t>sel</t>
  </si>
  <si>
    <t>Ứng viên chọn (1 = DRN80M4 + ACS380-03A3-4; 2 = DRN90S4 + ACS380-04A0-4)</t>
  </si>
  <si>
    <t>ĐÃ CHỐT = 1 (QĐ-04, 24/10/2026): DRN80M4 + ACS380-03A3-4; chấp nhận biên quá tải 1.03 ở WC-5</t>
  </si>
  <si>
    <t>Người dùng — QĐ-04</t>
  </si>
  <si>
    <t>i_in</t>
  </si>
  <si>
    <t>Tỷ số truyền thực tế của hộp số SEW R87</t>
  </si>
  <si>
    <t>i_thực</t>
  </si>
  <si>
    <t>R87, tỷ số tổng 155.34 — SEW Drive Selection (ứng dụng xe con, 25/10/2026)</t>
  </si>
  <si>
    <t>Ma_max</t>
  </si>
  <si>
    <t>Mô-men ra cho phép lớn nhất của hộp số R87</t>
  </si>
  <si>
    <t>M_a,max</t>
  </si>
  <si>
    <t>SEW Drive Selection: R87, i = 155.34</t>
  </si>
  <si>
    <t>FRa</t>
  </si>
  <si>
    <t>Tải hướng kính cho phép trên trục ra (n = 1400)</t>
  </si>
  <si>
    <t>F_Ra</t>
  </si>
  <si>
    <t>SEW Drive Selection: R87</t>
  </si>
  <si>
    <t>Rh_set</t>
  </si>
  <si>
    <t>Điện trở xả hãm chọn</t>
  </si>
  <si>
    <t>R_h</t>
  </si>
  <si>
    <t>Danotherm CBH 360 C T 406 210R: 210 Ω ±10%, 200 W (40 °C), công tắc nhiệt — điện trở mẫu ABB cho ACS380-01A8…05A6-4</t>
  </si>
  <si>
    <t>[W-05] tr.24; [W-09]</t>
  </si>
  <si>
    <t>Giả định mô phỏng [C] — Khối 4, nhóm C (26/10/2026): mô hình 2 khối lượng, giới hạn điện áp, biến tần trung bình, kịch bản rút gọn</t>
  </si>
  <si>
    <t>k_u</t>
  </si>
  <si>
    <t>Hệ số dự trữ điện áp điều chế (để vòng dòng còn biên)</t>
  </si>
  <si>
    <t>U_1 ≤ k_u·U_dc/√2 (SVPWM tuyến tính); 5% dành cho điều chỉnh dòng</t>
  </si>
  <si>
    <t>zeta</t>
  </si>
  <si>
    <t>Hệ số tắt dần con lắc</t>
  </si>
  <si>
    <t>ζ</t>
  </si>
  <si>
    <t>Bảo thủ: không tắt dần (SDD §3.4)</t>
  </si>
  <si>
    <t>C_dc</t>
  </si>
  <si>
    <t>Điện dung tụ DC-link (mô hình)</t>
  </si>
  <si>
    <t>F</t>
  </si>
  <si>
    <t>Chưa có trong catalogue ACS380-03A3-4 — chưa xác minh. C lớn hơn ⇒ chopper ít tác động hơn (xem KT-39)</t>
  </si>
  <si>
    <t>dU_hys</t>
  </si>
  <si>
    <t>Độ trễ đóng/cắt chopper</t>
  </si>
  <si>
    <t>ΔU_hys</t>
  </si>
  <si>
    <t>Chopper ON tại U_chop, OFF tại U_chop − ΔU_hys</t>
  </si>
  <si>
    <t>Ts_sim</t>
  </si>
  <si>
    <t>Bước giải cố định Simulink</t>
  </si>
  <si>
    <t>T_s</t>
  </si>
  <si>
    <t>≤ 1e-4 s; Ts_I = 250 µs và Ts_w = 1 ms là bội nguyên (KT-40)</t>
  </si>
  <si>
    <t>DVP v1.2 §3.4; ICD §4</t>
  </si>
  <si>
    <t>enc_mod</t>
  </si>
  <si>
    <t>Mô hình đo tốc độ trong mô phỏng</t>
  </si>
  <si>
    <t>enc_model</t>
  </si>
  <si>
    <t>0 = tốc độ lý tưởng + lọc T_fω (mặc định); 1 = lượng tử 4·N_enc sườn / Ts_w (chỉ khảo sát nhiễu: Δω·K_p,ω ≈ 1.1 A dao động i_sq)</t>
  </si>
  <si>
    <t>t_mag</t>
  </si>
  <si>
    <t>Thời gian từ hóa trước khi nhả phanh</t>
  </si>
  <si>
    <t>≥ 3T_r</t>
  </si>
  <si>
    <t>SDD §5.1 [C]</t>
  </si>
  <si>
    <t>t_test</t>
  </si>
  <si>
    <t>Thời gian thử mô-men giữ (phanh còn kẹp)</t>
  </si>
  <si>
    <t>Tăng dốc 0.05 s, giữ 0.1 s, giảm dốc 0.05 s</t>
  </si>
  <si>
    <t>t_open</t>
  </si>
  <si>
    <t>Thời gian chờ nhả phanh</t>
  </si>
  <si>
    <t>Chưa xác minh BE1</t>
  </si>
  <si>
    <t>t_hx</t>
  </si>
  <si>
    <t>Thời gian ĐC giữ ω* = 0 thêm sau khi phanh kẹp</t>
  </si>
  <si>
    <t>S6 kéo dài t_close + t_hx</t>
  </si>
  <si>
    <t>t_cmd</t>
  </si>
  <si>
    <t>Thời điểm nhấn lệnh chạy (tính từ READY)</t>
  </si>
  <si>
    <t>Kịch bản rút gọn TS-01/TS-02</t>
  </si>
  <si>
    <t>T_run</t>
  </si>
  <si>
    <t>Thời gian chạy đều mỗi hành trình (rút gọn)</t>
  </si>
  <si>
    <t>≥ T_p để thấy dao động lắc khi chạy đều; thay cho 119 s của chu trình nhiệt (khối F vẫn dùng cho k_dt)</t>
  </si>
  <si>
    <t>T_dwell</t>
  </si>
  <si>
    <t>Thời gian quan sát sau khi dừng</t>
  </si>
  <si>
    <t>Lắc dư sau dừng, U_dc sau hãm</t>
  </si>
  <si>
    <t>t_rev</t>
  </si>
  <si>
    <t>TS-02: nhấn REV sau khi bắt đầu chạy đều</t>
  </si>
  <si>
    <t>Kiểm khóa chéo khi v = v_max</t>
  </si>
  <si>
    <t>mech_mod</t>
  </si>
  <si>
    <t>Mô hình cơ khí trong mô phỏng</t>
  </si>
  <si>
    <t>mech_model</t>
  </si>
  <si>
    <t>0 = 2 khối lượng (mặc định, DV-01..07); 1 = khối cứng như Excel (tải gắn cứng, bỏ F_lắc) — chạy thêm cho DV-04 vì với 2 khối năng lượng hãm mỗi lần dừng chỉ ≈ 0–28 J, tùy pha lắc</t>
  </si>
  <si>
    <t>Bổ sung v1.4 (27/10/2026) — số catalogue đã có trong mô tả R_h, tách thành ô nhập để kiểm tra KT-42</t>
  </si>
  <si>
    <t>P_Rh</t>
  </si>
  <si>
    <t>Công suất định mức điện trở hãm (40 °C)</t>
  </si>
  <si>
    <t>Danotherm CBH 360 C T 406 210R: 200 W @40 °C (cùng nguồn với ô D42)</t>
  </si>
  <si>
    <t>[W-09]</t>
  </si>
  <si>
    <t>Thông số</t>
  </si>
  <si>
    <t>Ứng viên 1</t>
  </si>
  <si>
    <t>Ứng viên 2</t>
  </si>
  <si>
    <t>Đang chọn</t>
  </si>
  <si>
    <t>Nguồn (trang/bảng)</t>
  </si>
  <si>
    <t>Động cơ SEW DRN.. IE3, 400 V, 50 Hz, 4 cực, S1</t>
  </si>
  <si>
    <t>mot_name</t>
  </si>
  <si>
    <t>Mã động cơ</t>
  </si>
  <si>
    <t>DRN80M4</t>
  </si>
  <si>
    <t>DRN90S4</t>
  </si>
  <si>
    <t>[W-01] tr.866</t>
  </si>
  <si>
    <t>P_N</t>
  </si>
  <si>
    <t>Công suất định mức (S1)</t>
  </si>
  <si>
    <t>kW</t>
  </si>
  <si>
    <t>M_N</t>
  </si>
  <si>
    <t>Mô-men định mức</t>
  </si>
  <si>
    <t>n_N</t>
  </si>
  <si>
    <t>Tốc độ định mức</t>
  </si>
  <si>
    <t>vg/ph</t>
  </si>
  <si>
    <t>I_N</t>
  </si>
  <si>
    <t>Dòng định mức (400 V)</t>
  </si>
  <si>
    <t>cosN</t>
  </si>
  <si>
    <t>Hệ số công suất</t>
  </si>
  <si>
    <t>cosφ_N</t>
  </si>
  <si>
    <t>effN</t>
  </si>
  <si>
    <t>Hiệu suất 100% tải</t>
  </si>
  <si>
    <t>η_đc</t>
  </si>
  <si>
    <t>IA</t>
  </si>
  <si>
    <t>Bội số dòng khởi động</t>
  </si>
  <si>
    <t>I_A/I_N</t>
  </si>
  <si>
    <t>MA</t>
  </si>
  <si>
    <t>Bội số mô-men khởi động</t>
  </si>
  <si>
    <t>M_A/M_N</t>
  </si>
  <si>
    <t>lamK</t>
  </si>
  <si>
    <t>Bội số mô-men tới hạn</t>
  </si>
  <si>
    <t>λ_K = M_K/M_N</t>
  </si>
  <si>
    <t>MH</t>
  </si>
  <si>
    <t>Bội số mô-men cực tiểu (saddle)</t>
  </si>
  <si>
    <t>M_H/M_N</t>
  </si>
  <si>
    <t>J_mot</t>
  </si>
  <si>
    <t>Quán tính rotor</t>
  </si>
  <si>
    <t>J_Mot</t>
  </si>
  <si>
    <t>[W-02] tr.24 (24.7 / 54 ×10⁻⁴)</t>
  </si>
  <si>
    <t>J_B</t>
  </si>
  <si>
    <t>Quán tính rotor kèm phanh</t>
  </si>
  <si>
    <t>J_BMot</t>
  </si>
  <si>
    <t>[W-02] tr.24 (26.2 / 58.7 ×10⁻⁴)</t>
  </si>
  <si>
    <t>brake</t>
  </si>
  <si>
    <t>Loại phanh tiêu chuẩn</t>
  </si>
  <si>
    <t>BE..</t>
  </si>
  <si>
    <t>BE1</t>
  </si>
  <si>
    <t>BE2</t>
  </si>
  <si>
    <t>[W-02] tr.24; cấp BE2 = 14/20 N·m [W-03] tr.24-25</t>
  </si>
  <si>
    <t>Biến tần ABB ACS380 (3 pha 400 V)</t>
  </si>
  <si>
    <t>inv_name</t>
  </si>
  <si>
    <t>Mã biến tần</t>
  </si>
  <si>
    <t>ACS380-04xS-03A3-4</t>
  </si>
  <si>
    <t>ACS380-04xS-04A0-4</t>
  </si>
  <si>
    <t>Iinv_N</t>
  </si>
  <si>
    <t>Dòng định mức</t>
  </si>
  <si>
    <t>I_N,inv</t>
  </si>
  <si>
    <t>[W-05] tr.12 (đã đối chiếu ảnh trang gốc)</t>
  </si>
  <si>
    <t>Pinv_N</t>
  </si>
  <si>
    <t>Công suất danh định</t>
  </si>
  <si>
    <t>P_N,inv</t>
  </si>
  <si>
    <t>I_Hd</t>
  </si>
  <si>
    <t>Dòng heavy-duty (cho phép 150% I_Hd 1 phút/10 phút)</t>
  </si>
  <si>
    <t>P_Hd</t>
  </si>
  <si>
    <t>Công suất heavy-duty</t>
  </si>
  <si>
    <t>I_max</t>
  </si>
  <si>
    <t>Dòng ra cực đại (2 s khi khởi động)</t>
  </si>
  <si>
    <t>R_min</t>
  </si>
  <si>
    <t>Điện trở hãm tối thiểu</t>
  </si>
  <si>
    <t>[W-05] tr.24</t>
  </si>
  <si>
    <t>R_max</t>
  </si>
  <si>
    <t>Điện trở hãm tối đa cho P_BRcont</t>
  </si>
  <si>
    <t>PBRc</t>
  </si>
  <si>
    <t>Công suất hãm liên tục</t>
  </si>
  <si>
    <t>P_BRcont</t>
  </si>
  <si>
    <t>PBRm</t>
  </si>
  <si>
    <t>Công suất hãm cực đại (xung ≤ 1 phút/10 phút)</t>
  </si>
  <si>
    <t>P_BRmax</t>
  </si>
  <si>
    <t>trise</t>
  </si>
  <si>
    <t>Thời gian tăng mô-men (bước định mức)</t>
  </si>
  <si>
    <t>t_rise,cat</t>
  </si>
  <si>
    <t>[W-05] tr.10: '&lt; 10 ms'</t>
  </si>
  <si>
    <t>A. Động học &amp; phụ tải tĩnh — [R1 §2.4.7.2.2 qua Baseline], Bài 3 (Tải của TĐĐ) slide 4</t>
  </si>
  <si>
    <t>w_bx</t>
  </si>
  <si>
    <t>Tốc độ góc trục bánh xe</t>
  </si>
  <si>
    <t>ω_bx</t>
  </si>
  <si>
    <t>2·v_max/D_bx</t>
  </si>
  <si>
    <t>WORKFLOW §4.2-A2</t>
  </si>
  <si>
    <t>n_bx</t>
  </si>
  <si>
    <t>Tốc độ quay bánh xe</t>
  </si>
  <si>
    <t>60·ω_bx/2π</t>
  </si>
  <si>
    <t>Fc_chk</t>
  </si>
  <si>
    <t>Lực cản tĩnh đầy tải (tính lại)</t>
  </si>
  <si>
    <t>M_Σ·g·w_0 (phải = P-20)</t>
  </si>
  <si>
    <t>WORKFLOW §4.2-A3</t>
  </si>
  <si>
    <t>Fc0</t>
  </si>
  <si>
    <t>Lực cản tĩnh không tải</t>
  </si>
  <si>
    <t>F_c.không</t>
  </si>
  <si>
    <t>m_tĩnh·g·w_0</t>
  </si>
  <si>
    <t>P_t</t>
  </si>
  <si>
    <t>Công suất cản tĩnh trên trục ĐC</t>
  </si>
  <si>
    <t>P_tĩnh</t>
  </si>
  <si>
    <t>F_c·v/η</t>
  </si>
  <si>
    <t>WORKFLOW §4.2-A4</t>
  </si>
  <si>
    <t>B. Động lực học, lực kéo cực đại &amp; bám ray — Bài 4 slide 43; WORKFLOW §4.2-B</t>
  </si>
  <si>
    <t>Fqt</t>
  </si>
  <si>
    <t>Lực quán tính cực đại (a_max)</t>
  </si>
  <si>
    <t>F_qt</t>
  </si>
  <si>
    <t>M_Σ·a_max</t>
  </si>
  <si>
    <t>WORKFLOW §4.2-B1</t>
  </si>
  <si>
    <t>Fmax</t>
  </si>
  <si>
    <t>Lực kéo cực đại khi tăng tốc</t>
  </si>
  <si>
    <t>F_max</t>
  </si>
  <si>
    <t>F_c + F_qt (Downstream #6)</t>
  </si>
  <si>
    <t>Pmax</t>
  </si>
  <si>
    <t>Công suất đỉnh</t>
  </si>
  <si>
    <t>P_max</t>
  </si>
  <si>
    <t>F_max·v/η</t>
  </si>
  <si>
    <t>WORKFLOW §4.2-B2</t>
  </si>
  <si>
    <t>Fbam</t>
  </si>
  <si>
    <t>Lực bám bánh dẫn đầy tải</t>
  </si>
  <si>
    <t>F_bám</t>
  </si>
  <si>
    <t>φ·k_dẫn·M_Σ·g</t>
  </si>
  <si>
    <t>WORKFLOW §4.2-B3</t>
  </si>
  <si>
    <t>kbam</t>
  </si>
  <si>
    <t>Hệ số an toàn bám đầy tải</t>
  </si>
  <si>
    <t>k_bám</t>
  </si>
  <si>
    <t>F_bám/F_max</t>
  </si>
  <si>
    <t>Fbam0</t>
  </si>
  <si>
    <t>Lực bám bánh dẫn không tải</t>
  </si>
  <si>
    <t>F_bám,0</t>
  </si>
  <si>
    <t>φ·k_dẫn·m_tĩnh·g</t>
  </si>
  <si>
    <t>Fmax0</t>
  </si>
  <si>
    <t>Lực kéo cực đại không tải</t>
  </si>
  <si>
    <t>F_max,0</t>
  </si>
  <si>
    <t>F_c,0 + m_tĩnh·a_max</t>
  </si>
  <si>
    <t>kbam0</t>
  </si>
  <si>
    <t>Hệ số an toàn bám không tải</t>
  </si>
  <si>
    <t>k_bám,0</t>
  </si>
  <si>
    <t>C. Quy đổi về trục động cơ — Bài 3 slide 4-5; WORKFLOW §4.2-B4</t>
  </si>
  <si>
    <t>wN</t>
  </si>
  <si>
    <t>Tốc độ góc định mức ĐC</t>
  </si>
  <si>
    <t>ω_N</t>
  </si>
  <si>
    <t>n_N·2π/60</t>
  </si>
  <si>
    <t>i_yc</t>
  </si>
  <si>
    <t>Tỷ số truyền yêu cầu</t>
  </si>
  <si>
    <t>ω_N/ω_bx (để v = v_max ở 50 Hz)</t>
  </si>
  <si>
    <t>Bài 3 slide 4</t>
  </si>
  <si>
    <t>i_tt</t>
  </si>
  <si>
    <t>Tỷ số truyền dùng tính toán</t>
  </si>
  <si>
    <t>Bằng i_thực nhập; nếu trống dùng i_yc (TBD)</t>
  </si>
  <si>
    <t>SRS-D03</t>
  </si>
  <si>
    <t>dv_i</t>
  </si>
  <si>
    <t>Sai lệch v ở 50 Hz nếu dùng i_thực</t>
  </si>
  <si>
    <t>Δv/v</t>
  </si>
  <si>
    <t>Biến tần bù bằng tần số; ghi nhận</t>
  </si>
  <si>
    <t>dv_150</t>
  </si>
  <si>
    <t>Sai lệch v ở 50 Hz nếu dùng i = 150 (P-16)</t>
  </si>
  <si>
    <t>Δv/v (i=150)</t>
  </si>
  <si>
    <t>So với SRS-PERM-02 ±5% (biến tần bù được)</t>
  </si>
  <si>
    <t>k_qd</t>
  </si>
  <si>
    <t>Hệ số quy đổi tịnh tiến–quay</t>
  </si>
  <si>
    <t>k_qđ</t>
  </si>
  <si>
    <t>m/rad</t>
  </si>
  <si>
    <t>D_bx/(2·i)</t>
  </si>
  <si>
    <t>WORKFLOW §4.2-B4</t>
  </si>
  <si>
    <t>eps_s</t>
  </si>
  <si>
    <t>Gia tốc góc ĐC ứng với a*</t>
  </si>
  <si>
    <t>ε*</t>
  </si>
  <si>
    <t>rad/s²</t>
  </si>
  <si>
    <t>a*/k_qđ</t>
  </si>
  <si>
    <t>Bài 3</t>
  </si>
  <si>
    <t>Mc</t>
  </si>
  <si>
    <t>Mô-men cản kéo đầy tải</t>
  </si>
  <si>
    <t>M_c,kéo</t>
  </si>
  <si>
    <t>F_c·D/(2iη) (góc I, III)</t>
  </si>
  <si>
    <t>Mc0</t>
  </si>
  <si>
    <t>Mô-men cản kéo không tải</t>
  </si>
  <si>
    <t>M_c,kéo,0</t>
  </si>
  <si>
    <t>Mch</t>
  </si>
  <si>
    <t>Mô-men cản khi hãm đầy tải</t>
  </si>
  <si>
    <t>M_c,hãm</t>
  </si>
  <si>
    <t>F_c·D·η/(2i) (góc II, IV)</t>
  </si>
  <si>
    <t>Jl</t>
  </si>
  <si>
    <t>Quán tính tải quy đổi đầy tải</t>
  </si>
  <si>
    <t>J_tải</t>
  </si>
  <si>
    <t>δ·M_Σ·k_qđ²</t>
  </si>
  <si>
    <t>Jl0</t>
  </si>
  <si>
    <t>Quán tính tải quy đổi không tải</t>
  </si>
  <si>
    <t>J_tải,0</t>
  </si>
  <si>
    <t>δ·m_tĩnh·k_qđ²</t>
  </si>
  <si>
    <t>JS</t>
  </si>
  <si>
    <t>Quán tính tổng đầy tải</t>
  </si>
  <si>
    <t>J_Σ</t>
  </si>
  <si>
    <t>J_BMot + J_tải</t>
  </si>
  <si>
    <t>JS0</t>
  </si>
  <si>
    <t>Quán tính tổng không tải</t>
  </si>
  <si>
    <t>J_Σ,0</t>
  </si>
  <si>
    <t>D. Mô-men cực đại &amp; kiểm tra quá tải (λ) — WORKFLOW §4.2-C2; Bài 4 slide 12</t>
  </si>
  <si>
    <t>Mpk</t>
  </si>
  <si>
    <t>Mô-men ĐC cực đại khi tăng tốc đầy tải với a_max</t>
  </si>
  <si>
    <t>M_max</t>
  </si>
  <si>
    <t>(F_c+δM_Σa_max)k/η + J_B·a_max/k</t>
  </si>
  <si>
    <t>WORKFLOW §4.2-B4, C2</t>
  </si>
  <si>
    <t>Mpk0</t>
  </si>
  <si>
    <t>Mô-men ĐC cực đại không tải với a_max</t>
  </si>
  <si>
    <t>M_max,0</t>
  </si>
  <si>
    <t>lam_req</t>
  </si>
  <si>
    <t>Bội số mô-men yêu cầu</t>
  </si>
  <si>
    <t>M_max/M_N</t>
  </si>
  <si>
    <t>WORKFLOW §4.2-C2</t>
  </si>
  <si>
    <t>lam_avl</t>
  </si>
  <si>
    <t>Bội số khả dụng khi sụt áp -10% (quy về U_N động cơ)</t>
  </si>
  <si>
    <t>λ_K·(U_min/U_N)²</t>
  </si>
  <si>
    <t>M_K ∝ U²; U_min = 342 V so với U_N = 400 V (Checker K6-2)</t>
  </si>
  <si>
    <t>Fk_cap</t>
  </si>
  <si>
    <t>Lực kéo tối đa ĐC tạo được ở -10% áp (trừ quán tính rotor ở a_max)</t>
  </si>
  <si>
    <t>F_k,max</t>
  </si>
  <si>
    <t>Dùng để kiểm Downstream #6</t>
  </si>
  <si>
    <t>Tự dẫn</t>
  </si>
  <si>
    <t>E. Quỹ đạo S-curve 7 đoạn — [R9-11] Tho et al. 2020; WORKFLOW §4.2-D1</t>
  </si>
  <si>
    <t>Tj</t>
  </si>
  <si>
    <t>Thời gian tăng/giảm độ giật</t>
  </si>
  <si>
    <t>T_j</t>
  </si>
  <si>
    <t>a*/ρ*</t>
  </si>
  <si>
    <t>WORKFLOW §4.2-D1</t>
  </si>
  <si>
    <t>Ta</t>
  </si>
  <si>
    <t>Thời gian gia tốc không đổi</t>
  </si>
  <si>
    <t>T_a</t>
  </si>
  <si>
    <t>v_max/a* − T_j (&gt;0 ⇒ đủ 3 đoạn)</t>
  </si>
  <si>
    <t>tacc</t>
  </si>
  <si>
    <t>Thời gian tăng tốc</t>
  </si>
  <si>
    <t>t_acc</t>
  </si>
  <si>
    <t>2T_j + T_a</t>
  </si>
  <si>
    <t>sacc</t>
  </si>
  <si>
    <t>Quãng đường tăng tốc</t>
  </si>
  <si>
    <t>s_acc</t>
  </si>
  <si>
    <t>Đối xứng</t>
  </si>
  <si>
    <t>Tích phân v(t)</t>
  </si>
  <si>
    <t>vlim</t>
  </si>
  <si>
    <t>Vận tốc ngưỡng 3 đoạn</t>
  </si>
  <si>
    <t>a*²/ρ*</t>
  </si>
  <si>
    <t>Phải &lt; v_max</t>
  </si>
  <si>
    <t>f1</t>
  </si>
  <si>
    <t>Hệ số trung bình a(t)/a*</t>
  </si>
  <si>
    <t>f₁</t>
  </si>
  <si>
    <t>Cho tính M_đt</t>
  </si>
  <si>
    <t>Tích phân hình thang</t>
  </si>
  <si>
    <t>f2</t>
  </si>
  <si>
    <t>Hệ số trung bình a²(t)/a*²</t>
  </si>
  <si>
    <t>f₂</t>
  </si>
  <si>
    <t>th_res</t>
  </si>
  <si>
    <t>Góc lắc dư ước lượng (t_acc ≪ T_p)</t>
  </si>
  <si>
    <t>θ_dư</t>
  </si>
  <si>
    <t>v·ω_p/g (gần đúng bước vận tốc)</t>
  </si>
  <si>
    <t>[R9-01] mô hình con lắc</t>
  </si>
  <si>
    <t>th0</t>
  </si>
  <si>
    <t>Góc lệch tĩnh ứng a_max</t>
  </si>
  <si>
    <t>θ_0</t>
  </si>
  <si>
    <t>atan(a_max/g)</t>
  </si>
  <si>
    <t>SSoT P2 dòng 38</t>
  </si>
  <si>
    <t>F. Chu trình S3-40% &amp; phát nhiệt — Bài 4 slide 7, 10; WORKFLOW §4.2-C1</t>
  </si>
  <si>
    <t>t_lv</t>
  </si>
  <si>
    <t>Tổng thời gian đóng điện</t>
  </si>
  <si>
    <t>Σt_lv</t>
  </si>
  <si>
    <t>CD·T_ck</t>
  </si>
  <si>
    <t>IEC 60034-1 [R4] tr.23</t>
  </si>
  <si>
    <t>t_0</t>
  </si>
  <si>
    <t>Tổng thời gian nghỉ</t>
  </si>
  <si>
    <t>Σt_0</t>
  </si>
  <si>
    <t>t_trip</t>
  </si>
  <si>
    <t>Thời gian một hành trình</t>
  </si>
  <si>
    <t>t_ht</t>
  </si>
  <si>
    <t>Giả định chu trình</t>
  </si>
  <si>
    <t>t_c</t>
  </si>
  <si>
    <t>Thời gian chạy đều mỗi hành trình</t>
  </si>
  <si>
    <t>t_đều</t>
  </si>
  <si>
    <t>L_trip</t>
  </si>
  <si>
    <t>Chiều dài hành trình suy ra</t>
  </si>
  <si>
    <t>L_ht</t>
  </si>
  <si>
    <t>v·t_đều + 2·s_acc</t>
  </si>
  <si>
    <t>Kiểm tra hợp lý với khẩu độ cầu</t>
  </si>
  <si>
    <t>Mdyn</t>
  </si>
  <si>
    <t>Mô-men động đầy tải tại a*</t>
  </si>
  <si>
    <t>M_đg</t>
  </si>
  <si>
    <t>δM_Σa*k/η + J_B ε*</t>
  </si>
  <si>
    <t>Bài 4 slide 7</t>
  </si>
  <si>
    <t>Mdyn0</t>
  </si>
  <si>
    <t>Mô-men động không tải tại a*</t>
  </si>
  <si>
    <t>M_đg,0</t>
  </si>
  <si>
    <t>Sq1</t>
  </si>
  <si>
    <t>Σ M²t hành trình đầy tải</t>
  </si>
  <si>
    <t>ΣM²t (đầy)</t>
  </si>
  <si>
    <t>N²m²s</t>
  </si>
  <si>
    <t>Tăng tốc + đều + giảm tốc (số hạng chéo triệt tiêu)</t>
  </si>
  <si>
    <t>Tự dẫn từ Bài 4 slide 10</t>
  </si>
  <si>
    <t>Sq0</t>
  </si>
  <si>
    <t>Σ M²t hành trình không tải</t>
  </si>
  <si>
    <t>ΣM²t (không)</t>
  </si>
  <si>
    <t>Mdt</t>
  </si>
  <si>
    <t>Mô-men đẳng trị nhiệt</t>
  </si>
  <si>
    <t>M_đt</t>
  </si>
  <si>
    <t>√(ΣM²t/Σt_lv)</t>
  </si>
  <si>
    <t>WORKFLOW §4.2-C1</t>
  </si>
  <si>
    <t>Pdt</t>
  </si>
  <si>
    <t>Công suất đẳng trị</t>
  </si>
  <si>
    <t>P_đt</t>
  </si>
  <si>
    <t>M_đt·ω_N</t>
  </si>
  <si>
    <t>kdt</t>
  </si>
  <si>
    <t>Hệ số dự trữ phát nhiệt</t>
  </si>
  <si>
    <t>k_dt</t>
  </si>
  <si>
    <t>P_đm/P_đt (P_đm theo S1 — bảo thủ)</t>
  </si>
  <si>
    <t>Pdt_S1</t>
  </si>
  <si>
    <t>Công suất tương đương liên tục S1 (tham khảo)</t>
  </si>
  <si>
    <t>P_đt·√CD</t>
  </si>
  <si>
    <t>Quy đổi gần đúng ε → S1</t>
  </si>
  <si>
    <t>Bài giảng TĐĐ (gần đúng)</t>
  </si>
  <si>
    <t>Mtop1</t>
  </si>
  <si>
    <t>Mô-men pha tăng tốc đầy tải (đỉnh, a*)</t>
  </si>
  <si>
    <t>M_kđ</t>
  </si>
  <si>
    <t>Biểu đồ phụ tải</t>
  </si>
  <si>
    <t>Mtop2</t>
  </si>
  <si>
    <t>Mô-men pha giảm tốc đầy tải (đỉnh, a*)</t>
  </si>
  <si>
    <t>M_h</t>
  </si>
  <si>
    <t>Âm ⇒ hãm tái sinh (góc II)</t>
  </si>
  <si>
    <t>Mtop3</t>
  </si>
  <si>
    <t>Mô-men pha tăng tốc không tải</t>
  </si>
  <si>
    <t>M_kđ,0</t>
  </si>
  <si>
    <t>Mtop4</t>
  </si>
  <si>
    <t>Mô-men pha giảm tốc không tải</t>
  </si>
  <si>
    <t>M_h,0</t>
  </si>
  <si>
    <t>Góc IV (chạy Lùi)</t>
  </si>
  <si>
    <t>G. Dòng điện &amp; chọn biến tần — Bài 4 slide 20</t>
  </si>
  <si>
    <t>phiN</t>
  </si>
  <si>
    <t>Góc pha định mức</t>
  </si>
  <si>
    <t>φ_N</t>
  </si>
  <si>
    <t>rad</t>
  </si>
  <si>
    <t>b_c</t>
  </si>
  <si>
    <t>Hệ số vòng tròn</t>
  </si>
  <si>
    <t>b</t>
  </si>
  <si>
    <t>r/X_k = λ_K + √(λ_K²−1)</t>
  </si>
  <si>
    <t>Sơ đồ vòng tròn (R_s≈0)</t>
  </si>
  <si>
    <t>I0</t>
  </si>
  <si>
    <t>Dòng từ hóa (hiệu dụng)</t>
  </si>
  <si>
    <t>I_0</t>
  </si>
  <si>
    <t>I_N(sinφ − cosφ/b)</t>
  </si>
  <si>
    <t>Sơ đồ vòng tròn</t>
  </si>
  <si>
    <t>IqN</t>
  </si>
  <si>
    <t>Thành phần dòng mô-men định mức (hiệu dụng)</t>
  </si>
  <si>
    <t>I_q,N</t>
  </si>
  <si>
    <t>Ipk</t>
  </si>
  <si>
    <t>Dòng đỉnh khi tăng tốc đầy tải (hiệu dụng)</t>
  </si>
  <si>
    <t>I_đỉnh</t>
  </si>
  <si>
    <t>Gần đúng I_q tỷ lệ mô-men</t>
  </si>
  <si>
    <t>Bài 4 slide 20</t>
  </si>
  <si>
    <t>I_ol</t>
  </si>
  <si>
    <t>Dòng quá tải cho phép của biến tần</t>
  </si>
  <si>
    <t>1.5·I_Hd</t>
  </si>
  <si>
    <t>150% I_Hd trong 1 phút/10 phút</t>
  </si>
  <si>
    <t>H. Hãm tái sinh, Chopper &amp; R_h — Bài 2.3 slide 56-59; WORKFLOW §4.2-C4</t>
  </si>
  <si>
    <t>Fh</t>
  </si>
  <si>
    <t>Lực hãm cực đại (a_max, đầy tải)</t>
  </si>
  <si>
    <t>F_hãm,max</t>
  </si>
  <si>
    <t>M_Σ·a_max − F_c</t>
  </si>
  <si>
    <t>WORKFLOW §4.2-C4</t>
  </si>
  <si>
    <t>P_dc</t>
  </si>
  <si>
    <t>P_dc,hãm</t>
  </si>
  <si>
    <t>F_h·v·η·η_đc·η_inv</t>
  </si>
  <si>
    <t>R_up</t>
  </si>
  <si>
    <t>Cận trên R_h theo công suất</t>
  </si>
  <si>
    <t>U_chop²/P</t>
  </si>
  <si>
    <t>R_hi</t>
  </si>
  <si>
    <t>Cận trên R_h hiệu dụng</t>
  </si>
  <si>
    <t>R_h,max</t>
  </si>
  <si>
    <t>min(U²/P, R_max biến tần)</t>
  </si>
  <si>
    <t>R_lo</t>
  </si>
  <si>
    <t>Cận dưới R_h</t>
  </si>
  <si>
    <t>R_h,min</t>
  </si>
  <si>
    <t>R_min chopper (thay U/I_chop,max)</t>
  </si>
  <si>
    <t>I_ch</t>
  </si>
  <si>
    <t>Dòng chopper khi dẫn tại U_chop</t>
  </si>
  <si>
    <t>I_chop</t>
  </si>
  <si>
    <t>P_ch</t>
  </si>
  <si>
    <t>Công suất tức thời trên R_h khi chopper dẫn</t>
  </si>
  <si>
    <t>U²/R_h</t>
  </si>
  <si>
    <t>Phải ≥ P_dc,hãm (đủ khả năng hấp thụ)</t>
  </si>
  <si>
    <t>E_kin</t>
  </si>
  <si>
    <t>Động năng hệ đầy tải ở v_max</t>
  </si>
  <si>
    <t>E_đ</t>
  </si>
  <si>
    <t>½δM_Σv² + ½J_B·ω_m² — ω_m tại v_max (D191); v1.3 dùng ω_N (sửa v1.4)</t>
  </si>
  <si>
    <t>Bài 2.3 slide 58</t>
  </si>
  <si>
    <t>E_rh</t>
  </si>
  <si>
    <t>Năng lượng vào R_h mỗi lần dừng đầy tải</t>
  </si>
  <si>
    <t>E_Rh</t>
  </si>
  <si>
    <t>P_rh_avg</t>
  </si>
  <si>
    <t>Công suất trung bình trên R_h trong chu kỳ (bảo thủ: mọi lần dừng như đầy tải)</t>
  </si>
  <si>
    <t>P_Rh,tb</t>
  </si>
  <si>
    <t>Udc0</t>
  </si>
  <si>
    <t>Điện áp DC-link không tải lớn nhất (lưới +10%)</t>
  </si>
  <si>
    <t>U_dc0,max</t>
  </si>
  <si>
    <t>Quy ước: không tải √2·U; có tải ≈ 1.35·U</t>
  </si>
  <si>
    <t>ICD IF-05</t>
  </si>
  <si>
    <t>Udc_ld</t>
  </si>
  <si>
    <t>Điện áp DC-link có tải, lưới danh định</t>
  </si>
  <si>
    <t>U_dc,tải</t>
  </si>
  <si>
    <t>1.35·U (chỉnh lưu cầu 6 xung)</t>
  </si>
  <si>
    <t>I. Phanh cơ điện từ — WORKFLOW §4.2-C3; SAD RA-01</t>
  </si>
  <si>
    <t>M_hold</t>
  </si>
  <si>
    <t>Mô-men giữ thử trước khi nhả phanh</t>
  </si>
  <si>
    <t>SRS-D10</t>
  </si>
  <si>
    <t>MB_lo</t>
  </si>
  <si>
    <t>Mô-men phanh tối thiểu</t>
  </si>
  <si>
    <t>max(k_p·M_c; k_thử·M_hold)</t>
  </si>
  <si>
    <t>Giữ xe + chịu được mô-men thử khi phanh còn kẹp</t>
  </si>
  <si>
    <t>WORKFLOW §4.2-C3; SDD §5</t>
  </si>
  <si>
    <t>MB_hi</t>
  </si>
  <si>
    <t>Mô-men phanh tối đa không trượt (đầy tải)</t>
  </si>
  <si>
    <t>M_B,max</t>
  </si>
  <si>
    <t>F_B = M_B/(kη) ≤ F_bám</t>
  </si>
  <si>
    <t>MB_hi0</t>
  </si>
  <si>
    <t>Mô-men phanh tối đa không trượt (không tải)</t>
  </si>
  <si>
    <t>M_B,max,0</t>
  </si>
  <si>
    <t>Thường &lt; M_B,min ⇒ trượt khi phanh khẩn không tải</t>
  </si>
  <si>
    <t>aB</t>
  </si>
  <si>
    <t>Gia tốc dừng bằng phanh cơ, đầy tải (kể δ và J_B)</t>
  </si>
  <si>
    <t>a_B</t>
  </si>
  <si>
    <t>aB0</t>
  </si>
  <si>
    <t>Gia tốc dừng bằng phanh cơ, không tải (giới hạn bám)</t>
  </si>
  <si>
    <t>a_B,0</t>
  </si>
  <si>
    <t>sB</t>
  </si>
  <si>
    <t>Quãng dừng khẩn từ v_max, đầy tải</t>
  </si>
  <si>
    <t>s_B</t>
  </si>
  <si>
    <t>ds</t>
  </si>
  <si>
    <t>Độ trôi tối đa sau lệnh đóng phanh (ĐC đã thôi giữ)</t>
  </si>
  <si>
    <t>Δs_max</t>
  </si>
  <si>
    <t>mm</t>
  </si>
  <si>
    <t>v_đóng·t_kẹp (FSM giữ mô-men đến khi kẹp ⇒ danh định 0)</t>
  </si>
  <si>
    <t>SRS-FUNC-02</t>
  </si>
  <si>
    <t>J. Tham số mạch thay thế ĐC (ước lượng từ bảng tên) — [R9-06] Shevchenko §2.3; Bài 2.3</t>
  </si>
  <si>
    <t>ns</t>
  </si>
  <si>
    <t>Tốc độ đồng bộ</t>
  </si>
  <si>
    <t>n_s</t>
  </si>
  <si>
    <t>sN</t>
  </si>
  <si>
    <t>Hệ số trượt định mức</t>
  </si>
  <si>
    <t>s_N</t>
  </si>
  <si>
    <t>Uph</t>
  </si>
  <si>
    <t>Điện áp pha</t>
  </si>
  <si>
    <t>U_f</t>
  </si>
  <si>
    <t>Đấu Y</t>
  </si>
  <si>
    <t>ws</t>
  </si>
  <si>
    <t>Tần số góc nguồn</t>
  </si>
  <si>
    <t>ω_s</t>
  </si>
  <si>
    <t>Xm</t>
  </si>
  <si>
    <t>Điện kháng từ hóa</t>
  </si>
  <si>
    <t>X_m</t>
  </si>
  <si>
    <t>Sơ đồ Γ</t>
  </si>
  <si>
    <t>cos_r</t>
  </si>
  <si>
    <t>cosφ nhánh rotor</t>
  </si>
  <si>
    <t>cosφ_r</t>
  </si>
  <si>
    <t>Ir</t>
  </si>
  <si>
    <t>Dòng rotor quy đổi định mức</t>
  </si>
  <si>
    <t>I_r'</t>
  </si>
  <si>
    <t>Zr</t>
  </si>
  <si>
    <t>Tổng trở nhánh rotor</t>
  </si>
  <si>
    <t>Z_r</t>
  </si>
  <si>
    <t>Rr</t>
  </si>
  <si>
    <t>Điện trở rotor quy đổi</t>
  </si>
  <si>
    <t>R_r'</t>
  </si>
  <si>
    <t>Xk</t>
  </si>
  <si>
    <t>Điện kháng tản tổng</t>
  </si>
  <si>
    <t>X_k</t>
  </si>
  <si>
    <t>Ploss</t>
  </si>
  <si>
    <t>Tổng tổn hao định mức</t>
  </si>
  <si>
    <t>ΣΔP</t>
  </si>
  <si>
    <t>Pcu2</t>
  </si>
  <si>
    <t>Tổn hao đồng rotor</t>
  </si>
  <si>
    <t>ΔP_Cu2</t>
  </si>
  <si>
    <t>Pcu1</t>
  </si>
  <si>
    <t>Tổn hao đồng stator</t>
  </si>
  <si>
    <t>ΔP_Cu1</t>
  </si>
  <si>
    <t>Rs</t>
  </si>
  <si>
    <t>Điện trở stator</t>
  </si>
  <si>
    <t>R_s</t>
  </si>
  <si>
    <t>Lm</t>
  </si>
  <si>
    <t>Hỗ cảm</t>
  </si>
  <si>
    <t>L_m</t>
  </si>
  <si>
    <t>H</t>
  </si>
  <si>
    <t>Lss</t>
  </si>
  <si>
    <t>Điện cảm tản stator</t>
  </si>
  <si>
    <t>L_σs</t>
  </si>
  <si>
    <t>Lsr</t>
  </si>
  <si>
    <t>Điện cảm tản rotor</t>
  </si>
  <si>
    <t>L_σr</t>
  </si>
  <si>
    <t>Ls</t>
  </si>
  <si>
    <t>Điện cảm stator</t>
  </si>
  <si>
    <t>L_s</t>
  </si>
  <si>
    <t>Lr</t>
  </si>
  <si>
    <t>Điện cảm rotor</t>
  </si>
  <si>
    <t>L_r</t>
  </si>
  <si>
    <t>sig</t>
  </si>
  <si>
    <t>Hệ số tản</t>
  </si>
  <si>
    <t>σ</t>
  </si>
  <si>
    <t>Tr</t>
  </si>
  <si>
    <t>Hằng số thời gian rotor</t>
  </si>
  <si>
    <t>T_r</t>
  </si>
  <si>
    <t>Bài 2.3 slide 33</t>
  </si>
  <si>
    <t>kr</t>
  </si>
  <si>
    <t>Hệ số ghép rotor</t>
  </si>
  <si>
    <t>k_r</t>
  </si>
  <si>
    <t>Re</t>
  </si>
  <si>
    <t>Điện trở tương đương mạch dòng</t>
  </si>
  <si>
    <t>R_e</t>
  </si>
  <si>
    <t>R_s + k_r²R_r</t>
  </si>
  <si>
    <t>Bài 2.3 slide 34</t>
  </si>
  <si>
    <t>Lsig</t>
  </si>
  <si>
    <t>Điện cảm tản tương đương</t>
  </si>
  <si>
    <t>L_σ = σL_s</t>
  </si>
  <si>
    <t>Te</t>
  </si>
  <si>
    <t>Hằng số thời gian điện từ</t>
  </si>
  <si>
    <t>T_e = T_σ</t>
  </si>
  <si>
    <t>isdN</t>
  </si>
  <si>
    <t>Dòng từ hóa định mức (biên độ dq)</t>
  </si>
  <si>
    <t>i_sd,N</t>
  </si>
  <si>
    <t>psir</t>
  </si>
  <si>
    <t>Từ thông rotor định mức</t>
  </si>
  <si>
    <t>ψ_r</t>
  </si>
  <si>
    <t>Wb</t>
  </si>
  <si>
    <t>kM</t>
  </si>
  <si>
    <t>Hệ số mô-men</t>
  </si>
  <si>
    <t>k_M</t>
  </si>
  <si>
    <t>N·m/A</t>
  </si>
  <si>
    <t>M_e = k_M·i_sq</t>
  </si>
  <si>
    <t>WORKFLOW §4.2-D2</t>
  </si>
  <si>
    <t>isqN</t>
  </si>
  <si>
    <t>Dòng mô-men định mức (biên độ)</t>
  </si>
  <si>
    <t>i_sq,N</t>
  </si>
  <si>
    <t>isqmax</t>
  </si>
  <si>
    <t>Dòng mô-men giới hạn chống trượt</t>
  </si>
  <si>
    <t>i_sq,lim</t>
  </si>
  <si>
    <t>F_k ≤ F_bám/1.2 (chưa kể quán tính rotor)</t>
  </si>
  <si>
    <t>K. PI dòng điện — Tối ưu Module (Bài 2.1 slide 26-27; WORKFLOW §4.2-D2)</t>
  </si>
  <si>
    <t>Tmu</t>
  </si>
  <si>
    <t>Hằng số thời gian nhỏ không bù</t>
  </si>
  <si>
    <t>T_μi</t>
  </si>
  <si>
    <t>Kpi</t>
  </si>
  <si>
    <t>Hệ số khuếch đại PI dòng</t>
  </si>
  <si>
    <t>K_p,I</t>
  </si>
  <si>
    <t>V/A</t>
  </si>
  <si>
    <t>L_σ/(2T_μi)</t>
  </si>
  <si>
    <t>Tii</t>
  </si>
  <si>
    <t>Hằng số tích phân PI dòng</t>
  </si>
  <si>
    <t>T_i,I</t>
  </si>
  <si>
    <t>Bằng T_σ (bù hằng số thời gian lớn)</t>
  </si>
  <si>
    <t>Kii</t>
  </si>
  <si>
    <t>Hệ số tích phân</t>
  </si>
  <si>
    <t>K_i,I = K_p/T_i</t>
  </si>
  <si>
    <t>V/(A·s)</t>
  </si>
  <si>
    <t>t_tq</t>
  </si>
  <si>
    <t>Thời gian tăng mô-men (MO, ≈ 4.7·T_μi)</t>
  </si>
  <si>
    <t>Δt_torque</t>
  </si>
  <si>
    <t>Đáp ứng bậc 2 tối ưu module</t>
  </si>
  <si>
    <t>Bài 2.1</t>
  </si>
  <si>
    <t>L. PI tốc độ — Tối ưu Đối xứng (Bài 2.1 slide 28-30; WORKFLOW §4.2-D2)</t>
  </si>
  <si>
    <t>TSw</t>
  </si>
  <si>
    <t>Tổng hằng số thời gian nhỏ vòng tốc độ</t>
  </si>
  <si>
    <t>T_Σω</t>
  </si>
  <si>
    <t>Vòng dòng kín ≈ 1/(1+2T_μi s) + lọc đo</t>
  </si>
  <si>
    <t>Jt</t>
  </si>
  <si>
    <t>Quán tính chỉnh định</t>
  </si>
  <si>
    <t>J_tune</t>
  </si>
  <si>
    <t>√(J_max·J_min) — PM bằng nhau hai trạng thái tải</t>
  </si>
  <si>
    <t>SDD §4.3</t>
  </si>
  <si>
    <t>Kpw</t>
  </si>
  <si>
    <t>Hệ số khuếch đại PI tốc độ</t>
  </si>
  <si>
    <t>K_p,ω</t>
  </si>
  <si>
    <t>A·s/rad</t>
  </si>
  <si>
    <t>J/(2k_M T_Σω)</t>
  </si>
  <si>
    <t>Tiw</t>
  </si>
  <si>
    <t>Hằng số tích phân PI tốc độ</t>
  </si>
  <si>
    <t>T_i,ω</t>
  </si>
  <si>
    <t>4T_Σω</t>
  </si>
  <si>
    <t>Tpre</t>
  </si>
  <si>
    <t>Hằng số lọc lượng đặt (tùy chọn)</t>
  </si>
  <si>
    <t>T_pre</t>
  </si>
  <si>
    <t>Khử điểm không của SO</t>
  </si>
  <si>
    <t>Bài 2.1 slide 28</t>
  </si>
  <si>
    <t>kap1</t>
  </si>
  <si>
    <t>Hệ số lệch khuếch đại vòng (đầy tải)</t>
  </si>
  <si>
    <t>κ</t>
  </si>
  <si>
    <t>kap0</t>
  </si>
  <si>
    <t>Hệ số lệch khuếch đại vòng (không tải)</t>
  </si>
  <si>
    <t>κ₀</t>
  </si>
  <si>
    <t>y1_1</t>
  </si>
  <si>
    <t>Lặp Newton 1 — điểm cắt (y = (T_Σω·ω_c)²), đầy tải</t>
  </si>
  <si>
    <t>y</t>
  </si>
  <si>
    <t>Giải |L(jω)| = 1</t>
  </si>
  <si>
    <t>y1_2</t>
  </si>
  <si>
    <t>Lặp Newton 2 — điểm cắt (y = (T_Σω·ω_c)²), đầy tải</t>
  </si>
  <si>
    <t>y1_3</t>
  </si>
  <si>
    <t>Lặp Newton 3 — điểm cắt (y = (T_Σω·ω_c)²), đầy tải</t>
  </si>
  <si>
    <t>y1_4</t>
  </si>
  <si>
    <t>Lặp Newton 4 — điểm cắt (y = (T_Σω·ω_c)²), đầy tải</t>
  </si>
  <si>
    <t>y1_5</t>
  </si>
  <si>
    <t>Lặp Newton 5 — điểm cắt (y = (T_Σω·ω_c)²), đầy tải</t>
  </si>
  <si>
    <t>y1_6</t>
  </si>
  <si>
    <t>Lặp Newton 6 — điểm cắt (y = (T_Σω·ω_c)²), đầy tải</t>
  </si>
  <si>
    <t>y1_7</t>
  </si>
  <si>
    <t>Lặp Newton 7 — điểm cắt (y = (T_Σω·ω_c)²), đầy tải</t>
  </si>
  <si>
    <t>y1_8</t>
  </si>
  <si>
    <t>Lặp Newton 8 — điểm cắt (y = (T_Σω·ω_c)²), đầy tải</t>
  </si>
  <si>
    <t>y1_9</t>
  </si>
  <si>
    <t>Lặp Newton 9 — điểm cắt (y = (T_Σω·ω_c)²), đầy tải</t>
  </si>
  <si>
    <t>y1_10</t>
  </si>
  <si>
    <t>Lặp Newton 10 — điểm cắt (y = (T_Σω·ω_c)²), đầy tải</t>
  </si>
  <si>
    <t>y1_11</t>
  </si>
  <si>
    <t>Lặp Newton 11 — điểm cắt (y = (T_Σω·ω_c)²), đầy tải</t>
  </si>
  <si>
    <t>y1_12</t>
  </si>
  <si>
    <t>Lặp Newton 12 — điểm cắt (y = (T_Σω·ω_c)²), đầy tải</t>
  </si>
  <si>
    <t>PM1</t>
  </si>
  <si>
    <t>Độ dự trữ pha vòng tốc độ (đầy tải)</t>
  </si>
  <si>
    <t>PM</t>
  </si>
  <si>
    <t>atan(4x) − atan(x), x = T_Σω·ω_c</t>
  </si>
  <si>
    <t>Tự dẫn từ hàm truyền SO</t>
  </si>
  <si>
    <t>wc1</t>
  </si>
  <si>
    <t>Tần số cắt (đầy tải)</t>
  </si>
  <si>
    <t>ω_c</t>
  </si>
  <si>
    <t>y0_1</t>
  </si>
  <si>
    <t>Lặp Newton 1 — điểm cắt (y = (T_Σω·ω_c)²), không tải</t>
  </si>
  <si>
    <t>y0_2</t>
  </si>
  <si>
    <t>Lặp Newton 2 — điểm cắt (y = (T_Σω·ω_c)²), không tải</t>
  </si>
  <si>
    <t>y0_3</t>
  </si>
  <si>
    <t>Lặp Newton 3 — điểm cắt (y = (T_Σω·ω_c)²), không tải</t>
  </si>
  <si>
    <t>y0_4</t>
  </si>
  <si>
    <t>Lặp Newton 4 — điểm cắt (y = (T_Σω·ω_c)²), không tải</t>
  </si>
  <si>
    <t>y0_5</t>
  </si>
  <si>
    <t>Lặp Newton 5 — điểm cắt (y = (T_Σω·ω_c)²), không tải</t>
  </si>
  <si>
    <t>y0_6</t>
  </si>
  <si>
    <t>Lặp Newton 6 — điểm cắt (y = (T_Σω·ω_c)²), không tải</t>
  </si>
  <si>
    <t>y0_7</t>
  </si>
  <si>
    <t>Lặp Newton 7 — điểm cắt (y = (T_Σω·ω_c)²), không tải</t>
  </si>
  <si>
    <t>y0_8</t>
  </si>
  <si>
    <t>Lặp Newton 8 — điểm cắt (y = (T_Σω·ω_c)²), không tải</t>
  </si>
  <si>
    <t>y0_9</t>
  </si>
  <si>
    <t>Lặp Newton 9 — điểm cắt (y = (T_Σω·ω_c)²), không tải</t>
  </si>
  <si>
    <t>y0_10</t>
  </si>
  <si>
    <t>Lặp Newton 10 — điểm cắt (y = (T_Σω·ω_c)²), không tải</t>
  </si>
  <si>
    <t>y0_11</t>
  </si>
  <si>
    <t>Lặp Newton 11 — điểm cắt (y = (T_Σω·ω_c)²), không tải</t>
  </si>
  <si>
    <t>y0_12</t>
  </si>
  <si>
    <t>Lặp Newton 12 — điểm cắt (y = (T_Σω·ω_c)²), không tải</t>
  </si>
  <si>
    <t>PM0</t>
  </si>
  <si>
    <t>Độ dự trữ pha vòng tốc độ (không tải)</t>
  </si>
  <si>
    <t>wc0</t>
  </si>
  <si>
    <t>Tần số cắt (không tải)</t>
  </si>
  <si>
    <t>M. Encoder &amp; ngưỡng logic</t>
  </si>
  <si>
    <t>dw_enc</t>
  </si>
  <si>
    <t>Phân giải tốc độ ĐC</t>
  </si>
  <si>
    <t>Δω</t>
  </si>
  <si>
    <t>Đếm 4 sườn trong T_s,ω</t>
  </si>
  <si>
    <t>dv_enc</t>
  </si>
  <si>
    <t>Phân giải vận tốc dài</t>
  </si>
  <si>
    <t>Δv</t>
  </si>
  <si>
    <t>N. Tốc độ bò</t>
  </si>
  <si>
    <t>v_creep</t>
  </si>
  <si>
    <t>Tốc độ bò</t>
  </si>
  <si>
    <t>v_bò</t>
  </si>
  <si>
    <t>Downstream #8</t>
  </si>
  <si>
    <t>w_creep</t>
  </si>
  <si>
    <t>Tốc độ ĐC khi bò</t>
  </si>
  <si>
    <t>ω_bò</t>
  </si>
  <si>
    <t>O. Mô hình 2 khối lượng (xe con cứng + con lắc tải) cho mô phỏng — SDD §2, §3.4 (v1.3); WORKFLOW §4.2-D3</t>
  </si>
  <si>
    <t>m_rig</t>
  </si>
  <si>
    <t>Khối lượng tịnh tiến cứng trong mô phỏng (khung xe con)</t>
  </si>
  <si>
    <t>Không gồm tải treo: tải chỉ tác dụng lên xe qua cáp (F_lắc)</t>
  </si>
  <si>
    <t>m_p</t>
  </si>
  <si>
    <t>Khối lượng con lắc, đầy tải</t>
  </si>
  <si>
    <t>m_pend</t>
  </si>
  <si>
    <t>Q + m_nh</t>
  </si>
  <si>
    <t>P-01, P-02</t>
  </si>
  <si>
    <t>m_p0</t>
  </si>
  <si>
    <t>Khối lượng con lắc, không tải</t>
  </si>
  <si>
    <t>m_pend,0</t>
  </si>
  <si>
    <t>Chỉ cụm móc</t>
  </si>
  <si>
    <t>Jgear</t>
  </si>
  <si>
    <t>Quán tính chi tiết quay hộp số/khớp nối (cố định)</t>
  </si>
  <si>
    <t>J_gear</t>
  </si>
  <si>
    <t>(δ−1)·M_Σ·k² — giữ phần δ của khối C, không đổi theo tải</t>
  </si>
  <si>
    <t>WORKFLOW §4.2-B4 [C]</t>
  </si>
  <si>
    <t>Jrig</t>
  </si>
  <si>
    <t>Quán tính cứng quy về trục ĐC (dùng chung đầy/không tải)</t>
  </si>
  <si>
    <t>J_rig</t>
  </si>
  <si>
    <t>J_BMot + J_gear + m_xc·k²</t>
  </si>
  <si>
    <t>Fc_2m</t>
  </si>
  <si>
    <t>Lực cản lăn đầy tải trong mô hình 2 khối</t>
  </si>
  <si>
    <t>F_c</t>
  </si>
  <si>
    <t>(m_xc + m_pend)·g·w0 — trọng lượng tải vẫn đè lên bánh (phải = P-20, KT-34)</t>
  </si>
  <si>
    <t>Fc0_2m</t>
  </si>
  <si>
    <t>Lực cản lăn không tải trong mô hình 2 khối</t>
  </si>
  <si>
    <t>F_c,0</t>
  </si>
  <si>
    <t>k_pend</t>
  </si>
  <si>
    <t>Độ cứng tương đương con lắc</t>
  </si>
  <si>
    <t>N/m</t>
  </si>
  <si>
    <t>m_pend·g/h</t>
  </si>
  <si>
    <t>w_res</t>
  </si>
  <si>
    <t>Tần số cộng hưởng xe – tải treo</t>
  </si>
  <si>
    <t>ω_r</t>
  </si>
  <si>
    <t>√(k_p·(1/m_eq + 1/m_pend)), m_eq = J_rig/k²</t>
  </si>
  <si>
    <t>th_amp</t>
  </si>
  <si>
    <t>Biên độ lắc khi chạy đều sau tăng tốc</t>
  </si>
  <si>
    <t>θ_a</t>
  </si>
  <si>
    <t>v·ω_p/g (= khối E, D46, theo rad)</t>
  </si>
  <si>
    <t>[R9-01]</t>
  </si>
  <si>
    <t>Fsw</t>
  </si>
  <si>
    <t>Biên độ phản lực cáp khi chạy đều</t>
  </si>
  <si>
    <t>F_lắc,max</t>
  </si>
  <si>
    <t>m_pend·g·θ_a</t>
  </si>
  <si>
    <t>IF-10</t>
  </si>
  <si>
    <t>Mpk_2m</t>
  </si>
  <si>
    <t>Mô-men ĐC đỉnh khi tăng tốc tại a* (mô hình 2 khối)</t>
  </si>
  <si>
    <t>M_max,2m</t>
  </si>
  <si>
    <t>J_rig·ε* + M_c: cáp chưa kịp lệch vì t_acc ≪ T_p</t>
  </si>
  <si>
    <t>Mrun_2m</t>
  </si>
  <si>
    <t>Mô-men ĐC lớn nhất khi chạy đều (mô hình 2 khối)</t>
  </si>
  <si>
    <t>M_đều,max</t>
  </si>
  <si>
    <t>M_c + F_lắc,max·k/η</t>
  </si>
  <si>
    <t>r_2m</t>
  </si>
  <si>
    <t>Tỷ số mô-men đỉnh: mô hình 2 khối / khối cứng (khối F)</t>
  </si>
  <si>
    <t>Simulink sẽ cho mô-men nhỏ hơn Excel — không phải lỗi; Excel (khối cứng) là cận trên</t>
  </si>
  <si>
    <t>kap2m</t>
  </si>
  <si>
    <t>Hệ số lệch khuếch đại vòng tốc độ với mô hình 2 khối</t>
  </si>
  <si>
    <t>κ_2m</t>
  </si>
  <si>
    <t>ω_c ≫ ω_r: vòng tốc độ chỉ thấy J_rig ở cả hai trạng thái tải</t>
  </si>
  <si>
    <t>P. Giới hạn điện áp &amp; giảm từ thông (ĐC 400 V trên lưới 380 V) — IF-04, SDD §4.1 (v1.3)</t>
  </si>
  <si>
    <t>wm_v</t>
  </si>
  <si>
    <t>Tốc độ ĐC tại v_max</t>
  </si>
  <si>
    <t>ω_m,vmax</t>
  </si>
  <si>
    <t>wsl_c</t>
  </si>
  <si>
    <t>Tần số trượt khi chạy đều đầy tải</t>
  </si>
  <si>
    <t>ω_sl</t>
  </si>
  <si>
    <t>s_N·ω_s·M_c/M_N (tuyến tính)</t>
  </si>
  <si>
    <t>f1_v</t>
  </si>
  <si>
    <t>Tần số stator tại v_max</t>
  </si>
  <si>
    <t>f_1</t>
  </si>
  <si>
    <t>U_req</t>
  </si>
  <si>
    <t>Điện áp dây cần ở từ thông định mức</t>
  </si>
  <si>
    <t>U_1,req</t>
  </si>
  <si>
    <t>U_N·f_1/f_N (bỏ qua sụt áp R_s)</t>
  </si>
  <si>
    <t>Udc_lo</t>
  </si>
  <si>
    <t>U_dc có tải, lưới −10%</t>
  </si>
  <si>
    <t>U_dc,min</t>
  </si>
  <si>
    <t>1.35·U (khối H dùng cho lưới danh định)</t>
  </si>
  <si>
    <t>U1_n</t>
  </si>
  <si>
    <t>U_1 tối đa nghịch lưu tạo được, lưới danh định</t>
  </si>
  <si>
    <t>U_1,lim</t>
  </si>
  <si>
    <t>k_u·U_dc/√2</t>
  </si>
  <si>
    <t>SDD §4.2</t>
  </si>
  <si>
    <t>U1_lo</t>
  </si>
  <si>
    <t>U_1 tối đa nghịch lưu tạo được, lưới −10%</t>
  </si>
  <si>
    <t>U_1,lim,min</t>
  </si>
  <si>
    <t>kpsi_n</t>
  </si>
  <si>
    <t>Tỷ số từ thông tại v_max, lưới danh định</t>
  </si>
  <si>
    <t>k_ψ</t>
  </si>
  <si>
    <t>ψ_r*/ψ_rN</t>
  </si>
  <si>
    <t>kpsi_lo</t>
  </si>
  <si>
    <t>Tỷ số từ thông tại v_max, lưới −10%</t>
  </si>
  <si>
    <t>k_ψ,min</t>
  </si>
  <si>
    <t>ψ_r*/ψ_rN (SRS-D14)</t>
  </si>
  <si>
    <t>wfw_n</t>
  </si>
  <si>
    <t>Tốc độ ĐC bắt đầu giảm từ thông, lưới danh định</t>
  </si>
  <si>
    <t>ω_fw</t>
  </si>
  <si>
    <t>ψ_r* = ψ_rN·min(1, ω_fw/|ω_m|) (SRS-D15)</t>
  </si>
  <si>
    <t>wfw_lo</t>
  </si>
  <si>
    <t>Tốc độ ĐC bắt đầu giảm từ thông, lưới −10%</t>
  </si>
  <si>
    <t>ω_fw,min</t>
  </si>
  <si>
    <t>v2_end</t>
  </si>
  <si>
    <t>Vận tốc đặt cuối đoạn gia tốc hằng</t>
  </si>
  <si>
    <t>v_2</t>
  </si>
  <si>
    <t>v_1 + a*·T_a</t>
  </si>
  <si>
    <t>Khối E</t>
  </si>
  <si>
    <t>vfw_lo</t>
  </si>
  <si>
    <t>Vận tốc bắt đầu giảm từ thông, lưới −10%</t>
  </si>
  <si>
    <t>v_fw</t>
  </si>
  <si>
    <t>afw_lo</t>
  </si>
  <si>
    <t>Gia tốc đặt tại v_fw (lưới −10%)</t>
  </si>
  <si>
    <t>a_fw</t>
  </si>
  <si>
    <t>Đoạn 3 S-curve: a = √(2ρ*(v_max − v))</t>
  </si>
  <si>
    <t>Mfw_lo</t>
  </si>
  <si>
    <t>Mô-men cần tại v_fw (khối cứng, bảo thủ)</t>
  </si>
  <si>
    <t>M_fw</t>
  </si>
  <si>
    <t>M_c + δM_Σa_fw·k/η + J_B·a_fw/k</t>
  </si>
  <si>
    <t>Khối D</t>
  </si>
  <si>
    <t>isq_fw</t>
  </si>
  <si>
    <t>i_sq cần khi giảm từ thông (bảo thủ: M_fw ở từ thông nhỏ nhất)</t>
  </si>
  <si>
    <t>i_sq,fw</t>
  </si>
  <si>
    <t>So với i_sq,lim (KT-37)</t>
  </si>
  <si>
    <t>isd_fw</t>
  </si>
  <si>
    <t>i_sd tại v_max, lưới −10%</t>
  </si>
  <si>
    <t>i_sd,fw</t>
  </si>
  <si>
    <t>k_ψ·i_sd,N</t>
  </si>
  <si>
    <t>Is_fw</t>
  </si>
  <si>
    <t>Dòng stator hiệu dụng khi giảm từ thông (lưới −10%)</t>
  </si>
  <si>
    <t>I_s,fw</t>
  </si>
  <si>
    <t>So với 1.5·I_Hd (KT-38)</t>
  </si>
  <si>
    <t>Q. Mô hình biến tần trung bình &amp; DC-link — IF-05, SDD §7 (v1.3)</t>
  </si>
  <si>
    <t>Udc0_n</t>
  </si>
  <si>
    <t>U_dc không tải, lưới danh định</t>
  </si>
  <si>
    <t>U_dc0</t>
  </si>
  <si>
    <t>√2·U</t>
  </si>
  <si>
    <t>Idc_N</t>
  </si>
  <si>
    <t>Dòng DC khi ĐC chạy định mức</t>
  </si>
  <si>
    <t>I_dc,N</t>
  </si>
  <si>
    <t>P_N/(η_đc·η_inv·U_dc)</t>
  </si>
  <si>
    <t>R_src</t>
  </si>
  <si>
    <t>Điện trở nguồn tương đương của chỉnh lưu (mô hình trung bình)</t>
  </si>
  <si>
    <t>Chỉnh lưu diode 1 chiều sau R_src: U_dc = U_dc0 khi không tải, ≈ 1.35U ở tải định mức</t>
  </si>
  <si>
    <t>Giả định mô hình [C]</t>
  </si>
  <si>
    <t>E_cap</t>
  </si>
  <si>
    <t>Năng lượng tụ hấp thụ từ U_dc0,max đến U_chop</t>
  </si>
  <si>
    <t>E_C</t>
  </si>
  <si>
    <t>Bảo thủ: lưới +10%</t>
  </si>
  <si>
    <t>chop_q</t>
  </si>
  <si>
    <t>Chopper có tác động khi dừng đầy tải?</t>
  </si>
  <si>
    <t>So E_Rh (khối H) với E_C</t>
  </si>
  <si>
    <t>U_off</t>
  </si>
  <si>
    <t>Ngưỡng cắt chopper</t>
  </si>
  <si>
    <t>U_chop,off</t>
  </si>
  <si>
    <t>n_I</t>
  </si>
  <si>
    <t>Số bước giải trong 1 chu kỳ vòng dòng Ts_I</t>
  </si>
  <si>
    <t>Phải nguyên (KT-40)</t>
  </si>
  <si>
    <t>n_w</t>
  </si>
  <si>
    <t>Số bước giải trong 1 chu kỳ vòng tốc độ Ts_w</t>
  </si>
  <si>
    <t>R. Kịch bản mô phỏng rút gọn TS-01 / TS-02 — DVP v1.2 §3.2 (rút gọn thời gian, v1.3)</t>
  </si>
  <si>
    <t>t_go1</t>
  </si>
  <si>
    <t>TS-01: xe bắt đầu chạy Tiến, đầy tải</t>
  </si>
  <si>
    <t>t_cmd + t_mag + t_test + t_open (S2 → S3 → S3B)</t>
  </si>
  <si>
    <t>t_cr1</t>
  </si>
  <si>
    <t>TS-01: bắt đầu chạy đều</t>
  </si>
  <si>
    <t>t_dec1</t>
  </si>
  <si>
    <t>TS-01: nhả FWD — bắt đầu giảm tốc</t>
  </si>
  <si>
    <t>t_st1</t>
  </si>
  <si>
    <t>TS-01: dừng (v = 0)</t>
  </si>
  <si>
    <t>t_unl</t>
  </si>
  <si>
    <t>TS-01: dỡ tải (m_pend → m_pend,0; reset θ, θ̇ = 0)</t>
  </si>
  <si>
    <t>Sau S6 và thời gian quan sát</t>
  </si>
  <si>
    <t>t_cmd2</t>
  </si>
  <si>
    <t>TS-01: nhấn REV</t>
  </si>
  <si>
    <t>t_go2</t>
  </si>
  <si>
    <t>TS-01: xe bắt đầu chạy Lùi, không tải</t>
  </si>
  <si>
    <t>t_st2</t>
  </si>
  <si>
    <t>TS-01: dừng (Lùi)</t>
  </si>
  <si>
    <t>T_end</t>
  </si>
  <si>
    <t>TS-01: thời gian mô phỏng</t>
  </si>
  <si>
    <t>s_run</t>
  </si>
  <si>
    <t>Quãng đường mỗi hành trình</t>
  </si>
  <si>
    <t>s_ht</t>
  </si>
  <si>
    <t>N_step</t>
  </si>
  <si>
    <t>Số bước giải TS-01</t>
  </si>
  <si>
    <t>t_rev2</t>
  </si>
  <si>
    <t>TS-02: nhấn REV khi đang chạy đều Tiến</t>
  </si>
  <si>
    <t>Kỳ vọng: không đổi chiều, chỉ S5 → S6 → S1</t>
  </si>
  <si>
    <t>T_end2</t>
  </si>
  <si>
    <t>TS-02: thời gian mô phỏng</t>
  </si>
  <si>
    <t>Fh_d</t>
  </si>
  <si>
    <t>Lực hãm cực đại kể hệ số quán tính quay δ</t>
  </si>
  <si>
    <t>F_hãm,δ</t>
  </si>
  <si>
    <t>δ·M_Σ·a_max − F_c (D74 không kể δ theo WORKFLOW §4.2-C4)</t>
  </si>
  <si>
    <t>P_dc_d</t>
  </si>
  <si>
    <t>Công suất hãm đỉnh về DC-link kể δ và J_B (tham khảo)</t>
  </si>
  <si>
    <t>P_dc,hãm,δ</t>
  </si>
  <si>
    <t>(F_hãm,δ·v·η + J_B·ε_max·ω_m)·η_đc·η_inv — bảo thủ: a_max đúng lúc v_max</t>
  </si>
  <si>
    <t>r_Pdc</t>
  </si>
  <si>
    <t>Biên P_BR,max biến tần so với P_dc,hãm,δ</t>
  </si>
  <si>
    <t>P_BR,max/P_dc,δ</t>
  </si>
  <si>
    <t>Chỉ tham khảo: KT-15 vẫn dùng D75 (công thức khóa); biên này ≥ 1 thì kết luận chọn R_h/biến tần không đổi</t>
  </si>
  <si>
    <t>r_Pch</t>
  </si>
  <si>
    <t>Biên công suất tức thời R_h so với P_dc,hãm,δ</t>
  </si>
  <si>
    <t>(U²/R_h)/P_dc,δ</t>
  </si>
  <si>
    <t>Tham khảo cho KT-14</t>
  </si>
  <si>
    <t>Nội dung kiểm tra</t>
  </si>
  <si>
    <t>Giá trị tính</t>
  </si>
  <si>
    <t>Ngưỡng</t>
  </si>
  <si>
    <t>Kết quả</t>
  </si>
  <si>
    <t>Yêu cầu nguồn</t>
  </si>
  <si>
    <t>Ghi chú</t>
  </si>
  <si>
    <t>Lực cản tĩnh tính lại khớp P-20 (sai lệch &lt; 1 N)</t>
  </si>
  <si>
    <t>P-20, K6</t>
  </si>
  <si>
    <t>KT-02</t>
  </si>
  <si>
    <t>Hệ số bám đầy tải k_bám ≥ 1.20</t>
  </si>
  <si>
    <t>KT-03</t>
  </si>
  <si>
    <t>Hệ số bám không tải k_bám,0 ≥ 1.20</t>
  </si>
  <si>
    <t>KT-04</t>
  </si>
  <si>
    <t>Bội số mô-men catalogue λ_K ≥ 2.0</t>
  </si>
  <si>
    <t>Downstream #7</t>
  </si>
  <si>
    <t>Quá tải ở sụt áp -10%: λ_K·(342/400)² ≥ M_max/M_N</t>
  </si>
  <si>
    <t>Downstream #7, SRS-PERM-01</t>
  </si>
  <si>
    <t>Lực kéo ĐC tạo được ≥ F_max = 9,218 N (dải 9.25 ± 0.45 kN)</t>
  </si>
  <si>
    <t>k_dt ≥ 1.20 (SRS Baseline A.1 — có hiệu lực 24/10/2026)</t>
  </si>
  <si>
    <t>SRS-PERM-04 (A.1)</t>
  </si>
  <si>
    <t>KT-08</t>
  </si>
  <si>
    <t>k_dt ≤ 1.50 (cận trên SRS v1.2 — đã bỏ trong SRS Baseline A.1, ký 24/10/2026)</t>
  </si>
  <si>
    <t>SRS-PERM-04 (v1.2 → A.1)</t>
  </si>
  <si>
    <t>Giữ để truy vết xung đột QĐ-02</t>
  </si>
  <si>
    <t>KT-09</t>
  </si>
  <si>
    <t>P_đm ≤ min(2.2 kW; 1.5·P_max) — QCD-C01, cách hiểu QĐ-08 (so với P_max)</t>
  </si>
  <si>
    <t>SOW QCD-C01 (QĐ-08)</t>
  </si>
  <si>
    <t>Trần = MIN(2.2; 1.5·P_max/1000)</t>
  </si>
  <si>
    <t>KT-10</t>
  </si>
  <si>
    <t>Biến tần: I_Hd ≥ I_N động cơ</t>
  </si>
  <si>
    <t>Biến tần: 1.5·I_Hd ≥ I_đỉnh tăng tốc</t>
  </si>
  <si>
    <t>KT-12</t>
  </si>
  <si>
    <t>Biến tần: I_max ≥ I_đỉnh</t>
  </si>
  <si>
    <t>KT-13</t>
  </si>
  <si>
    <t>R_h ≥ R_min chopper</t>
  </si>
  <si>
    <t>SRS-FUNC-04</t>
  </si>
  <si>
    <t>KT-14</t>
  </si>
  <si>
    <t>R_h ≤ min(U_chop²/P_hãm; R_max)</t>
  </si>
  <si>
    <t>SRS-FUNC-04, Downstream #3</t>
  </si>
  <si>
    <t>P_BRmax biến tần ≥ P_hãm đỉnh</t>
  </si>
  <si>
    <t>đơn vị kW</t>
  </si>
  <si>
    <t>KT-16</t>
  </si>
  <si>
    <t>U_dc không tải (lưới +10%) &lt; ngưỡng chopper dưới (U_chop − 20 V)</t>
  </si>
  <si>
    <t>Chopper không băm khi đứng yên</t>
  </si>
  <si>
    <t>KT-17</t>
  </si>
  <si>
    <t>Ngưỡng chopper &lt; U_dc,max &lt; ngưỡng trip</t>
  </si>
  <si>
    <t>Kiểm chứng U_dc(t) ở DV-04 (S)</t>
  </si>
  <si>
    <t>KT-18</t>
  </si>
  <si>
    <t>S-curve: a* ≤ a_max</t>
  </si>
  <si>
    <t>SRS-FUNC-03</t>
  </si>
  <si>
    <t>KT-19</t>
  </si>
  <si>
    <t>S-curve: ρ* ≤ ρ_max</t>
  </si>
  <si>
    <t>KT-20</t>
  </si>
  <si>
    <t>S-curve đủ 3 đoạn: a*²/ρ* &lt; v_max</t>
  </si>
  <si>
    <t>KT-21</t>
  </si>
  <si>
    <t>Góc lắc dư ≤ θ_0 = 2.92°</t>
  </si>
  <si>
    <t>SRS-PERM-03 (tham khảo)</t>
  </si>
  <si>
    <t>Ước lượng; kiểm chứng S ở DV-07</t>
  </si>
  <si>
    <t>Δt_torque (MO) ≤ 10 ms</t>
  </si>
  <si>
    <t>Downstream #4</t>
  </si>
  <si>
    <t>Catalogue ACS380 &lt; 10 ms [W-05]</t>
  </si>
  <si>
    <t>KT-23</t>
  </si>
  <si>
    <t>PM vòng tốc độ đầy tải ≥ PM_min</t>
  </si>
  <si>
    <t>Downstream #1 (gián tiếp)</t>
  </si>
  <si>
    <t>M_p kiểm chứng S ở DV-06</t>
  </si>
  <si>
    <t>KT-24</t>
  </si>
  <si>
    <t>PM vòng tốc độ không tải ≥ PM_min</t>
  </si>
  <si>
    <t>KT-25</t>
  </si>
  <si>
    <t>Phân giải encoder Δv ≤ ngưỡng cấm đảo chiều 0.002 m/s</t>
  </si>
  <si>
    <t>KT-26</t>
  </si>
  <si>
    <t>Tốc độ bò trong [0.030; 0.036] m/s</t>
  </si>
  <si>
    <t>KT-27</t>
  </si>
  <si>
    <t>M_B ≥ max(k_p·M_c; 1.2·M_hold) (giữ xe &amp; chịu mô-men thử)</t>
  </si>
  <si>
    <t>[R1] qua Baseline</t>
  </si>
  <si>
    <t>KT-28</t>
  </si>
  <si>
    <t>M_B ≤ giới hạn không trượt đầy tải</t>
  </si>
  <si>
    <t>KT-29</t>
  </si>
  <si>
    <t>M_B ≤ giới hạn không trượt không tải (chỉ khi phanh khẩn lúc đang chạy)</t>
  </si>
  <si>
    <t>DFMEA FM-07 — Không áp dụng</t>
  </si>
  <si>
    <t>KT-30</t>
  </si>
  <si>
    <t>Độ trôi danh nghĩa Δs ≤ 10 mm</t>
  </si>
  <si>
    <t>Kiểm chứng S ở DV-02</t>
  </si>
  <si>
    <t>Vận tốc định mức: |Δv/v| khi dùng i_thực ≤ 5% (hoặc biến tần bù tần số)</t>
  </si>
  <si>
    <t>KT-33</t>
  </si>
  <si>
    <t>Hộp số R87: mô-men ra đỉnh (F_c + δ·M_Σ·a_max)·D/2 ≤ M_a,max</t>
  </si>
  <si>
    <t>KT-32</t>
  </si>
  <si>
    <t>Kết quả mô phỏng DV-01..07</t>
  </si>
  <si>
    <t>DVP v1.2</t>
  </si>
  <si>
    <t>WORKFLOW §7.5</t>
  </si>
  <si>
    <t>KT-34</t>
  </si>
  <si>
    <t>Mô hình 2 khối: (m_xc + m_pend)·g·w0 khớp P-20 (sai lệch &lt; 1 N)</t>
  </si>
  <si>
    <t>Trọng lượng tải vẫn đè lên bánh</t>
  </si>
  <si>
    <t>KT-35</t>
  </si>
  <si>
    <t>Cộng hưởng xe–tải ω_r ≪ tần số cắt vòng tốc độ (ω_c/ω_r ≥ 10)</t>
  </si>
  <si>
    <t>Vòng tốc độ chỉ thấy J_rig</t>
  </si>
  <si>
    <t>KT-36</t>
  </si>
  <si>
    <t>κ_2m nằm trong [κ_đầy; κ_không] đã kiểm ở KT-23/24 ⇒ PM ≥ 34.6°</t>
  </si>
  <si>
    <t>PM của SO nhỏ nhất ở hai biên κ</t>
  </si>
  <si>
    <t>KT-37</t>
  </si>
  <si>
    <t>Giảm từ thông (lưới −10%): i_sq cần ≤ i_sq,lim</t>
  </si>
  <si>
    <t>SRS-PERM-01, IF-04</t>
  </si>
  <si>
    <t>Bảo thủ (khối cứng)</t>
  </si>
  <si>
    <t>KT-38</t>
  </si>
  <si>
    <t>Giảm từ thông (lưới −10%): dòng stator hiệu dụng ≤ 1.5·I_Hd</t>
  </si>
  <si>
    <t>DC-link: với mô hình khối cứng (mech_model = 1), chopper tác động khi dừng đầy tải (E_Rh &gt; E_C) ⇒ DV-04 quan sát được</t>
  </si>
  <si>
    <t>Phụ thuộc C_dc [C] chưa xác minh; mô hình 2 khối cho E ≈ 0–28 J nên có thể không đóng chopper</t>
  </si>
  <si>
    <t>KT-40</t>
  </si>
  <si>
    <t>Bước giải T_s ≤ 1e-4 s; Ts_I và Ts_w là bội nguyên của T_s</t>
  </si>
  <si>
    <t>DVP v1.2 §3.4</t>
  </si>
  <si>
    <t>KT-41</t>
  </si>
  <si>
    <t>Kịch bản rút gọn: T_run ≥ T_p (thấy ≥ 1 chu kỳ lắc khi chạy đều)</t>
  </si>
  <si>
    <t>SRS-PERM-03 (DV-07)</t>
  </si>
  <si>
    <t>KT-42</t>
  </si>
  <si>
    <t>Công suất định mức R_h ≥ công suất trung bình chu kỳ (W)</t>
  </si>
  <si>
    <t>KT-43</t>
  </si>
  <si>
    <t>Mô-men cản chạy đều đầy tải M_c ≤ M_N (N·m)</t>
  </si>
  <si>
    <t>Phát nhiệt khi chạy đều; bổ sung v1.4 (góp ý đồng nghiệp)</t>
  </si>
  <si>
    <t>Mã SRS-Dxx</t>
  </si>
  <si>
    <t>Ràng buộc thiết kế dẫn xuất</t>
  </si>
  <si>
    <t>Yêu cầu cha</t>
  </si>
  <si>
    <t>Bước tính sinh ra (sheet/khối)</t>
  </si>
  <si>
    <t>Phương pháp KC</t>
  </si>
  <si>
    <t>DV</t>
  </si>
  <si>
    <t>SRS-D01</t>
  </si>
  <si>
    <t>Lực kéo cực đại khi tăng tốc đầy tải; giới hạn i_sq chống trượt</t>
  </si>
  <si>
    <t>Tính chọn B, J (isqmax)</t>
  </si>
  <si>
    <t>DV-05</t>
  </si>
  <si>
    <t>SRS-D02</t>
  </si>
  <si>
    <t>Bội số mô-men yêu cầu M_max/M_N (≤ λ_K·(342/400)²)</t>
  </si>
  <si>
    <t>SRS-PERM-01, SRS-PERM-04</t>
  </si>
  <si>
    <t>Tính chọn D</t>
  </si>
  <si>
    <t>A / I</t>
  </si>
  <si>
    <t>DV-08</t>
  </si>
  <si>
    <t>Tỷ số truyền dùng cho quy đổi (i_thực; TBD → i_yc)</t>
  </si>
  <si>
    <t>Tính chọn C</t>
  </si>
  <si>
    <t>I</t>
  </si>
  <si>
    <t>DV-06</t>
  </si>
  <si>
    <t>SRS-D04a</t>
  </si>
  <si>
    <t>Công suất định mức động cơ chọn</t>
  </si>
  <si>
    <t>Catalogue + Tính chọn F</t>
  </si>
  <si>
    <t>SRS-D04b</t>
  </si>
  <si>
    <t>Dòng heavy-duty biến tần chọn</t>
  </si>
  <si>
    <t>Catalogue + Tính chọn G</t>
  </si>
  <si>
    <t>SRS-D05a</t>
  </si>
  <si>
    <t>Điện trở xả hãm R_h</t>
  </si>
  <si>
    <t>Tính chọn H</t>
  </si>
  <si>
    <t>A / S</t>
  </si>
  <si>
    <t>DV-04</t>
  </si>
  <si>
    <t>SRS-D05b</t>
  </si>
  <si>
    <t>Công suất hãm đỉnh cần hấp thụ</t>
  </si>
  <si>
    <t>SRS-D05c</t>
  </si>
  <si>
    <t>Ngưỡng mở chopper (mô hình)</t>
  </si>
  <si>
    <t>S</t>
  </si>
  <si>
    <t>SRS-D06a</t>
  </si>
  <si>
    <t>Gia tốc đặt S-curve a*</t>
  </si>
  <si>
    <t>Tính chọn E</t>
  </si>
  <si>
    <t>DV-03, DV-07</t>
  </si>
  <si>
    <t>SRS-D06b</t>
  </si>
  <si>
    <t>Độ giật đặt S-curve ρ*</t>
  </si>
  <si>
    <t>SRS-D07a</t>
  </si>
  <si>
    <t>Hệ số K_p,ω PI tốc độ (SO tại J_tune)</t>
  </si>
  <si>
    <t>SRS-PERM-02 (Downstream #1)</t>
  </si>
  <si>
    <t>Tính chọn L</t>
  </si>
  <si>
    <t>SRS-D07b</t>
  </si>
  <si>
    <t>Hằng số T_i,ω PI tốc độ</t>
  </si>
  <si>
    <t>SRS-D08</t>
  </si>
  <si>
    <t>Sai lệch xác lập e_xl (khâu I ⇒ 0) — ngưỡng</t>
  </si>
  <si>
    <t>SRS-PERM-02 (Downstream #2)</t>
  </si>
  <si>
    <t>SDD §4</t>
  </si>
  <si>
    <t>SRS-D09a</t>
  </si>
  <si>
    <t>Hệ số K_p,I PI dòng (MO)</t>
  </si>
  <si>
    <t>SRS-FUNC-01 (Downstream #4)</t>
  </si>
  <si>
    <t>Tính chọn K</t>
  </si>
  <si>
    <t>DV-01</t>
  </si>
  <si>
    <t>SRS-D09b</t>
  </si>
  <si>
    <t>Hằng số T_i,I PI dòng</t>
  </si>
  <si>
    <t>Mô-men giữ thử (phanh còn kẹp) trước khi nhả phanh (100% M_N, trong [100; 150]%)</t>
  </si>
  <si>
    <t>SRS-FUNC-02 (Downstream #5)</t>
  </si>
  <si>
    <t>SDD §5 (FSM)</t>
  </si>
  <si>
    <t>DV-02</t>
  </si>
  <si>
    <t>SRS-D11a</t>
  </si>
  <si>
    <t>Ngưỡng đóng phanh |v|</t>
  </si>
  <si>
    <t>SDD §5</t>
  </si>
  <si>
    <t>SRS-D11b</t>
  </si>
  <si>
    <t>Ngưỡng cấm đảo chiều |v|</t>
  </si>
  <si>
    <t>SRS-D12</t>
  </si>
  <si>
    <t>Tốc độ bò v_creep</t>
  </si>
  <si>
    <t>SRS-FUNC-03 (Downstream #8)</t>
  </si>
  <si>
    <t>Tính chọn N</t>
  </si>
  <si>
    <t>SRS-D13</t>
  </si>
  <si>
    <t>Mô-men phanh đặt M_B (cửa sổ [max(k_p M_c; 1.2 M_hold); M_B,max])</t>
  </si>
  <si>
    <t>Tính chọn I</t>
  </si>
  <si>
    <t>SRS-D14</t>
  </si>
  <si>
    <t>Tỷ số từ thông ψ_r*/ψ_rN tại v_max khi lưới −10% (giảm từ thông theo giới hạn điện áp)</t>
  </si>
  <si>
    <t>Tính chọn P</t>
  </si>
  <si>
    <t>SRS-D15</t>
  </si>
  <si>
    <t>Tốc độ ĐC bắt đầu giảm từ thông ω_fw (lưới danh định; mô phỏng tính trực tuyến theo U_dc đo)</t>
  </si>
  <si>
    <t>Nhóm</t>
  </si>
  <si>
    <t>Tên biến (ICD v1.2 §4.1)</t>
  </si>
  <si>
    <t>Ô nguồn</t>
  </si>
  <si>
    <t>Cơ</t>
  </si>
  <si>
    <t>M_full</t>
  </si>
  <si>
    <t>Params!C5</t>
  </si>
  <si>
    <t>Chỉ dùng cho tính lực cản F_c</t>
  </si>
  <si>
    <t>M_empty</t>
  </si>
  <si>
    <t>Params!C6</t>
  </si>
  <si>
    <t>Chỉ dùng cho tính lực cản F_c,0</t>
  </si>
  <si>
    <t>m_trolley</t>
  </si>
  <si>
    <t>Tính chọn O</t>
  </si>
  <si>
    <t>Khối lượng cứng của mô hình 2 khối</t>
  </si>
  <si>
    <t>m_pend_full</t>
  </si>
  <si>
    <t>m_pend_empty</t>
  </si>
  <si>
    <t>Params!C13</t>
  </si>
  <si>
    <t>w0</t>
  </si>
  <si>
    <t>Params!C14</t>
  </si>
  <si>
    <t>phi</t>
  </si>
  <si>
    <t>Params!C15</t>
  </si>
  <si>
    <t>eta</t>
  </si>
  <si>
    <t>Params!C16</t>
  </si>
  <si>
    <t>Params!C19</t>
  </si>
  <si>
    <t>Params!C7</t>
  </si>
  <si>
    <t>i_gear</t>
  </si>
  <si>
    <t>SEW R87</t>
  </si>
  <si>
    <t>GiaDinh_K3</t>
  </si>
  <si>
    <t>Chỉ cho tính khối cứng (Excel)</t>
  </si>
  <si>
    <t>(δ−1)·M_Σ·k²</t>
  </si>
  <si>
    <t>Quán tính cứng trên trục ĐC</t>
  </si>
  <si>
    <t>0 = 2 khối lượng; 1 = khối cứng (DV-04 bảo thủ)</t>
  </si>
  <si>
    <t>Tính chọn J</t>
  </si>
  <si>
    <t>Lls</t>
  </si>
  <si>
    <t>Llr</t>
  </si>
  <si>
    <t>J_Bmot</t>
  </si>
  <si>
    <t>Catalogue</t>
  </si>
  <si>
    <t>Rotor kèm phanh</t>
  </si>
  <si>
    <t>psi_rN</t>
  </si>
  <si>
    <t>f_N</t>
  </si>
  <si>
    <t>U_grid</t>
  </si>
  <si>
    <t>Params!C20</t>
  </si>
  <si>
    <t>Chạy thêm U_grid·(1 ± dU_grid)</t>
  </si>
  <si>
    <t>dU_grid</t>
  </si>
  <si>
    <t>Chỉ để tính Ts_I (mô hình trung bình)</t>
  </si>
  <si>
    <t>|u_s| ≤ k_u·U_dc/√3 (biên độ pha)</t>
  </si>
  <si>
    <t>Chưa xác minh</t>
  </si>
  <si>
    <t>Tính chọn Q</t>
  </si>
  <si>
    <t>Udc_chop_on</t>
  </si>
  <si>
    <t>Udc_chop_off</t>
  </si>
  <si>
    <t>Udc_max</t>
  </si>
  <si>
    <t>Udc_trip</t>
  </si>
  <si>
    <t>Rh</t>
  </si>
  <si>
    <t>Từ thông</t>
  </si>
  <si>
    <t>w_fw</t>
  </si>
  <si>
    <t>Lưới danh định (tham khảo; mô phỏng tính trực tuyến)</t>
  </si>
  <si>
    <t>w_fw_min</t>
  </si>
  <si>
    <t>Lưới −10%</t>
  </si>
  <si>
    <t>S-curve</t>
  </si>
  <si>
    <t>Params!C10</t>
  </si>
  <si>
    <t>PI</t>
  </si>
  <si>
    <t>Kp_i</t>
  </si>
  <si>
    <t>Ti_i</t>
  </si>
  <si>
    <t>Kp_w</t>
  </si>
  <si>
    <t>Ti_w</t>
  </si>
  <si>
    <t>isq_lim</t>
  </si>
  <si>
    <t>FSM</t>
  </si>
  <si>
    <t>Đo / mô phỏng</t>
  </si>
  <si>
    <t>Ts_I</t>
  </si>
  <si>
    <t>1/f_sw</t>
  </si>
  <si>
    <t>Lọc đo tốc độ</t>
  </si>
  <si>
    <t>0 = lý tưởng + lọc</t>
  </si>
  <si>
    <t>Kịch bản</t>
  </si>
  <si>
    <t>Tính chọn R</t>
  </si>
  <si>
    <t>TS-01: dỡ tải</t>
  </si>
  <si>
    <t>TS-01</t>
  </si>
  <si>
    <t>TS-02: nhấn REV khi đang chạy</t>
  </si>
  <si>
    <t>TS-02</t>
  </si>
  <si>
    <t>WC-0 Danh định</t>
  </si>
  <si>
    <t>WC-1 Lưới −10%</t>
  </si>
  <si>
    <t>WC-2 w0 = 0.018</t>
  </si>
  <si>
    <t>WC-3 m_xc +20%</t>
  </si>
  <si>
    <t>WC-4 η = 0.85</t>
  </si>
  <si>
    <t>WC-5 Tổ hợp kéo</t>
  </si>
  <si>
    <t>WC-6 φ = 0.15</t>
  </si>
  <si>
    <t>WC-7 Tổ hợp hãm</t>
  </si>
  <si>
    <t>m_xc (kg)</t>
  </si>
  <si>
    <t>Biến thiên P-03 [C]</t>
  </si>
  <si>
    <t>w_0 (-)</t>
  </si>
  <si>
    <t>Dải SOW 0.012–0.018</t>
  </si>
  <si>
    <t>η (-)</t>
  </si>
  <si>
    <t>Biến thiên P-15 [C]</t>
  </si>
  <si>
    <t>ΔU lưới (-)</t>
  </si>
  <si>
    <t>P-19: ±10%</t>
  </si>
  <si>
    <t>φ (-)</t>
  </si>
  <si>
    <t>Độ nhạy P-14 [C]</t>
  </si>
  <si>
    <t>M_Σ (kg)</t>
  </si>
  <si>
    <t>Q + m_nh + m_xc</t>
  </si>
  <si>
    <t>F_c (N)</t>
  </si>
  <si>
    <t>M_max (N·m) tại a_max</t>
  </si>
  <si>
    <t>Như 'Tính chọn' D</t>
  </si>
  <si>
    <t>λ khả dụng</t>
  </si>
  <si>
    <t>λ_K·(U/U_N)², U_N = 400 V</t>
  </si>
  <si>
    <t>Biên quá tải</t>
  </si>
  <si>
    <t>Phải ≥ 1</t>
  </si>
  <si>
    <t>k_bám tại a_max</t>
  </si>
  <si>
    <t>Tham khảo</t>
  </si>
  <si>
    <t>k_bám tại a* (quỹ đạo thật)</t>
  </si>
  <si>
    <t>Phải ≥ 1.20</t>
  </si>
  <si>
    <t>P_dc,hãm (W)</t>
  </si>
  <si>
    <t>Phải ≤ P_BRmax</t>
  </si>
  <si>
    <t>U_dc0 không tải (V)</t>
  </si>
  <si>
    <t>Phải &lt; U_chop − 20 V</t>
  </si>
  <si>
    <t>k_dt ước lượng</t>
  </si>
  <si>
    <t>Gần đúng: M_đt ∝ F_c; dòng ∝ 1/U khi gần tốc độ định mức</t>
  </si>
  <si>
    <t>Kết luận</t>
  </si>
  <si>
    <t>Tổng hợp</t>
  </si>
  <si>
    <t>QUỸ ĐẠO S-CURVE VÀ BIỂU ĐỒ PHỤ TẢI — MỘT HÀNH TRÌNH (đoạn chạy đều rút gọn)</t>
  </si>
  <si>
    <t>Mô hình khối cứng như khối D/F (M_Σ gắn cứng): mô phỏng 2 khối lượng (khối O) cho mô-men đỉnh nhỏ hơn ≈ 0.48 lần — không phải lỗi. Góc I/III chia η; góc II/IV nhân η nên M nhỏ nhất khác D63 (D63 dùng quy ước kéo cho tính nhiệt).</t>
  </si>
  <si>
    <t>T_đều hiển thị</t>
  </si>
  <si>
    <t>t₁ = T_j</t>
  </si>
  <si>
    <t>v lớn nhất (m/s)</t>
  </si>
  <si>
    <t>Bước thời gian</t>
  </si>
  <si>
    <t>t₂ = T_j + T_a</t>
  </si>
  <si>
    <t>|a| lớn nhất (m/s²)</t>
  </si>
  <si>
    <t>t₃ = t_acc</t>
  </si>
  <si>
    <t>|ρ| lớn nhất (m/s³)</t>
  </si>
  <si>
    <t>t₄ = t₃ + T_đều</t>
  </si>
  <si>
    <t>M lớn nhất đầy tải (N·m)</t>
  </si>
  <si>
    <t>t₅ = t₄ + T_j</t>
  </si>
  <si>
    <t>M nhỏ nhất đầy tải (N·m)</t>
  </si>
  <si>
    <t>t₆ = t₅ + T_a</t>
  </si>
  <si>
    <t>Quãng đường (m)</t>
  </si>
  <si>
    <t>t₇ = t₄ + t_acc</t>
  </si>
  <si>
    <t>t (s)</t>
  </si>
  <si>
    <t>ρ (m/s³)</t>
  </si>
  <si>
    <t>a (m/s²)</t>
  </si>
  <si>
    <t>v (m/s)</t>
  </si>
  <si>
    <t>s (m)</t>
  </si>
  <si>
    <t>M đầy tải (N·m)</t>
  </si>
  <si>
    <t>M không tải (N·m)</t>
  </si>
  <si>
    <t>P đầy tải (W)</t>
  </si>
  <si>
    <t>Tong_hop — trang tổng hợp (v1.4): đề bài, cấu hình thiết bị chốt, kết quả chính kèm mã KT, đếm kết quả Kiểm tra/WCCA. Mọi ô số liệu và ngưỡng là công thức; tên thiết bị, đơn vị, mã KT là chữ.</t>
  </si>
  <si>
    <t>Mọi ô số liệu và ngưỡng là công thức trỏ về Params / GiaDinh_K3 / Catalogue / Tính chọn / Kiểm tra / WCCA (chữ xanh lá); tên thiết bị, đơn vị, mã KT là chữ. Mã KT theo sheet Kiểm tra (không đổi so với v1.3).</t>
  </si>
  <si>
    <t>S. Bổ sung v1.4 (27/10/2026) — kiểm tra bổ sung &amp; công suất hãm kể quán tính quay (tham khảo) — WORKFLOW §4.2-B4 (δ, J_B) + §4.2-C4</t>
  </si>
  <si>
    <t>WORKFLOW §4.2-B4 (δ, J_B) + §4.2-C4</t>
  </si>
  <si>
    <t>[W-09]; bổ sung v1.4 (góp ý đồng nghiệp). Xung cho phép [W-09]: 2.6 kW trong 10 s mỗi 120 s ≈ 26 kJ ≫ E_Rh ≈ 59 J (Tính chọn D82)</t>
  </si>
  <si>
    <t>SRS-D05d</t>
  </si>
  <si>
    <t>Công suất định mức điện trở hãm P_Rh (40 °C) ≥ công suất trung bình chu kỳ; năng lượng xung cho phép [W-09] ≫ E_Rh mỗi lần dừng</t>
  </si>
  <si>
    <t>GiaDinh_K3 D60; Tính chọn H (D82, D83); KT-42</t>
  </si>
  <si>
    <t>I / A</t>
  </si>
  <si>
    <t>% Dòng lệnh MATLAB (v1.4) — chép G2:G76 vào init_params.m</t>
  </si>
  <si>
    <t>s — tham số hiển thị [C]</t>
  </si>
  <si>
    <t>(E_đ − F_c·s_acc)·η·η_đc·η_inv — gần đúng (Checker K6-2, Người dùng giữ 27/10/2026): phần ½J_B·ω_m² thực ra không qua η hộp số; tách riêng thì E_Rh ≈ 61.8 J (+4%). Thiên về an toàn cho KT-39 (E_Rh &gt; E_C); KT-42 biên ≈ 1000 lần nên không ảnh hưởng</t>
  </si>
  <si>
    <t>Phiên bản Excel: v1.4 — Ngày: 27/10/2026 — Người lập (Writer): AI; Người duyệt: Nhóm 8.5-EMG (Checker lượt 1 và lượt 2 ngày 27/10/2026: không có XUNG ĐỘT/CẢNH BÁO; sau lượt 2 sửa các ghi nhận N-1, N-5 và ghi chú K6-2 — chỉ chữ/chuỗi hiển thị, không đổi số)</t>
  </si>
  <si>
    <t>Lịch sử: v1.4 (27/10/2026) tiếp nhận góp ý đồng nghiệp PE-HW (file v3, 27/10/2026) trên nền v1.3: E_đ tính phần rotor theo ω_m tại v_max thay vì ω_N (Tính chọn D81; E_Rh 59.9 → 59.4 J); KT-42 (P_Rh ≥ P_Rh,tb), KT-43 (M_c ≤ M_N); khối S (P_dc,hãm kể δ và J_B — chỉ tham khảo, KT-15 giữ công thức WORKFLOW §4.2-C4); GiaDinh_K3 hàng 59–60 (P_Rh = 200 W [W-09]); WCCA hàng 15 bọc MAX(0,·); sheet Tong_hop và Quy_dao mới; cột G sheet Mo_phong sinh dòng lệnh MATLAB theo tên biến ICD. Không đổi tên biến ICD, không đổi số hiệu KT-01..KT-41, không đổi số liệu nào khác của v1.3. Thay đổi phụ không đổi số: Tính chọn F81 thêm ghi chú; Kiểm tra E41 (KT-40) hằng 1E-9 được Excel ghi lại thành 0.000000001; Info chèn 2 dòng A22–A23. Sửa sau Checker lượt 1 (27/10/2026): Dẫn xuất hàng 24 SRS-D05d (P_Rh); Tong_hop ghép chuỗi ngưỡng từ Params/Kiểm tra (K6-1); nguồn công thức khối S (K8-2); ghi chú năng lượng xung KT-42 (K8-4); Mo_phong G1 bắt đầu bằng % (K9-1); tiêu đề 2 biểu đồ Quy_dao (biểu đồ 1 ghi khối cứng); Quy_dao C4/C5 ghi tham số hiển thị [C] (K6-3); Info A3, A22 và Tong_hop A2 sửa câu mô tả (K6-1, K10-1). Sửa sau Checker lượt 2 (27/10/2026): Tong_hop D31 lấy ngưỡng Δv từ Kiểm tra D32 và D28 hiển thị φ = 0.20 (N-1); Info A3/A4 ghi đủ các ô chữ đã sửa (N-5); Tính chọn F82 ghi chú công thức E_Rh là gần đúng (K6-2, Người dùng giữ 59.4 J). v1.3 (26/10/2026) nhóm C — bộ thông số mô phỏng: mô hình 2 khối lượng (khối O), giới hạn điện áp &amp; giảm từ thông (khối P), biến tần trung bình &amp; DC-link (khối Q), kịch bản rút gọn TS-01/TS-02 (khối R), giả định [C] GiaDinh_K3 hàng 43–58, KT-34..KT-41, SRS-D14..D15, sheet Mo_phong; không đổi số nào của v1.2. v1.2 (25/10/2026) nhập i_thực = 155.34 (SEW R87), M_a,max, xác minh BE1 7 N·m, R_h Danotherm CBH 360, ACS380 tr.12/24 đối chiếu ảnh trang; v1.0 (24/10/2026) bản đầu; v1.1 (24/10/2026) xử lý Checker K6-2 (λ quy về U_N = 400 V), K6-3 (quán tính khi phanh), K6-4 (sheet WCCA), K7-1 (thử mô-men giữ ⇒ M_B ≥ 1.2·M_hold, M_B = 7 N·m), K8-1, K8-3.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</si>
</sst>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E+00"/>
    <numFmt numFmtId="167" formatCode="#,##0.###"/>
    <numFmt numFmtId="168" formatCode="#,##0.000"/>
    <numFmt numFmtId="169" formatCode="0.0"/>
  </numFmts>
  <fonts count="8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8000"/>
      <name val="Arial"/>
    </font>
    <font>
      <sz val="11"/>
      <color theme="1"/>
      <name val="Arial"/>
    </font>
    <font>
      <b/>
      <sz val="13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4" fillId="0" borderId="1" xfId="0" applyFont="1" applyBorder="1"/>
    <xf numFmtId="0" fontId="1" fillId="3" borderId="0" xfId="0" applyFont="1" applyFill="1"/>
    <xf numFmtId="0" fontId="6" fillId="3" borderId="0" xfId="0" applyFont="1" applyFill="1"/>
    <xf numFmtId="0" fontId="2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/>
    <xf numFmtId="164" fontId="5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3" fillId="2" borderId="1" xfId="0" applyFont="1" applyFill="1" applyBorder="1"/>
    <xf numFmtId="165" fontId="5" fillId="0" borderId="1" xfId="0" applyNumberFormat="1" applyFont="1" applyBorder="1"/>
    <xf numFmtId="0" fontId="1" fillId="0" borderId="1" xfId="0" applyFont="1" applyBorder="1"/>
    <xf numFmtId="11" fontId="4" fillId="0" borderId="1" xfId="0" applyNumberFormat="1" applyFont="1" applyBorder="1" applyAlignment="1">
      <alignment vertical="top" wrapText="1"/>
    </xf>
    <xf numFmtId="11" fontId="5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3" borderId="0" xfId="0" applyFill="1"/>
    <xf numFmtId="0" fontId="3" fillId="2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7" fontId="5" fillId="0" borderId="2" xfId="0" applyNumberFormat="1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168" fontId="5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164" fontId="5" fillId="0" borderId="2" xfId="0" applyNumberFormat="1" applyFont="1" applyBorder="1" applyAlignment="1">
      <alignment vertical="top" wrapText="1"/>
    </xf>
    <xf numFmtId="0" fontId="2" fillId="0" borderId="2" xfId="0" applyFont="1" applyBorder="1"/>
    <xf numFmtId="2" fontId="4" fillId="0" borderId="2" xfId="0" applyNumberFormat="1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165" fontId="4" fillId="0" borderId="2" xfId="0" applyNumberFormat="1" applyFont="1" applyBorder="1" applyAlignment="1">
      <alignment vertical="top" wrapText="1"/>
    </xf>
    <xf numFmtId="2" fontId="2" fillId="0" borderId="2" xfId="0" applyNumberFormat="1" applyFont="1" applyBorder="1"/>
    <xf numFmtId="165" fontId="5" fillId="0" borderId="2" xfId="0" applyNumberFormat="1" applyFont="1" applyBorder="1"/>
    <xf numFmtId="164" fontId="5" fillId="0" borderId="2" xfId="0" applyNumberFormat="1" applyFont="1" applyBorder="1"/>
    <xf numFmtId="164" fontId="4" fillId="0" borderId="2" xfId="0" applyNumberFormat="1" applyFont="1" applyBorder="1"/>
    <xf numFmtId="169" fontId="5" fillId="0" borderId="2" xfId="0" applyNumberFormat="1" applyFont="1" applyBorder="1"/>
    <xf numFmtId="164" fontId="2" fillId="0" borderId="2" xfId="0" applyNumberFormat="1" applyFont="1" applyBorder="1"/>
    <xf numFmtId="165" fontId="5" fillId="0" borderId="2" xfId="0" applyNumberFormat="1" applyFont="1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vi-VN"/>
              <a:t>Biểu đồ phụ tải trên trục động cơ (mô hình khối cứng)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Quy_dao!$F$13</c:f>
              <c:strCache>
                <c:ptCount val="1"/>
                <c:pt idx="0">
                  <c:v>M đầy tải (N·m)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Quy_dao!$A$14:$A$254</c:f>
              <c:numCache>
                <c:formatCode>0.00</c:formatCode>
                <c:ptCount val="2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</c:numCache>
            </c:numRef>
          </c:xVal>
          <c:yVal>
            <c:numRef>
              <c:f>Quy_dao!$F$14:$F$254</c:f>
              <c:numCache>
                <c:formatCode>0.000</c:formatCode>
                <c:ptCount val="241"/>
                <c:pt idx="0">
                  <c:v>1.8740295480880651</c:v>
                </c:pt>
                <c:pt idx="1">
                  <c:v>2.1962611750068755</c:v>
                </c:pt>
                <c:pt idx="2">
                  <c:v>2.5184928019256856</c:v>
                </c:pt>
                <c:pt idx="3">
                  <c:v>2.8407244288444962</c:v>
                </c:pt>
                <c:pt idx="4">
                  <c:v>3.1629560557633059</c:v>
                </c:pt>
                <c:pt idx="5">
                  <c:v>3.4851876826821164</c:v>
                </c:pt>
                <c:pt idx="6">
                  <c:v>3.807419309600927</c:v>
                </c:pt>
                <c:pt idx="7">
                  <c:v>4.129650936519738</c:v>
                </c:pt>
                <c:pt idx="8">
                  <c:v>4.4518825634385477</c:v>
                </c:pt>
                <c:pt idx="9">
                  <c:v>4.7741141903573574</c:v>
                </c:pt>
                <c:pt idx="10">
                  <c:v>5.096345817276168</c:v>
                </c:pt>
                <c:pt idx="11">
                  <c:v>5.4185774441949786</c:v>
                </c:pt>
                <c:pt idx="12">
                  <c:v>5.7408090711137891</c:v>
                </c:pt>
                <c:pt idx="13">
                  <c:v>6.0630406980325997</c:v>
                </c:pt>
                <c:pt idx="14">
                  <c:v>6.3852723249514103</c:v>
                </c:pt>
                <c:pt idx="15">
                  <c:v>6.70750395187022</c:v>
                </c:pt>
                <c:pt idx="16">
                  <c:v>7.0297355787890305</c:v>
                </c:pt>
                <c:pt idx="17">
                  <c:v>7.3519672057078411</c:v>
                </c:pt>
                <c:pt idx="18">
                  <c:v>7.6741988326266508</c:v>
                </c:pt>
                <c:pt idx="19">
                  <c:v>7.9964304595454614</c:v>
                </c:pt>
                <c:pt idx="20">
                  <c:v>8.318662086464272</c:v>
                </c:pt>
                <c:pt idx="21">
                  <c:v>8.6408937133830825</c:v>
                </c:pt>
                <c:pt idx="22">
                  <c:v>8.9631253403018931</c:v>
                </c:pt>
                <c:pt idx="23">
                  <c:v>9.2853569672207037</c:v>
                </c:pt>
                <c:pt idx="24">
                  <c:v>9.6075885941395143</c:v>
                </c:pt>
                <c:pt idx="25">
                  <c:v>9.9298202210583248</c:v>
                </c:pt>
                <c:pt idx="26">
                  <c:v>9.9298202210583248</c:v>
                </c:pt>
                <c:pt idx="27">
                  <c:v>9.8224096787520523</c:v>
                </c:pt>
                <c:pt idx="28">
                  <c:v>9.5001780518332417</c:v>
                </c:pt>
                <c:pt idx="29">
                  <c:v>9.1779464249144329</c:v>
                </c:pt>
                <c:pt idx="30">
                  <c:v>8.8557147979956223</c:v>
                </c:pt>
                <c:pt idx="31">
                  <c:v>8.5334831710768118</c:v>
                </c:pt>
                <c:pt idx="32">
                  <c:v>8.2112515441580012</c:v>
                </c:pt>
                <c:pt idx="33">
                  <c:v>7.8890199172391906</c:v>
                </c:pt>
                <c:pt idx="34">
                  <c:v>7.56678829032038</c:v>
                </c:pt>
                <c:pt idx="35">
                  <c:v>7.2445566634015695</c:v>
                </c:pt>
                <c:pt idx="36">
                  <c:v>6.9223250364827607</c:v>
                </c:pt>
                <c:pt idx="37">
                  <c:v>6.6000934095639501</c:v>
                </c:pt>
                <c:pt idx="38">
                  <c:v>6.2778617826451395</c:v>
                </c:pt>
                <c:pt idx="39">
                  <c:v>5.9556301557263289</c:v>
                </c:pt>
                <c:pt idx="40">
                  <c:v>5.6333985288075183</c:v>
                </c:pt>
                <c:pt idx="41">
                  <c:v>5.3111669018887078</c:v>
                </c:pt>
                <c:pt idx="42">
                  <c:v>4.9889352749698999</c:v>
                </c:pt>
                <c:pt idx="43">
                  <c:v>4.6667036480510893</c:v>
                </c:pt>
                <c:pt idx="44">
                  <c:v>4.3444720211322787</c:v>
                </c:pt>
                <c:pt idx="45">
                  <c:v>4.0222403942134672</c:v>
                </c:pt>
                <c:pt idx="46">
                  <c:v>3.7000087672946567</c:v>
                </c:pt>
                <c:pt idx="47">
                  <c:v>3.3777771403758461</c:v>
                </c:pt>
                <c:pt idx="48">
                  <c:v>3.0555455134570364</c:v>
                </c:pt>
                <c:pt idx="49">
                  <c:v>2.7333138865382258</c:v>
                </c:pt>
                <c:pt idx="50">
                  <c:v>2.4110822596194152</c:v>
                </c:pt>
                <c:pt idx="51">
                  <c:v>2.0888506327006042</c:v>
                </c:pt>
                <c:pt idx="52">
                  <c:v>1.8740295480880651</c:v>
                </c:pt>
                <c:pt idx="53">
                  <c:v>1.8740295480880651</c:v>
                </c:pt>
                <c:pt idx="54">
                  <c:v>1.8740295480880651</c:v>
                </c:pt>
                <c:pt idx="55">
                  <c:v>1.8740295480880651</c:v>
                </c:pt>
                <c:pt idx="56">
                  <c:v>1.8740295480880651</c:v>
                </c:pt>
                <c:pt idx="57">
                  <c:v>1.8740295480880651</c:v>
                </c:pt>
                <c:pt idx="58">
                  <c:v>1.8740295480880651</c:v>
                </c:pt>
                <c:pt idx="59">
                  <c:v>1.8740295480880651</c:v>
                </c:pt>
                <c:pt idx="60">
                  <c:v>1.8740295480880651</c:v>
                </c:pt>
                <c:pt idx="61">
                  <c:v>1.8740295480880651</c:v>
                </c:pt>
                <c:pt idx="62">
                  <c:v>1.8740295480880651</c:v>
                </c:pt>
                <c:pt idx="63">
                  <c:v>1.8740295480880651</c:v>
                </c:pt>
                <c:pt idx="64">
                  <c:v>1.8740295480880651</c:v>
                </c:pt>
                <c:pt idx="65">
                  <c:v>1.8740295480880651</c:v>
                </c:pt>
                <c:pt idx="66">
                  <c:v>1.8740295480880651</c:v>
                </c:pt>
                <c:pt idx="67">
                  <c:v>1.8740295480880651</c:v>
                </c:pt>
                <c:pt idx="68">
                  <c:v>1.8740295480880651</c:v>
                </c:pt>
                <c:pt idx="69">
                  <c:v>1.8740295480880651</c:v>
                </c:pt>
                <c:pt idx="70">
                  <c:v>1.8740295480880651</c:v>
                </c:pt>
                <c:pt idx="71">
                  <c:v>1.8740295480880651</c:v>
                </c:pt>
                <c:pt idx="72">
                  <c:v>1.8740295480880651</c:v>
                </c:pt>
                <c:pt idx="73">
                  <c:v>1.8740295480880651</c:v>
                </c:pt>
                <c:pt idx="74">
                  <c:v>1.8740295480880651</c:v>
                </c:pt>
                <c:pt idx="75">
                  <c:v>1.8740295480880651</c:v>
                </c:pt>
                <c:pt idx="76">
                  <c:v>1.8740295480880651</c:v>
                </c:pt>
                <c:pt idx="77">
                  <c:v>1.8740295480880651</c:v>
                </c:pt>
                <c:pt idx="78">
                  <c:v>1.8740295480880651</c:v>
                </c:pt>
                <c:pt idx="79">
                  <c:v>1.8740295480880651</c:v>
                </c:pt>
                <c:pt idx="80">
                  <c:v>1.8740295480880651</c:v>
                </c:pt>
                <c:pt idx="81">
                  <c:v>1.8740295480880651</c:v>
                </c:pt>
                <c:pt idx="82">
                  <c:v>1.8740295480880651</c:v>
                </c:pt>
                <c:pt idx="83">
                  <c:v>1.8740295480880651</c:v>
                </c:pt>
                <c:pt idx="84">
                  <c:v>1.8740295480880651</c:v>
                </c:pt>
                <c:pt idx="85">
                  <c:v>1.8740295480880651</c:v>
                </c:pt>
                <c:pt idx="86">
                  <c:v>1.8740295480880651</c:v>
                </c:pt>
                <c:pt idx="87">
                  <c:v>1.8740295480880651</c:v>
                </c:pt>
                <c:pt idx="88">
                  <c:v>1.8740295480880651</c:v>
                </c:pt>
                <c:pt idx="89">
                  <c:v>1.8740295480880651</c:v>
                </c:pt>
                <c:pt idx="90">
                  <c:v>1.8740295480880651</c:v>
                </c:pt>
                <c:pt idx="91">
                  <c:v>1.8740295480880651</c:v>
                </c:pt>
                <c:pt idx="92">
                  <c:v>1.8740295480880651</c:v>
                </c:pt>
                <c:pt idx="93">
                  <c:v>1.8740295480880651</c:v>
                </c:pt>
                <c:pt idx="94">
                  <c:v>1.8740295480880651</c:v>
                </c:pt>
                <c:pt idx="95">
                  <c:v>1.8740295480880651</c:v>
                </c:pt>
                <c:pt idx="96">
                  <c:v>1.8740295480880651</c:v>
                </c:pt>
                <c:pt idx="97">
                  <c:v>1.8740295480880651</c:v>
                </c:pt>
                <c:pt idx="98">
                  <c:v>1.8740295480880651</c:v>
                </c:pt>
                <c:pt idx="99">
                  <c:v>1.8740295480880651</c:v>
                </c:pt>
                <c:pt idx="100">
                  <c:v>1.8740295480880651</c:v>
                </c:pt>
                <c:pt idx="101">
                  <c:v>1.8740295480880651</c:v>
                </c:pt>
                <c:pt idx="102">
                  <c:v>1.8740295480880651</c:v>
                </c:pt>
                <c:pt idx="103">
                  <c:v>1.8740295480880651</c:v>
                </c:pt>
                <c:pt idx="104">
                  <c:v>1.8740295480880651</c:v>
                </c:pt>
                <c:pt idx="105">
                  <c:v>1.8740295480880651</c:v>
                </c:pt>
                <c:pt idx="106">
                  <c:v>1.8740295480880651</c:v>
                </c:pt>
                <c:pt idx="107">
                  <c:v>1.8740295480880651</c:v>
                </c:pt>
                <c:pt idx="108">
                  <c:v>1.8740295480880651</c:v>
                </c:pt>
                <c:pt idx="109">
                  <c:v>1.8740295480880651</c:v>
                </c:pt>
                <c:pt idx="110">
                  <c:v>1.8740295480880651</c:v>
                </c:pt>
                <c:pt idx="111">
                  <c:v>1.8740295480880651</c:v>
                </c:pt>
                <c:pt idx="112">
                  <c:v>1.8740295480880651</c:v>
                </c:pt>
                <c:pt idx="113">
                  <c:v>1.8740295480880651</c:v>
                </c:pt>
                <c:pt idx="114">
                  <c:v>1.8740295480880651</c:v>
                </c:pt>
                <c:pt idx="115">
                  <c:v>1.8740295480880651</c:v>
                </c:pt>
                <c:pt idx="116">
                  <c:v>1.8740295480880651</c:v>
                </c:pt>
                <c:pt idx="117">
                  <c:v>1.8740295480880651</c:v>
                </c:pt>
                <c:pt idx="118">
                  <c:v>1.8740295480880651</c:v>
                </c:pt>
                <c:pt idx="119">
                  <c:v>1.8740295480880651</c:v>
                </c:pt>
                <c:pt idx="120">
                  <c:v>1.8740295480880651</c:v>
                </c:pt>
                <c:pt idx="121">
                  <c:v>1.8740295480880651</c:v>
                </c:pt>
                <c:pt idx="122">
                  <c:v>1.8740295480880651</c:v>
                </c:pt>
                <c:pt idx="123">
                  <c:v>1.8740295480880651</c:v>
                </c:pt>
                <c:pt idx="124">
                  <c:v>1.8740295480880651</c:v>
                </c:pt>
                <c:pt idx="125">
                  <c:v>1.8740295480880651</c:v>
                </c:pt>
                <c:pt idx="126">
                  <c:v>1.8740295480880651</c:v>
                </c:pt>
                <c:pt idx="127">
                  <c:v>1.8740295480880651</c:v>
                </c:pt>
                <c:pt idx="128">
                  <c:v>1.8740295480880651</c:v>
                </c:pt>
                <c:pt idx="129">
                  <c:v>1.8740295480880651</c:v>
                </c:pt>
                <c:pt idx="130">
                  <c:v>1.8740295480880651</c:v>
                </c:pt>
                <c:pt idx="131">
                  <c:v>1.8740295480880651</c:v>
                </c:pt>
                <c:pt idx="132">
                  <c:v>1.8740295480880651</c:v>
                </c:pt>
                <c:pt idx="133">
                  <c:v>1.8740295480880651</c:v>
                </c:pt>
                <c:pt idx="134">
                  <c:v>1.8740295480880651</c:v>
                </c:pt>
                <c:pt idx="135">
                  <c:v>1.8740295480880651</c:v>
                </c:pt>
                <c:pt idx="136">
                  <c:v>1.8740295480880651</c:v>
                </c:pt>
                <c:pt idx="137">
                  <c:v>1.8740295480880651</c:v>
                </c:pt>
                <c:pt idx="138">
                  <c:v>1.8740295480880651</c:v>
                </c:pt>
                <c:pt idx="139">
                  <c:v>1.8740295480880651</c:v>
                </c:pt>
                <c:pt idx="140">
                  <c:v>1.8740295480880651</c:v>
                </c:pt>
                <c:pt idx="141">
                  <c:v>1.8740295480880651</c:v>
                </c:pt>
                <c:pt idx="142">
                  <c:v>1.8740295480880651</c:v>
                </c:pt>
                <c:pt idx="143">
                  <c:v>1.8740295480880651</c:v>
                </c:pt>
                <c:pt idx="144">
                  <c:v>1.8740295480880651</c:v>
                </c:pt>
                <c:pt idx="145">
                  <c:v>1.8740295480880651</c:v>
                </c:pt>
                <c:pt idx="146">
                  <c:v>1.8740295480880651</c:v>
                </c:pt>
                <c:pt idx="147">
                  <c:v>1.8740295480880651</c:v>
                </c:pt>
                <c:pt idx="148">
                  <c:v>1.8740295480880651</c:v>
                </c:pt>
                <c:pt idx="149">
                  <c:v>1.8740295480880651</c:v>
                </c:pt>
                <c:pt idx="150">
                  <c:v>1.8740295480880651</c:v>
                </c:pt>
                <c:pt idx="151">
                  <c:v>1.8740295480880651</c:v>
                </c:pt>
                <c:pt idx="152">
                  <c:v>1.7666190057817923</c:v>
                </c:pt>
                <c:pt idx="153">
                  <c:v>1.4443873788629815</c:v>
                </c:pt>
                <c:pt idx="154">
                  <c:v>1.1221557519441712</c:v>
                </c:pt>
                <c:pt idx="155">
                  <c:v>0.79992412502536059</c:v>
                </c:pt>
                <c:pt idx="156">
                  <c:v>0.47769249810654985</c:v>
                </c:pt>
                <c:pt idx="157">
                  <c:v>0.15546087118773938</c:v>
                </c:pt>
                <c:pt idx="158">
                  <c:v>-0.1667707557310712</c:v>
                </c:pt>
                <c:pt idx="159">
                  <c:v>-0.4777505640584046</c:v>
                </c:pt>
                <c:pt idx="160">
                  <c:v>-0.74989345015064113</c:v>
                </c:pt>
                <c:pt idx="161">
                  <c:v>-1.0220363362428777</c:v>
                </c:pt>
                <c:pt idx="162">
                  <c:v>-1.2941792223351141</c:v>
                </c:pt>
                <c:pt idx="163">
                  <c:v>-1.5663221084273506</c:v>
                </c:pt>
                <c:pt idx="164">
                  <c:v>-1.8384649945195877</c:v>
                </c:pt>
                <c:pt idx="165">
                  <c:v>-2.1106078806118242</c:v>
                </c:pt>
                <c:pt idx="166">
                  <c:v>-2.3827507667040608</c:v>
                </c:pt>
                <c:pt idx="167">
                  <c:v>-2.6548936527962916</c:v>
                </c:pt>
                <c:pt idx="168">
                  <c:v>-2.9270365388885278</c:v>
                </c:pt>
                <c:pt idx="169">
                  <c:v>-3.1991794249807644</c:v>
                </c:pt>
                <c:pt idx="170">
                  <c:v>-3.4713223110730009</c:v>
                </c:pt>
                <c:pt idx="171">
                  <c:v>-3.7434651971652375</c:v>
                </c:pt>
                <c:pt idx="172">
                  <c:v>-4.0156080832574741</c:v>
                </c:pt>
                <c:pt idx="173">
                  <c:v>-4.2877509693497107</c:v>
                </c:pt>
                <c:pt idx="174">
                  <c:v>-4.5598938554419473</c:v>
                </c:pt>
                <c:pt idx="175">
                  <c:v>-4.8320367415341838</c:v>
                </c:pt>
                <c:pt idx="176">
                  <c:v>-5.1041796276264204</c:v>
                </c:pt>
                <c:pt idx="177">
                  <c:v>-5.2856082183545769</c:v>
                </c:pt>
                <c:pt idx="178">
                  <c:v>-5.2856082183545769</c:v>
                </c:pt>
                <c:pt idx="179">
                  <c:v>-5.1041796276264151</c:v>
                </c:pt>
                <c:pt idx="180">
                  <c:v>-4.8320367415341785</c:v>
                </c:pt>
                <c:pt idx="181">
                  <c:v>-4.5598938554419419</c:v>
                </c:pt>
                <c:pt idx="182">
                  <c:v>-4.2877509693497053</c:v>
                </c:pt>
                <c:pt idx="183">
                  <c:v>-4.0156080832574688</c:v>
                </c:pt>
                <c:pt idx="184">
                  <c:v>-3.7434651971652322</c:v>
                </c:pt>
                <c:pt idx="185">
                  <c:v>-3.4713223110729956</c:v>
                </c:pt>
                <c:pt idx="186">
                  <c:v>-3.199179424980759</c:v>
                </c:pt>
                <c:pt idx="187">
                  <c:v>-2.927036538888522</c:v>
                </c:pt>
                <c:pt idx="188">
                  <c:v>-2.6548936527962854</c:v>
                </c:pt>
                <c:pt idx="189">
                  <c:v>-2.3827507667040484</c:v>
                </c:pt>
                <c:pt idx="190">
                  <c:v>-2.1106078806118123</c:v>
                </c:pt>
                <c:pt idx="191">
                  <c:v>-1.8384649945195757</c:v>
                </c:pt>
                <c:pt idx="192">
                  <c:v>-1.5663221084273449</c:v>
                </c:pt>
                <c:pt idx="193">
                  <c:v>-1.2941792223351078</c:v>
                </c:pt>
                <c:pt idx="194">
                  <c:v>-1.0220363362428715</c:v>
                </c:pt>
                <c:pt idx="195">
                  <c:v>-0.74989345015063491</c:v>
                </c:pt>
                <c:pt idx="196">
                  <c:v>-0.47775056405839822</c:v>
                </c:pt>
                <c:pt idx="197">
                  <c:v>-0.16677075573106376</c:v>
                </c:pt>
                <c:pt idx="198">
                  <c:v>0.15546087118774687</c:v>
                </c:pt>
                <c:pt idx="199">
                  <c:v>0.47769249810655739</c:v>
                </c:pt>
                <c:pt idx="200">
                  <c:v>0.79992412502536814</c:v>
                </c:pt>
                <c:pt idx="201">
                  <c:v>1.1221557519441854</c:v>
                </c:pt>
                <c:pt idx="202">
                  <c:v>1.4443873788629893</c:v>
                </c:pt>
                <c:pt idx="203">
                  <c:v>1.7666190057818068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D-4C08-BCF5-17ED0C446F01}"/>
            </c:ext>
          </c:extLst>
        </c:ser>
        <c:ser>
          <c:idx val="1"/>
          <c:order val="1"/>
          <c:tx>
            <c:strRef>
              <c:f>Quy_dao!$G$13</c:f>
              <c:strCache>
                <c:ptCount val="1"/>
                <c:pt idx="0">
                  <c:v>M không tải (N·m)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Quy_dao!$A$14:$A$254</c:f>
              <c:numCache>
                <c:formatCode>0.00</c:formatCode>
                <c:ptCount val="2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</c:numCache>
            </c:numRef>
          </c:xVal>
          <c:yVal>
            <c:numRef>
              <c:f>Quy_dao!$G$14:$G$254</c:f>
              <c:numCache>
                <c:formatCode>0.000</c:formatCode>
                <c:ptCount val="241"/>
                <c:pt idx="0">
                  <c:v>0.26602694090382384</c:v>
                </c:pt>
                <c:pt idx="1">
                  <c:v>0.36205636620038628</c:v>
                </c:pt>
                <c:pt idx="2">
                  <c:v>0.45808579149694861</c:v>
                </c:pt>
                <c:pt idx="3">
                  <c:v>0.55411521679351095</c:v>
                </c:pt>
                <c:pt idx="4">
                  <c:v>0.65014464209007339</c:v>
                </c:pt>
                <c:pt idx="5">
                  <c:v>0.74617406738663572</c:v>
                </c:pt>
                <c:pt idx="6">
                  <c:v>0.84220349268319805</c:v>
                </c:pt>
                <c:pt idx="7">
                  <c:v>0.93823291797976061</c:v>
                </c:pt>
                <c:pt idx="8">
                  <c:v>1.0342623432763229</c:v>
                </c:pt>
                <c:pt idx="9">
                  <c:v>1.130291768572885</c:v>
                </c:pt>
                <c:pt idx="10">
                  <c:v>1.2263211938694476</c:v>
                </c:pt>
                <c:pt idx="11">
                  <c:v>1.3223506191660102</c:v>
                </c:pt>
                <c:pt idx="12">
                  <c:v>1.4183800444625723</c:v>
                </c:pt>
                <c:pt idx="13">
                  <c:v>1.5144094697591348</c:v>
                </c:pt>
                <c:pt idx="14">
                  <c:v>1.6104388950556974</c:v>
                </c:pt>
                <c:pt idx="15">
                  <c:v>1.7064683203522595</c:v>
                </c:pt>
                <c:pt idx="16">
                  <c:v>1.802497745648822</c:v>
                </c:pt>
                <c:pt idx="17">
                  <c:v>1.8985271709453846</c:v>
                </c:pt>
                <c:pt idx="18">
                  <c:v>1.9945565962419465</c:v>
                </c:pt>
                <c:pt idx="19">
                  <c:v>2.0905860215385088</c:v>
                </c:pt>
                <c:pt idx="20">
                  <c:v>2.1866154468350714</c:v>
                </c:pt>
                <c:pt idx="21">
                  <c:v>2.2826448721316339</c:v>
                </c:pt>
                <c:pt idx="22">
                  <c:v>2.378674297428196</c:v>
                </c:pt>
                <c:pt idx="23">
                  <c:v>2.4747037227247586</c:v>
                </c:pt>
                <c:pt idx="24">
                  <c:v>2.5707331480213211</c:v>
                </c:pt>
                <c:pt idx="25">
                  <c:v>2.6667625733178832</c:v>
                </c:pt>
                <c:pt idx="26">
                  <c:v>2.6667625733178832</c:v>
                </c:pt>
                <c:pt idx="27">
                  <c:v>2.634752764885695</c:v>
                </c:pt>
                <c:pt idx="28">
                  <c:v>2.5387233395891329</c:v>
                </c:pt>
                <c:pt idx="29">
                  <c:v>2.4426939142925717</c:v>
                </c:pt>
                <c:pt idx="30">
                  <c:v>2.3466644889960087</c:v>
                </c:pt>
                <c:pt idx="31">
                  <c:v>2.2506350636994457</c:v>
                </c:pt>
                <c:pt idx="32">
                  <c:v>2.1546056384028835</c:v>
                </c:pt>
                <c:pt idx="33">
                  <c:v>2.0585762131063214</c:v>
                </c:pt>
                <c:pt idx="34">
                  <c:v>1.9625467878097589</c:v>
                </c:pt>
                <c:pt idx="35">
                  <c:v>1.8665173625131963</c:v>
                </c:pt>
                <c:pt idx="36">
                  <c:v>1.7704879372166347</c:v>
                </c:pt>
                <c:pt idx="37">
                  <c:v>1.6744585119200721</c:v>
                </c:pt>
                <c:pt idx="38">
                  <c:v>1.5784290866235096</c:v>
                </c:pt>
                <c:pt idx="39">
                  <c:v>1.482399661326947</c:v>
                </c:pt>
                <c:pt idx="40">
                  <c:v>1.3863702360303845</c:v>
                </c:pt>
                <c:pt idx="41">
                  <c:v>1.2903408107338223</c:v>
                </c:pt>
                <c:pt idx="42">
                  <c:v>1.1943113854372602</c:v>
                </c:pt>
                <c:pt idx="43">
                  <c:v>1.0982819601406979</c:v>
                </c:pt>
                <c:pt idx="44">
                  <c:v>1.0022525348441356</c:v>
                </c:pt>
                <c:pt idx="45">
                  <c:v>0.90622310954757301</c:v>
                </c:pt>
                <c:pt idx="46">
                  <c:v>0.81019368425101046</c:v>
                </c:pt>
                <c:pt idx="47">
                  <c:v>0.71416425895444802</c:v>
                </c:pt>
                <c:pt idx="48">
                  <c:v>0.6181348336578858</c:v>
                </c:pt>
                <c:pt idx="49">
                  <c:v>0.52210540836132346</c:v>
                </c:pt>
                <c:pt idx="50">
                  <c:v>0.42607598306476091</c:v>
                </c:pt>
                <c:pt idx="51">
                  <c:v>0.33004655776819852</c:v>
                </c:pt>
                <c:pt idx="52">
                  <c:v>0.26602694090382384</c:v>
                </c:pt>
                <c:pt idx="53">
                  <c:v>0.26602694090382384</c:v>
                </c:pt>
                <c:pt idx="54">
                  <c:v>0.26602694090382384</c:v>
                </c:pt>
                <c:pt idx="55">
                  <c:v>0.26602694090382384</c:v>
                </c:pt>
                <c:pt idx="56">
                  <c:v>0.26602694090382384</c:v>
                </c:pt>
                <c:pt idx="57">
                  <c:v>0.26602694090382384</c:v>
                </c:pt>
                <c:pt idx="58">
                  <c:v>0.26602694090382384</c:v>
                </c:pt>
                <c:pt idx="59">
                  <c:v>0.26602694090382384</c:v>
                </c:pt>
                <c:pt idx="60">
                  <c:v>0.26602694090382384</c:v>
                </c:pt>
                <c:pt idx="61">
                  <c:v>0.26602694090382384</c:v>
                </c:pt>
                <c:pt idx="62">
                  <c:v>0.26602694090382384</c:v>
                </c:pt>
                <c:pt idx="63">
                  <c:v>0.26602694090382384</c:v>
                </c:pt>
                <c:pt idx="64">
                  <c:v>0.26602694090382384</c:v>
                </c:pt>
                <c:pt idx="65">
                  <c:v>0.26602694090382384</c:v>
                </c:pt>
                <c:pt idx="66">
                  <c:v>0.26602694090382384</c:v>
                </c:pt>
                <c:pt idx="67">
                  <c:v>0.26602694090382384</c:v>
                </c:pt>
                <c:pt idx="68">
                  <c:v>0.26602694090382384</c:v>
                </c:pt>
                <c:pt idx="69">
                  <c:v>0.26602694090382384</c:v>
                </c:pt>
                <c:pt idx="70">
                  <c:v>0.26602694090382384</c:v>
                </c:pt>
                <c:pt idx="71">
                  <c:v>0.26602694090382384</c:v>
                </c:pt>
                <c:pt idx="72">
                  <c:v>0.26602694090382384</c:v>
                </c:pt>
                <c:pt idx="73">
                  <c:v>0.26602694090382384</c:v>
                </c:pt>
                <c:pt idx="74">
                  <c:v>0.26602694090382384</c:v>
                </c:pt>
                <c:pt idx="75">
                  <c:v>0.26602694090382384</c:v>
                </c:pt>
                <c:pt idx="76">
                  <c:v>0.26602694090382384</c:v>
                </c:pt>
                <c:pt idx="77">
                  <c:v>0.26602694090382384</c:v>
                </c:pt>
                <c:pt idx="78">
                  <c:v>0.26602694090382384</c:v>
                </c:pt>
                <c:pt idx="79">
                  <c:v>0.26602694090382384</c:v>
                </c:pt>
                <c:pt idx="80">
                  <c:v>0.26602694090382384</c:v>
                </c:pt>
                <c:pt idx="81">
                  <c:v>0.26602694090382384</c:v>
                </c:pt>
                <c:pt idx="82">
                  <c:v>0.26602694090382384</c:v>
                </c:pt>
                <c:pt idx="83">
                  <c:v>0.26602694090382384</c:v>
                </c:pt>
                <c:pt idx="84">
                  <c:v>0.26602694090382384</c:v>
                </c:pt>
                <c:pt idx="85">
                  <c:v>0.26602694090382384</c:v>
                </c:pt>
                <c:pt idx="86">
                  <c:v>0.26602694090382384</c:v>
                </c:pt>
                <c:pt idx="87">
                  <c:v>0.26602694090382384</c:v>
                </c:pt>
                <c:pt idx="88">
                  <c:v>0.26602694090382384</c:v>
                </c:pt>
                <c:pt idx="89">
                  <c:v>0.26602694090382384</c:v>
                </c:pt>
                <c:pt idx="90">
                  <c:v>0.26602694090382384</c:v>
                </c:pt>
                <c:pt idx="91">
                  <c:v>0.26602694090382384</c:v>
                </c:pt>
                <c:pt idx="92">
                  <c:v>0.26602694090382384</c:v>
                </c:pt>
                <c:pt idx="93">
                  <c:v>0.26602694090382384</c:v>
                </c:pt>
                <c:pt idx="94">
                  <c:v>0.26602694090382384</c:v>
                </c:pt>
                <c:pt idx="95">
                  <c:v>0.26602694090382384</c:v>
                </c:pt>
                <c:pt idx="96">
                  <c:v>0.26602694090382384</c:v>
                </c:pt>
                <c:pt idx="97">
                  <c:v>0.26602694090382384</c:v>
                </c:pt>
                <c:pt idx="98">
                  <c:v>0.26602694090382384</c:v>
                </c:pt>
                <c:pt idx="99">
                  <c:v>0.26602694090382384</c:v>
                </c:pt>
                <c:pt idx="100">
                  <c:v>0.26602694090382384</c:v>
                </c:pt>
                <c:pt idx="101">
                  <c:v>0.26602694090382384</c:v>
                </c:pt>
                <c:pt idx="102">
                  <c:v>0.26602694090382384</c:v>
                </c:pt>
                <c:pt idx="103">
                  <c:v>0.26602694090382384</c:v>
                </c:pt>
                <c:pt idx="104">
                  <c:v>0.26602694090382384</c:v>
                </c:pt>
                <c:pt idx="105">
                  <c:v>0.26602694090382384</c:v>
                </c:pt>
                <c:pt idx="106">
                  <c:v>0.26602694090382384</c:v>
                </c:pt>
                <c:pt idx="107">
                  <c:v>0.26602694090382384</c:v>
                </c:pt>
                <c:pt idx="108">
                  <c:v>0.26602694090382384</c:v>
                </c:pt>
                <c:pt idx="109">
                  <c:v>0.26602694090382384</c:v>
                </c:pt>
                <c:pt idx="110">
                  <c:v>0.26602694090382384</c:v>
                </c:pt>
                <c:pt idx="111">
                  <c:v>0.26602694090382384</c:v>
                </c:pt>
                <c:pt idx="112">
                  <c:v>0.26602694090382384</c:v>
                </c:pt>
                <c:pt idx="113">
                  <c:v>0.26602694090382384</c:v>
                </c:pt>
                <c:pt idx="114">
                  <c:v>0.26602694090382384</c:v>
                </c:pt>
                <c:pt idx="115">
                  <c:v>0.26602694090382384</c:v>
                </c:pt>
                <c:pt idx="116">
                  <c:v>0.26602694090382384</c:v>
                </c:pt>
                <c:pt idx="117">
                  <c:v>0.26602694090382384</c:v>
                </c:pt>
                <c:pt idx="118">
                  <c:v>0.26602694090382384</c:v>
                </c:pt>
                <c:pt idx="119">
                  <c:v>0.26602694090382384</c:v>
                </c:pt>
                <c:pt idx="120">
                  <c:v>0.26602694090382384</c:v>
                </c:pt>
                <c:pt idx="121">
                  <c:v>0.26602694090382384</c:v>
                </c:pt>
                <c:pt idx="122">
                  <c:v>0.26602694090382384</c:v>
                </c:pt>
                <c:pt idx="123">
                  <c:v>0.26602694090382384</c:v>
                </c:pt>
                <c:pt idx="124">
                  <c:v>0.26602694090382384</c:v>
                </c:pt>
                <c:pt idx="125">
                  <c:v>0.26602694090382384</c:v>
                </c:pt>
                <c:pt idx="126">
                  <c:v>0.26602694090382384</c:v>
                </c:pt>
                <c:pt idx="127">
                  <c:v>0.26602694090382384</c:v>
                </c:pt>
                <c:pt idx="128">
                  <c:v>0.26602694090382384</c:v>
                </c:pt>
                <c:pt idx="129">
                  <c:v>0.26602694090382384</c:v>
                </c:pt>
                <c:pt idx="130">
                  <c:v>0.26602694090382384</c:v>
                </c:pt>
                <c:pt idx="131">
                  <c:v>0.26602694090382384</c:v>
                </c:pt>
                <c:pt idx="132">
                  <c:v>0.26602694090382384</c:v>
                </c:pt>
                <c:pt idx="133">
                  <c:v>0.26602694090382384</c:v>
                </c:pt>
                <c:pt idx="134">
                  <c:v>0.26602694090382384</c:v>
                </c:pt>
                <c:pt idx="135">
                  <c:v>0.26602694090382384</c:v>
                </c:pt>
                <c:pt idx="136">
                  <c:v>0.26602694090382384</c:v>
                </c:pt>
                <c:pt idx="137">
                  <c:v>0.26602694090382384</c:v>
                </c:pt>
                <c:pt idx="138">
                  <c:v>0.26602694090382384</c:v>
                </c:pt>
                <c:pt idx="139">
                  <c:v>0.26602694090382384</c:v>
                </c:pt>
                <c:pt idx="140">
                  <c:v>0.26602694090382384</c:v>
                </c:pt>
                <c:pt idx="141">
                  <c:v>0.26602694090382384</c:v>
                </c:pt>
                <c:pt idx="142">
                  <c:v>0.26602694090382384</c:v>
                </c:pt>
                <c:pt idx="143">
                  <c:v>0.26602694090382384</c:v>
                </c:pt>
                <c:pt idx="144">
                  <c:v>0.26602694090382384</c:v>
                </c:pt>
                <c:pt idx="145">
                  <c:v>0.26602694090382384</c:v>
                </c:pt>
                <c:pt idx="146">
                  <c:v>0.26602694090382384</c:v>
                </c:pt>
                <c:pt idx="147">
                  <c:v>0.26602694090382384</c:v>
                </c:pt>
                <c:pt idx="148">
                  <c:v>0.26602694090382384</c:v>
                </c:pt>
                <c:pt idx="149">
                  <c:v>0.26602694090382384</c:v>
                </c:pt>
                <c:pt idx="150">
                  <c:v>0.26602694090382384</c:v>
                </c:pt>
                <c:pt idx="151">
                  <c:v>0.26602694090382384</c:v>
                </c:pt>
                <c:pt idx="152">
                  <c:v>0.23401713247163561</c:v>
                </c:pt>
                <c:pt idx="153">
                  <c:v>0.13798770717507314</c:v>
                </c:pt>
                <c:pt idx="154">
                  <c:v>4.1958281878510723E-2</c:v>
                </c:pt>
                <c:pt idx="155">
                  <c:v>-5.4071143418051748E-2</c:v>
                </c:pt>
                <c:pt idx="156">
                  <c:v>-0.15010056871461419</c:v>
                </c:pt>
                <c:pt idx="157">
                  <c:v>-0.24612999401117669</c:v>
                </c:pt>
                <c:pt idx="158">
                  <c:v>-0.34215941930773908</c:v>
                </c:pt>
                <c:pt idx="159">
                  <c:v>-0.43659159824148447</c:v>
                </c:pt>
                <c:pt idx="160">
                  <c:v>-0.5255107010197001</c:v>
                </c:pt>
                <c:pt idx="161">
                  <c:v>-0.61442980379791567</c:v>
                </c:pt>
                <c:pt idx="162">
                  <c:v>-0.70334890657613114</c:v>
                </c:pt>
                <c:pt idx="163">
                  <c:v>-0.79226800935434682</c:v>
                </c:pt>
                <c:pt idx="164">
                  <c:v>-0.88118711213256251</c:v>
                </c:pt>
                <c:pt idx="165">
                  <c:v>-0.97010621491077809</c:v>
                </c:pt>
                <c:pt idx="166">
                  <c:v>-1.0590253176889939</c:v>
                </c:pt>
                <c:pt idx="167">
                  <c:v>-1.1479444204672073</c:v>
                </c:pt>
                <c:pt idx="168">
                  <c:v>-1.2368635232454228</c:v>
                </c:pt>
                <c:pt idx="169">
                  <c:v>-1.3257826260236385</c:v>
                </c:pt>
                <c:pt idx="170">
                  <c:v>-1.414701728801854</c:v>
                </c:pt>
                <c:pt idx="171">
                  <c:v>-1.5036208315800697</c:v>
                </c:pt>
                <c:pt idx="172">
                  <c:v>-1.5925399343582853</c:v>
                </c:pt>
                <c:pt idx="173">
                  <c:v>-1.6814590371365008</c:v>
                </c:pt>
                <c:pt idx="174">
                  <c:v>-1.7703781399147165</c:v>
                </c:pt>
                <c:pt idx="175">
                  <c:v>-1.8592972426929322</c:v>
                </c:pt>
                <c:pt idx="176">
                  <c:v>-1.9482163454711474</c:v>
                </c:pt>
                <c:pt idx="177">
                  <c:v>-2.0074957473232908</c:v>
                </c:pt>
                <c:pt idx="178">
                  <c:v>-2.0074957473232908</c:v>
                </c:pt>
                <c:pt idx="179">
                  <c:v>-1.9482163454711459</c:v>
                </c:pt>
                <c:pt idx="180">
                  <c:v>-1.8592972426929302</c:v>
                </c:pt>
                <c:pt idx="181">
                  <c:v>-1.7703781399147145</c:v>
                </c:pt>
                <c:pt idx="182">
                  <c:v>-1.6814590371364988</c:v>
                </c:pt>
                <c:pt idx="183">
                  <c:v>-1.5925399343582831</c:v>
                </c:pt>
                <c:pt idx="184">
                  <c:v>-1.5036208315800677</c:v>
                </c:pt>
                <c:pt idx="185">
                  <c:v>-1.414701728801852</c:v>
                </c:pt>
                <c:pt idx="186">
                  <c:v>-1.3257826260236363</c:v>
                </c:pt>
                <c:pt idx="187">
                  <c:v>-1.2368635232454208</c:v>
                </c:pt>
                <c:pt idx="188">
                  <c:v>-1.1479444204672054</c:v>
                </c:pt>
                <c:pt idx="189">
                  <c:v>-1.0590253176889897</c:v>
                </c:pt>
                <c:pt idx="190">
                  <c:v>-0.97010621491077398</c:v>
                </c:pt>
                <c:pt idx="191">
                  <c:v>-0.8811871121325584</c:v>
                </c:pt>
                <c:pt idx="192">
                  <c:v>-0.79226800935434494</c:v>
                </c:pt>
                <c:pt idx="193">
                  <c:v>-0.70334890657612914</c:v>
                </c:pt>
                <c:pt idx="194">
                  <c:v>-0.61442980379791368</c:v>
                </c:pt>
                <c:pt idx="195">
                  <c:v>-0.52551070101969799</c:v>
                </c:pt>
                <c:pt idx="196">
                  <c:v>-0.43659159824148236</c:v>
                </c:pt>
                <c:pt idx="197">
                  <c:v>-0.34215941930773691</c:v>
                </c:pt>
                <c:pt idx="198">
                  <c:v>-0.24612999401117441</c:v>
                </c:pt>
                <c:pt idx="199">
                  <c:v>-0.15010056871461203</c:v>
                </c:pt>
                <c:pt idx="200">
                  <c:v>-5.4071143418049528E-2</c:v>
                </c:pt>
                <c:pt idx="201">
                  <c:v>4.1958281878514997E-2</c:v>
                </c:pt>
                <c:pt idx="202">
                  <c:v>0.13798770717507536</c:v>
                </c:pt>
                <c:pt idx="203">
                  <c:v>0.23401713247163994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DD-4C08-BCF5-17ED0C446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 (s)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 (N·m)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vi-VN"/>
              <a:t>Gia tốc và vận tốc đặt (S-curve)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Quy_dao!$C$13</c:f>
              <c:strCache>
                <c:ptCount val="1"/>
                <c:pt idx="0">
                  <c:v>a (m/s²)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Quy_dao!$A$14:$A$254</c:f>
              <c:numCache>
                <c:formatCode>0.00</c:formatCode>
                <c:ptCount val="2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</c:numCache>
            </c:numRef>
          </c:xVal>
          <c:yVal>
            <c:numRef>
              <c:f>Quy_dao!$C$14:$C$254</c:f>
              <c:numCache>
                <c:formatCode>0.0000</c:formatCode>
                <c:ptCount val="241"/>
                <c:pt idx="0">
                  <c:v>0</c:v>
                </c:pt>
                <c:pt idx="1">
                  <c:v>1.8000000000000002E-2</c:v>
                </c:pt>
                <c:pt idx="2">
                  <c:v>3.6000000000000004E-2</c:v>
                </c:pt>
                <c:pt idx="3">
                  <c:v>5.3999999999999999E-2</c:v>
                </c:pt>
                <c:pt idx="4">
                  <c:v>7.2000000000000008E-2</c:v>
                </c:pt>
                <c:pt idx="5">
                  <c:v>9.0000000000000011E-2</c:v>
                </c:pt>
                <c:pt idx="6">
                  <c:v>0.108</c:v>
                </c:pt>
                <c:pt idx="7">
                  <c:v>0.12600000000000003</c:v>
                </c:pt>
                <c:pt idx="8">
                  <c:v>0.14400000000000002</c:v>
                </c:pt>
                <c:pt idx="9">
                  <c:v>0.16200000000000001</c:v>
                </c:pt>
                <c:pt idx="10">
                  <c:v>0.18000000000000002</c:v>
                </c:pt>
                <c:pt idx="11">
                  <c:v>0.19800000000000001</c:v>
                </c:pt>
                <c:pt idx="12">
                  <c:v>0.216</c:v>
                </c:pt>
                <c:pt idx="13">
                  <c:v>0.23400000000000001</c:v>
                </c:pt>
                <c:pt idx="14">
                  <c:v>0.25200000000000006</c:v>
                </c:pt>
                <c:pt idx="15">
                  <c:v>0.27</c:v>
                </c:pt>
                <c:pt idx="16">
                  <c:v>0.28800000000000003</c:v>
                </c:pt>
                <c:pt idx="17">
                  <c:v>0.30600000000000005</c:v>
                </c:pt>
                <c:pt idx="18">
                  <c:v>0.32400000000000001</c:v>
                </c:pt>
                <c:pt idx="19">
                  <c:v>0.34200000000000003</c:v>
                </c:pt>
                <c:pt idx="20">
                  <c:v>0.36000000000000004</c:v>
                </c:pt>
                <c:pt idx="21">
                  <c:v>0.378</c:v>
                </c:pt>
                <c:pt idx="22">
                  <c:v>0.39600000000000002</c:v>
                </c:pt>
                <c:pt idx="23">
                  <c:v>0.41400000000000003</c:v>
                </c:pt>
                <c:pt idx="24">
                  <c:v>0.432</c:v>
                </c:pt>
                <c:pt idx="25">
                  <c:v>0.45</c:v>
                </c:pt>
                <c:pt idx="26">
                  <c:v>0.45</c:v>
                </c:pt>
                <c:pt idx="27">
                  <c:v>0.44399999999999995</c:v>
                </c:pt>
                <c:pt idx="28">
                  <c:v>0.42599999999999993</c:v>
                </c:pt>
                <c:pt idx="29">
                  <c:v>0.40800000000000003</c:v>
                </c:pt>
                <c:pt idx="30">
                  <c:v>0.39</c:v>
                </c:pt>
                <c:pt idx="31">
                  <c:v>0.372</c:v>
                </c:pt>
                <c:pt idx="32">
                  <c:v>0.35399999999999998</c:v>
                </c:pt>
                <c:pt idx="33">
                  <c:v>0.33599999999999997</c:v>
                </c:pt>
                <c:pt idx="34">
                  <c:v>0.31799999999999995</c:v>
                </c:pt>
                <c:pt idx="35">
                  <c:v>0.29999999999999993</c:v>
                </c:pt>
                <c:pt idx="36">
                  <c:v>0.28200000000000003</c:v>
                </c:pt>
                <c:pt idx="37">
                  <c:v>0.26400000000000001</c:v>
                </c:pt>
                <c:pt idx="38">
                  <c:v>0.246</c:v>
                </c:pt>
                <c:pt idx="39">
                  <c:v>0.22799999999999998</c:v>
                </c:pt>
                <c:pt idx="40">
                  <c:v>0.20999999999999996</c:v>
                </c:pt>
                <c:pt idx="41">
                  <c:v>0.19199999999999995</c:v>
                </c:pt>
                <c:pt idx="42">
                  <c:v>0.17400000000000004</c:v>
                </c:pt>
                <c:pt idx="43">
                  <c:v>0.15600000000000003</c:v>
                </c:pt>
                <c:pt idx="44">
                  <c:v>0.13800000000000001</c:v>
                </c:pt>
                <c:pt idx="45">
                  <c:v>0.12</c:v>
                </c:pt>
                <c:pt idx="46">
                  <c:v>0.10199999999999998</c:v>
                </c:pt>
                <c:pt idx="47">
                  <c:v>8.3999999999999964E-2</c:v>
                </c:pt>
                <c:pt idx="48">
                  <c:v>6.6000000000000003E-2</c:v>
                </c:pt>
                <c:pt idx="49">
                  <c:v>4.7999999999999987E-2</c:v>
                </c:pt>
                <c:pt idx="50">
                  <c:v>2.9999999999999971E-2</c:v>
                </c:pt>
                <c:pt idx="51">
                  <c:v>1.1999999999999955E-2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-6.0000000000001389E-3</c:v>
                </c:pt>
                <c:pt idx="153">
                  <c:v>-2.4000000000000157E-2</c:v>
                </c:pt>
                <c:pt idx="154">
                  <c:v>-4.2000000000000169E-2</c:v>
                </c:pt>
                <c:pt idx="155">
                  <c:v>-6.0000000000000185E-2</c:v>
                </c:pt>
                <c:pt idx="156">
                  <c:v>-7.8000000000000208E-2</c:v>
                </c:pt>
                <c:pt idx="157">
                  <c:v>-9.6000000000000224E-2</c:v>
                </c:pt>
                <c:pt idx="158">
                  <c:v>-0.11400000000000024</c:v>
                </c:pt>
                <c:pt idx="159">
                  <c:v>-0.13200000000000026</c:v>
                </c:pt>
                <c:pt idx="160">
                  <c:v>-0.15000000000000027</c:v>
                </c:pt>
                <c:pt idx="161">
                  <c:v>-0.16800000000000029</c:v>
                </c:pt>
                <c:pt idx="162">
                  <c:v>-0.1860000000000003</c:v>
                </c:pt>
                <c:pt idx="163">
                  <c:v>-0.20400000000000032</c:v>
                </c:pt>
                <c:pt idx="164">
                  <c:v>-0.22200000000000034</c:v>
                </c:pt>
                <c:pt idx="165">
                  <c:v>-0.24000000000000035</c:v>
                </c:pt>
                <c:pt idx="166">
                  <c:v>-0.2580000000000004</c:v>
                </c:pt>
                <c:pt idx="167">
                  <c:v>-0.27599999999999997</c:v>
                </c:pt>
                <c:pt idx="168">
                  <c:v>-0.29399999999999998</c:v>
                </c:pt>
                <c:pt idx="169">
                  <c:v>-0.312</c:v>
                </c:pt>
                <c:pt idx="170">
                  <c:v>-0.33</c:v>
                </c:pt>
                <c:pt idx="171">
                  <c:v>-0.34800000000000003</c:v>
                </c:pt>
                <c:pt idx="172">
                  <c:v>-0.36600000000000005</c:v>
                </c:pt>
                <c:pt idx="173">
                  <c:v>-0.38400000000000006</c:v>
                </c:pt>
                <c:pt idx="174">
                  <c:v>-0.40200000000000008</c:v>
                </c:pt>
                <c:pt idx="175">
                  <c:v>-0.4200000000000001</c:v>
                </c:pt>
                <c:pt idx="176">
                  <c:v>-0.43800000000000011</c:v>
                </c:pt>
                <c:pt idx="177">
                  <c:v>-0.45</c:v>
                </c:pt>
                <c:pt idx="178">
                  <c:v>-0.45</c:v>
                </c:pt>
                <c:pt idx="179">
                  <c:v>-0.43799999999999972</c:v>
                </c:pt>
                <c:pt idx="180">
                  <c:v>-0.41999999999999971</c:v>
                </c:pt>
                <c:pt idx="181">
                  <c:v>-0.40199999999999969</c:v>
                </c:pt>
                <c:pt idx="182">
                  <c:v>-0.38399999999999967</c:v>
                </c:pt>
                <c:pt idx="183">
                  <c:v>-0.36599999999999966</c:v>
                </c:pt>
                <c:pt idx="184">
                  <c:v>-0.34799999999999964</c:v>
                </c:pt>
                <c:pt idx="185">
                  <c:v>-0.32999999999999963</c:v>
                </c:pt>
                <c:pt idx="186">
                  <c:v>-0.31199999999999961</c:v>
                </c:pt>
                <c:pt idx="187">
                  <c:v>-0.29399999999999959</c:v>
                </c:pt>
                <c:pt idx="188">
                  <c:v>-0.27599999999999958</c:v>
                </c:pt>
                <c:pt idx="189">
                  <c:v>-0.25799999999999956</c:v>
                </c:pt>
                <c:pt idx="190">
                  <c:v>-0.23999999999999955</c:v>
                </c:pt>
                <c:pt idx="191">
                  <c:v>-0.22199999999999953</c:v>
                </c:pt>
                <c:pt idx="192">
                  <c:v>-0.20399999999999993</c:v>
                </c:pt>
                <c:pt idx="193">
                  <c:v>-0.18599999999999989</c:v>
                </c:pt>
                <c:pt idx="194">
                  <c:v>-0.16799999999999987</c:v>
                </c:pt>
                <c:pt idx="195">
                  <c:v>-0.14999999999999986</c:v>
                </c:pt>
                <c:pt idx="196">
                  <c:v>-0.13199999999999984</c:v>
                </c:pt>
                <c:pt idx="197">
                  <c:v>-0.11399999999999982</c:v>
                </c:pt>
                <c:pt idx="198">
                  <c:v>-9.5999999999999808E-2</c:v>
                </c:pt>
                <c:pt idx="199">
                  <c:v>-7.7999999999999792E-2</c:v>
                </c:pt>
                <c:pt idx="200">
                  <c:v>-5.9999999999999776E-2</c:v>
                </c:pt>
                <c:pt idx="201">
                  <c:v>-4.1999999999999371E-2</c:v>
                </c:pt>
                <c:pt idx="202">
                  <c:v>-2.3999999999999744E-2</c:v>
                </c:pt>
                <c:pt idx="203">
                  <c:v>-5.9999999999993392E-3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7-41F2-AF10-0635A2BB0E76}"/>
            </c:ext>
          </c:extLst>
        </c:ser>
        <c:ser>
          <c:idx val="1"/>
          <c:order val="1"/>
          <c:tx>
            <c:strRef>
              <c:f>Quy_dao!$D$13</c:f>
              <c:strCache>
                <c:ptCount val="1"/>
                <c:pt idx="0">
                  <c:v>v (m/s)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Quy_dao!$A$14:$A$254</c:f>
              <c:numCache>
                <c:formatCode>0.00</c:formatCode>
                <c:ptCount val="2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0.35000000000000003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0.41000000000000003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0.47000000000000003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1.1500000000000001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1.4000000000000001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1.6600000000000001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1.9100000000000001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2.0100000000000002</c:v>
                </c:pt>
                <c:pt idx="202">
                  <c:v>2.02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2.2600000000000002</c:v>
                </c:pt>
                <c:pt idx="227">
                  <c:v>2.27</c:v>
                </c:pt>
                <c:pt idx="228">
                  <c:v>2.2800000000000002</c:v>
                </c:pt>
                <c:pt idx="229">
                  <c:v>2.29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</c:numCache>
            </c:numRef>
          </c:xVal>
          <c:yVal>
            <c:numRef>
              <c:f>Quy_dao!$D$14:$D$254</c:f>
              <c:numCache>
                <c:formatCode>0.0000</c:formatCode>
                <c:ptCount val="241"/>
                <c:pt idx="0">
                  <c:v>0</c:v>
                </c:pt>
                <c:pt idx="1">
                  <c:v>9.0000000000000006E-5</c:v>
                </c:pt>
                <c:pt idx="2">
                  <c:v>3.6000000000000008E-4</c:v>
                </c:pt>
                <c:pt idx="3">
                  <c:v>8.1000000000000006E-4</c:v>
                </c:pt>
                <c:pt idx="4">
                  <c:v>1.4400000000000001E-3</c:v>
                </c:pt>
                <c:pt idx="5">
                  <c:v>2.2500000000000003E-3</c:v>
                </c:pt>
                <c:pt idx="6">
                  <c:v>3.2400000000000003E-3</c:v>
                </c:pt>
                <c:pt idx="7">
                  <c:v>4.4100000000000007E-3</c:v>
                </c:pt>
                <c:pt idx="8">
                  <c:v>5.7600000000000012E-3</c:v>
                </c:pt>
                <c:pt idx="9">
                  <c:v>7.2900000000000013E-3</c:v>
                </c:pt>
                <c:pt idx="10">
                  <c:v>9.0000000000000011E-3</c:v>
                </c:pt>
                <c:pt idx="11">
                  <c:v>1.089E-2</c:v>
                </c:pt>
                <c:pt idx="12">
                  <c:v>1.2960000000000001E-2</c:v>
                </c:pt>
                <c:pt idx="13">
                  <c:v>1.5210000000000001E-2</c:v>
                </c:pt>
                <c:pt idx="14">
                  <c:v>1.7640000000000003E-2</c:v>
                </c:pt>
                <c:pt idx="15">
                  <c:v>2.0250000000000004E-2</c:v>
                </c:pt>
                <c:pt idx="16">
                  <c:v>2.3040000000000005E-2</c:v>
                </c:pt>
                <c:pt idx="17">
                  <c:v>2.6010000000000005E-2</c:v>
                </c:pt>
                <c:pt idx="18">
                  <c:v>2.9160000000000005E-2</c:v>
                </c:pt>
                <c:pt idx="19">
                  <c:v>3.2490000000000005E-2</c:v>
                </c:pt>
                <c:pt idx="20">
                  <c:v>3.6000000000000004E-2</c:v>
                </c:pt>
                <c:pt idx="21">
                  <c:v>3.9690000000000003E-2</c:v>
                </c:pt>
                <c:pt idx="22">
                  <c:v>4.3560000000000001E-2</c:v>
                </c:pt>
                <c:pt idx="23">
                  <c:v>4.761E-2</c:v>
                </c:pt>
                <c:pt idx="24">
                  <c:v>5.1839999999999997E-2</c:v>
                </c:pt>
                <c:pt idx="25">
                  <c:v>5.6249999999999994E-2</c:v>
                </c:pt>
                <c:pt idx="26">
                  <c:v>6.0749999999999998E-2</c:v>
                </c:pt>
                <c:pt idx="27">
                  <c:v>6.522E-2</c:v>
                </c:pt>
                <c:pt idx="28">
                  <c:v>6.9569999999999993E-2</c:v>
                </c:pt>
                <c:pt idx="29">
                  <c:v>7.374E-2</c:v>
                </c:pt>
                <c:pt idx="30">
                  <c:v>7.7729999999999994E-2</c:v>
                </c:pt>
                <c:pt idx="31">
                  <c:v>8.1539999999999987E-2</c:v>
                </c:pt>
                <c:pt idx="32">
                  <c:v>8.5169999999999982E-2</c:v>
                </c:pt>
                <c:pt idx="33">
                  <c:v>8.8619999999999977E-2</c:v>
                </c:pt>
                <c:pt idx="34">
                  <c:v>9.1889999999999972E-2</c:v>
                </c:pt>
                <c:pt idx="35">
                  <c:v>9.4979999999999967E-2</c:v>
                </c:pt>
                <c:pt idx="36">
                  <c:v>9.7889999999999963E-2</c:v>
                </c:pt>
                <c:pt idx="37">
                  <c:v>0.10061999999999996</c:v>
                </c:pt>
                <c:pt idx="38">
                  <c:v>0.10316999999999996</c:v>
                </c:pt>
                <c:pt idx="39">
                  <c:v>0.10553999999999995</c:v>
                </c:pt>
                <c:pt idx="40">
                  <c:v>0.10772999999999995</c:v>
                </c:pt>
                <c:pt idx="41">
                  <c:v>0.10973999999999995</c:v>
                </c:pt>
                <c:pt idx="42">
                  <c:v>0.11156999999999995</c:v>
                </c:pt>
                <c:pt idx="43">
                  <c:v>0.11321999999999995</c:v>
                </c:pt>
                <c:pt idx="44">
                  <c:v>0.11468999999999994</c:v>
                </c:pt>
                <c:pt idx="45">
                  <c:v>0.11597999999999994</c:v>
                </c:pt>
                <c:pt idx="46">
                  <c:v>0.11708999999999994</c:v>
                </c:pt>
                <c:pt idx="47">
                  <c:v>0.11801999999999994</c:v>
                </c:pt>
                <c:pt idx="48">
                  <c:v>0.11876999999999995</c:v>
                </c:pt>
                <c:pt idx="49">
                  <c:v>0.11933999999999995</c:v>
                </c:pt>
                <c:pt idx="50">
                  <c:v>0.11972999999999995</c:v>
                </c:pt>
                <c:pt idx="51">
                  <c:v>0.11993999999999995</c:v>
                </c:pt>
                <c:pt idx="52">
                  <c:v>0.11999999999999995</c:v>
                </c:pt>
                <c:pt idx="53">
                  <c:v>0.11999999999999995</c:v>
                </c:pt>
                <c:pt idx="54">
                  <c:v>0.11999999999999995</c:v>
                </c:pt>
                <c:pt idx="55">
                  <c:v>0.11999999999999995</c:v>
                </c:pt>
                <c:pt idx="56">
                  <c:v>0.11999999999999995</c:v>
                </c:pt>
                <c:pt idx="57">
                  <c:v>0.11999999999999995</c:v>
                </c:pt>
                <c:pt idx="58">
                  <c:v>0.11999999999999995</c:v>
                </c:pt>
                <c:pt idx="59">
                  <c:v>0.11999999999999995</c:v>
                </c:pt>
                <c:pt idx="60">
                  <c:v>0.11999999999999995</c:v>
                </c:pt>
                <c:pt idx="61">
                  <c:v>0.11999999999999995</c:v>
                </c:pt>
                <c:pt idx="62">
                  <c:v>0.11999999999999995</c:v>
                </c:pt>
                <c:pt idx="63">
                  <c:v>0.11999999999999995</c:v>
                </c:pt>
                <c:pt idx="64">
                  <c:v>0.11999999999999995</c:v>
                </c:pt>
                <c:pt idx="65">
                  <c:v>0.11999999999999995</c:v>
                </c:pt>
                <c:pt idx="66">
                  <c:v>0.11999999999999995</c:v>
                </c:pt>
                <c:pt idx="67">
                  <c:v>0.11999999999999995</c:v>
                </c:pt>
                <c:pt idx="68">
                  <c:v>0.11999999999999995</c:v>
                </c:pt>
                <c:pt idx="69">
                  <c:v>0.11999999999999995</c:v>
                </c:pt>
                <c:pt idx="70">
                  <c:v>0.11999999999999995</c:v>
                </c:pt>
                <c:pt idx="71">
                  <c:v>0.11999999999999995</c:v>
                </c:pt>
                <c:pt idx="72">
                  <c:v>0.11999999999999995</c:v>
                </c:pt>
                <c:pt idx="73">
                  <c:v>0.11999999999999995</c:v>
                </c:pt>
                <c:pt idx="74">
                  <c:v>0.11999999999999995</c:v>
                </c:pt>
                <c:pt idx="75">
                  <c:v>0.11999999999999995</c:v>
                </c:pt>
                <c:pt idx="76">
                  <c:v>0.11999999999999995</c:v>
                </c:pt>
                <c:pt idx="77">
                  <c:v>0.11999999999999995</c:v>
                </c:pt>
                <c:pt idx="78">
                  <c:v>0.11999999999999995</c:v>
                </c:pt>
                <c:pt idx="79">
                  <c:v>0.11999999999999995</c:v>
                </c:pt>
                <c:pt idx="80">
                  <c:v>0.11999999999999995</c:v>
                </c:pt>
                <c:pt idx="81">
                  <c:v>0.11999999999999995</c:v>
                </c:pt>
                <c:pt idx="82">
                  <c:v>0.11999999999999995</c:v>
                </c:pt>
                <c:pt idx="83">
                  <c:v>0.11999999999999995</c:v>
                </c:pt>
                <c:pt idx="84">
                  <c:v>0.11999999999999995</c:v>
                </c:pt>
                <c:pt idx="85">
                  <c:v>0.11999999999999995</c:v>
                </c:pt>
                <c:pt idx="86">
                  <c:v>0.11999999999999995</c:v>
                </c:pt>
                <c:pt idx="87">
                  <c:v>0.11999999999999995</c:v>
                </c:pt>
                <c:pt idx="88">
                  <c:v>0.11999999999999995</c:v>
                </c:pt>
                <c:pt idx="89">
                  <c:v>0.11999999999999995</c:v>
                </c:pt>
                <c:pt idx="90">
                  <c:v>0.11999999999999995</c:v>
                </c:pt>
                <c:pt idx="91">
                  <c:v>0.11999999999999995</c:v>
                </c:pt>
                <c:pt idx="92">
                  <c:v>0.11999999999999995</c:v>
                </c:pt>
                <c:pt idx="93">
                  <c:v>0.11999999999999995</c:v>
                </c:pt>
                <c:pt idx="94">
                  <c:v>0.11999999999999995</c:v>
                </c:pt>
                <c:pt idx="95">
                  <c:v>0.11999999999999995</c:v>
                </c:pt>
                <c:pt idx="96">
                  <c:v>0.11999999999999995</c:v>
                </c:pt>
                <c:pt idx="97">
                  <c:v>0.11999999999999995</c:v>
                </c:pt>
                <c:pt idx="98">
                  <c:v>0.11999999999999995</c:v>
                </c:pt>
                <c:pt idx="99">
                  <c:v>0.11999999999999995</c:v>
                </c:pt>
                <c:pt idx="100">
                  <c:v>0.11999999999999995</c:v>
                </c:pt>
                <c:pt idx="101">
                  <c:v>0.11999999999999995</c:v>
                </c:pt>
                <c:pt idx="102">
                  <c:v>0.11999999999999995</c:v>
                </c:pt>
                <c:pt idx="103">
                  <c:v>0.11999999999999995</c:v>
                </c:pt>
                <c:pt idx="104">
                  <c:v>0.11999999999999995</c:v>
                </c:pt>
                <c:pt idx="105">
                  <c:v>0.11999999999999995</c:v>
                </c:pt>
                <c:pt idx="106">
                  <c:v>0.11999999999999995</c:v>
                </c:pt>
                <c:pt idx="107">
                  <c:v>0.11999999999999995</c:v>
                </c:pt>
                <c:pt idx="108">
                  <c:v>0.11999999999999995</c:v>
                </c:pt>
                <c:pt idx="109">
                  <c:v>0.11999999999999995</c:v>
                </c:pt>
                <c:pt idx="110">
                  <c:v>0.11999999999999995</c:v>
                </c:pt>
                <c:pt idx="111">
                  <c:v>0.11999999999999995</c:v>
                </c:pt>
                <c:pt idx="112">
                  <c:v>0.11999999999999995</c:v>
                </c:pt>
                <c:pt idx="113">
                  <c:v>0.11999999999999995</c:v>
                </c:pt>
                <c:pt idx="114">
                  <c:v>0.11999999999999995</c:v>
                </c:pt>
                <c:pt idx="115">
                  <c:v>0.11999999999999995</c:v>
                </c:pt>
                <c:pt idx="116">
                  <c:v>0.11999999999999995</c:v>
                </c:pt>
                <c:pt idx="117">
                  <c:v>0.11999999999999995</c:v>
                </c:pt>
                <c:pt idx="118">
                  <c:v>0.11999999999999995</c:v>
                </c:pt>
                <c:pt idx="119">
                  <c:v>0.11999999999999995</c:v>
                </c:pt>
                <c:pt idx="120">
                  <c:v>0.11999999999999995</c:v>
                </c:pt>
                <c:pt idx="121">
                  <c:v>0.11999999999999995</c:v>
                </c:pt>
                <c:pt idx="122">
                  <c:v>0.11999999999999995</c:v>
                </c:pt>
                <c:pt idx="123">
                  <c:v>0.11999999999999995</c:v>
                </c:pt>
                <c:pt idx="124">
                  <c:v>0.11999999999999995</c:v>
                </c:pt>
                <c:pt idx="125">
                  <c:v>0.11999999999999995</c:v>
                </c:pt>
                <c:pt idx="126">
                  <c:v>0.11999999999999995</c:v>
                </c:pt>
                <c:pt idx="127">
                  <c:v>0.11999999999999995</c:v>
                </c:pt>
                <c:pt idx="128">
                  <c:v>0.11999999999999995</c:v>
                </c:pt>
                <c:pt idx="129">
                  <c:v>0.11999999999999995</c:v>
                </c:pt>
                <c:pt idx="130">
                  <c:v>0.11999999999999995</c:v>
                </c:pt>
                <c:pt idx="131">
                  <c:v>0.11999999999999995</c:v>
                </c:pt>
                <c:pt idx="132">
                  <c:v>0.11999999999999995</c:v>
                </c:pt>
                <c:pt idx="133">
                  <c:v>0.11999999999999995</c:v>
                </c:pt>
                <c:pt idx="134">
                  <c:v>0.11999999999999995</c:v>
                </c:pt>
                <c:pt idx="135">
                  <c:v>0.11999999999999995</c:v>
                </c:pt>
                <c:pt idx="136">
                  <c:v>0.11999999999999995</c:v>
                </c:pt>
                <c:pt idx="137">
                  <c:v>0.11999999999999995</c:v>
                </c:pt>
                <c:pt idx="138">
                  <c:v>0.11999999999999995</c:v>
                </c:pt>
                <c:pt idx="139">
                  <c:v>0.11999999999999995</c:v>
                </c:pt>
                <c:pt idx="140">
                  <c:v>0.11999999999999995</c:v>
                </c:pt>
                <c:pt idx="141">
                  <c:v>0.11999999999999995</c:v>
                </c:pt>
                <c:pt idx="142">
                  <c:v>0.11999999999999995</c:v>
                </c:pt>
                <c:pt idx="143">
                  <c:v>0.11999999999999995</c:v>
                </c:pt>
                <c:pt idx="144">
                  <c:v>0.11999999999999995</c:v>
                </c:pt>
                <c:pt idx="145">
                  <c:v>0.11999999999999995</c:v>
                </c:pt>
                <c:pt idx="146">
                  <c:v>0.11999999999999995</c:v>
                </c:pt>
                <c:pt idx="147">
                  <c:v>0.11999999999999995</c:v>
                </c:pt>
                <c:pt idx="148">
                  <c:v>0.11999999999999995</c:v>
                </c:pt>
                <c:pt idx="149">
                  <c:v>0.11999999999999995</c:v>
                </c:pt>
                <c:pt idx="150">
                  <c:v>0.11999999999999995</c:v>
                </c:pt>
                <c:pt idx="151">
                  <c:v>0.11999999999999995</c:v>
                </c:pt>
                <c:pt idx="152">
                  <c:v>0.11996999999999995</c:v>
                </c:pt>
                <c:pt idx="153">
                  <c:v>0.11981999999999995</c:v>
                </c:pt>
                <c:pt idx="154">
                  <c:v>0.11948999999999996</c:v>
                </c:pt>
                <c:pt idx="155">
                  <c:v>0.11897999999999996</c:v>
                </c:pt>
                <c:pt idx="156">
                  <c:v>0.11828999999999996</c:v>
                </c:pt>
                <c:pt idx="157">
                  <c:v>0.11741999999999997</c:v>
                </c:pt>
                <c:pt idx="158">
                  <c:v>0.11636999999999997</c:v>
                </c:pt>
                <c:pt idx="159">
                  <c:v>0.11513999999999996</c:v>
                </c:pt>
                <c:pt idx="160">
                  <c:v>0.11372999999999996</c:v>
                </c:pt>
                <c:pt idx="161">
                  <c:v>0.11213999999999995</c:v>
                </c:pt>
                <c:pt idx="162">
                  <c:v>0.11036999999999994</c:v>
                </c:pt>
                <c:pt idx="163">
                  <c:v>0.10841999999999993</c:v>
                </c:pt>
                <c:pt idx="164">
                  <c:v>0.10628999999999993</c:v>
                </c:pt>
                <c:pt idx="165">
                  <c:v>0.10397999999999992</c:v>
                </c:pt>
                <c:pt idx="166">
                  <c:v>0.10148999999999991</c:v>
                </c:pt>
                <c:pt idx="167">
                  <c:v>9.8819999999999908E-2</c:v>
                </c:pt>
                <c:pt idx="168">
                  <c:v>9.5969999999999903E-2</c:v>
                </c:pt>
                <c:pt idx="169">
                  <c:v>9.2939999999999898E-2</c:v>
                </c:pt>
                <c:pt idx="170">
                  <c:v>8.9729999999999893E-2</c:v>
                </c:pt>
                <c:pt idx="171">
                  <c:v>8.6339999999999889E-2</c:v>
                </c:pt>
                <c:pt idx="172">
                  <c:v>8.2769999999999885E-2</c:v>
                </c:pt>
                <c:pt idx="173">
                  <c:v>7.9019999999999882E-2</c:v>
                </c:pt>
                <c:pt idx="174">
                  <c:v>7.5089999999999879E-2</c:v>
                </c:pt>
                <c:pt idx="175">
                  <c:v>7.0979999999999877E-2</c:v>
                </c:pt>
                <c:pt idx="176">
                  <c:v>6.6689999999999874E-2</c:v>
                </c:pt>
                <c:pt idx="177">
                  <c:v>6.2249999999999875E-2</c:v>
                </c:pt>
                <c:pt idx="178">
                  <c:v>5.7749999999999871E-2</c:v>
                </c:pt>
                <c:pt idx="179">
                  <c:v>5.3309999999999871E-2</c:v>
                </c:pt>
                <c:pt idx="180">
                  <c:v>4.9019999999999876E-2</c:v>
                </c:pt>
                <c:pt idx="181">
                  <c:v>4.4909999999999881E-2</c:v>
                </c:pt>
                <c:pt idx="182">
                  <c:v>4.0979999999999885E-2</c:v>
                </c:pt>
                <c:pt idx="183">
                  <c:v>3.7229999999999888E-2</c:v>
                </c:pt>
                <c:pt idx="184">
                  <c:v>3.3659999999999891E-2</c:v>
                </c:pt>
                <c:pt idx="185">
                  <c:v>3.0269999999999894E-2</c:v>
                </c:pt>
                <c:pt idx="186">
                  <c:v>2.7059999999999897E-2</c:v>
                </c:pt>
                <c:pt idx="187">
                  <c:v>2.4029999999999899E-2</c:v>
                </c:pt>
                <c:pt idx="188">
                  <c:v>2.1179999999999904E-2</c:v>
                </c:pt>
                <c:pt idx="189">
                  <c:v>1.8509999999999908E-2</c:v>
                </c:pt>
                <c:pt idx="190">
                  <c:v>1.6019999999999913E-2</c:v>
                </c:pt>
                <c:pt idx="191">
                  <c:v>1.3709999999999917E-2</c:v>
                </c:pt>
                <c:pt idx="192">
                  <c:v>1.157999999999992E-2</c:v>
                </c:pt>
                <c:pt idx="193">
                  <c:v>9.6299999999999216E-3</c:v>
                </c:pt>
                <c:pt idx="194">
                  <c:v>7.8599999999999226E-3</c:v>
                </c:pt>
                <c:pt idx="195">
                  <c:v>6.2699999999999241E-3</c:v>
                </c:pt>
                <c:pt idx="196">
                  <c:v>4.8599999999999251E-3</c:v>
                </c:pt>
                <c:pt idx="197">
                  <c:v>3.6299999999999267E-3</c:v>
                </c:pt>
                <c:pt idx="198">
                  <c:v>2.5799999999999287E-3</c:v>
                </c:pt>
                <c:pt idx="199">
                  <c:v>1.7099999999999308E-3</c:v>
                </c:pt>
                <c:pt idx="200">
                  <c:v>1.0199999999999329E-3</c:v>
                </c:pt>
                <c:pt idx="201">
                  <c:v>5.0999999999993715E-4</c:v>
                </c:pt>
                <c:pt idx="202">
                  <c:v>1.7999999999994155E-4</c:v>
                </c:pt>
                <c:pt idx="203">
                  <c:v>2.999999999994614E-5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C7-41F2-AF10-0635A2BB0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 (s)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 (m/s²), v (m/s)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tabSelected="1" workbookViewId="0"/>
  </sheetViews>
  <sheetFormatPr defaultRowHeight="14.25" x14ac:dyDescent="0.2"/>
  <cols>
    <col min="1" max="1" width="160" customWidth="1"/>
  </cols>
  <sheetData>
    <row r="1" spans="1:1" ht="15" customHeight="1" x14ac:dyDescent="0.25">
      <c r="A1" s="1" t="s">
        <v>0</v>
      </c>
    </row>
    <row r="2" spans="1:1" x14ac:dyDescent="0.2">
      <c r="A2" s="2" t="s">
        <v>1</v>
      </c>
    </row>
    <row r="3" spans="1:1" x14ac:dyDescent="0.2">
      <c r="A3" s="2" t="s">
        <v>1704</v>
      </c>
    </row>
    <row r="4" spans="1:1" x14ac:dyDescent="0.2">
      <c r="A4" s="2" t="s">
        <v>1705</v>
      </c>
    </row>
    <row r="5" spans="1:1" x14ac:dyDescent="0.2">
      <c r="A5" s="2" t="s">
        <v>2</v>
      </c>
    </row>
    <row r="6" spans="1:1" x14ac:dyDescent="0.2">
      <c r="A6" s="2" t="s">
        <v>3</v>
      </c>
    </row>
    <row r="7" spans="1:1" x14ac:dyDescent="0.2">
      <c r="A7" s="2"/>
    </row>
    <row r="8" spans="1:1" ht="15" customHeight="1" x14ac:dyDescent="0.25">
      <c r="A8" s="1" t="s">
        <v>4</v>
      </c>
    </row>
    <row r="9" spans="1:1" x14ac:dyDescent="0.2">
      <c r="A9" s="2" t="s">
        <v>5</v>
      </c>
    </row>
    <row r="10" spans="1:1" x14ac:dyDescent="0.2">
      <c r="A10" s="2" t="s">
        <v>6</v>
      </c>
    </row>
    <row r="11" spans="1:1" x14ac:dyDescent="0.2">
      <c r="A11" s="2" t="s">
        <v>7</v>
      </c>
    </row>
    <row r="12" spans="1:1" x14ac:dyDescent="0.2">
      <c r="A12" s="2"/>
    </row>
    <row r="13" spans="1:1" ht="15" customHeight="1" x14ac:dyDescent="0.25">
      <c r="A13" s="1" t="s">
        <v>8</v>
      </c>
    </row>
    <row r="14" spans="1:1" x14ac:dyDescent="0.2">
      <c r="A14" s="2" t="s">
        <v>9</v>
      </c>
    </row>
    <row r="15" spans="1:1" x14ac:dyDescent="0.2">
      <c r="A15" s="2" t="s">
        <v>10</v>
      </c>
    </row>
    <row r="16" spans="1:1" x14ac:dyDescent="0.2">
      <c r="A16" s="2" t="s">
        <v>11</v>
      </c>
    </row>
    <row r="17" spans="1:1" x14ac:dyDescent="0.2">
      <c r="A17" s="2" t="s">
        <v>12</v>
      </c>
    </row>
    <row r="18" spans="1:1" x14ac:dyDescent="0.2">
      <c r="A18" s="2" t="s">
        <v>13</v>
      </c>
    </row>
    <row r="19" spans="1:1" x14ac:dyDescent="0.2">
      <c r="A19" s="2" t="s">
        <v>14</v>
      </c>
    </row>
    <row r="20" spans="1:1" x14ac:dyDescent="0.2">
      <c r="A20" s="2" t="s">
        <v>15</v>
      </c>
    </row>
    <row r="21" spans="1:1" x14ac:dyDescent="0.2">
      <c r="A21" s="2" t="s">
        <v>16</v>
      </c>
    </row>
    <row r="22" spans="1:1" ht="15" customHeight="1" x14ac:dyDescent="0.2">
      <c r="A22" s="2" t="s">
        <v>1692</v>
      </c>
    </row>
    <row r="23" spans="1:1" x14ac:dyDescent="0.2">
      <c r="A23" s="2" t="s">
        <v>17</v>
      </c>
    </row>
    <row r="24" spans="1:1" x14ac:dyDescent="0.2">
      <c r="A24" s="2"/>
    </row>
    <row r="25" spans="1:1" ht="15" x14ac:dyDescent="0.25">
      <c r="A25" s="1" t="s">
        <v>18</v>
      </c>
    </row>
    <row r="26" spans="1:1" x14ac:dyDescent="0.2">
      <c r="A26" s="2" t="s">
        <v>19</v>
      </c>
    </row>
    <row r="27" spans="1:1" x14ac:dyDescent="0.2">
      <c r="A27" s="2" t="s">
        <v>20</v>
      </c>
    </row>
    <row r="28" spans="1:1" x14ac:dyDescent="0.2">
      <c r="A28" s="2" t="s">
        <v>21</v>
      </c>
    </row>
    <row r="29" spans="1:1" x14ac:dyDescent="0.2">
      <c r="A29" s="2" t="s">
        <v>22</v>
      </c>
    </row>
    <row r="30" spans="1:1" x14ac:dyDescent="0.2">
      <c r="A30" s="2" t="s">
        <v>23</v>
      </c>
    </row>
    <row r="31" spans="1:1" x14ac:dyDescent="0.2">
      <c r="A31" s="2" t="s">
        <v>24</v>
      </c>
    </row>
    <row r="32" spans="1:1" x14ac:dyDescent="0.2">
      <c r="A32" s="2" t="s">
        <v>25</v>
      </c>
    </row>
    <row r="33" spans="1:1" x14ac:dyDescent="0.2">
      <c r="A33" s="2" t="s">
        <v>26</v>
      </c>
    </row>
    <row r="34" spans="1:1" x14ac:dyDescent="0.2">
      <c r="A34" s="2" t="s">
        <v>27</v>
      </c>
    </row>
    <row r="35" spans="1:1" ht="15" customHeight="1" x14ac:dyDescent="0.2">
      <c r="A35" s="2" t="s">
        <v>28</v>
      </c>
    </row>
    <row r="36" spans="1:1" x14ac:dyDescent="0.2">
      <c r="A36" s="2" t="s">
        <v>29</v>
      </c>
    </row>
    <row r="37" spans="1:1" x14ac:dyDescent="0.2">
      <c r="A37" s="2"/>
    </row>
    <row r="38" spans="1:1" ht="15" x14ac:dyDescent="0.25">
      <c r="A38" s="1" t="s">
        <v>30</v>
      </c>
    </row>
    <row r="39" spans="1:1" x14ac:dyDescent="0.2">
      <c r="A39" s="2" t="s">
        <v>31</v>
      </c>
    </row>
    <row r="40" spans="1:1" x14ac:dyDescent="0.2">
      <c r="A40" s="2" t="s">
        <v>32</v>
      </c>
    </row>
    <row r="41" spans="1:1" x14ac:dyDescent="0.2">
      <c r="A41" s="2" t="s">
        <v>33</v>
      </c>
    </row>
    <row r="42" spans="1:1" x14ac:dyDescent="0.2">
      <c r="A42" s="2" t="s">
        <v>34</v>
      </c>
    </row>
    <row r="43" spans="1:1" x14ac:dyDescent="0.2">
      <c r="A43" s="2" t="s">
        <v>35</v>
      </c>
    </row>
    <row r="44" spans="1:1" x14ac:dyDescent="0.2">
      <c r="A44" s="2" t="s">
        <v>36</v>
      </c>
    </row>
    <row r="45" spans="1:1" x14ac:dyDescent="0.2">
      <c r="A45" s="2" t="s">
        <v>37</v>
      </c>
    </row>
    <row r="46" spans="1:1" x14ac:dyDescent="0.2">
      <c r="A46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workbookViewId="0">
      <pane ySplit="3" topLeftCell="A4" activePane="bottomLeft" state="frozen"/>
      <selection pane="bottomLeft"/>
    </sheetView>
  </sheetViews>
  <sheetFormatPr defaultRowHeight="14.25" x14ac:dyDescent="0.2"/>
  <cols>
    <col min="1" max="1" width="44" customWidth="1"/>
    <col min="2" max="2" width="34" customWidth="1"/>
    <col min="3" max="3" width="12" customWidth="1"/>
    <col min="4" max="4" width="34" customWidth="1"/>
    <col min="5" max="5" width="16" customWidth="1"/>
  </cols>
  <sheetData>
    <row r="1" spans="1:5" ht="16.5" x14ac:dyDescent="0.25">
      <c r="A1" s="25" t="s">
        <v>39</v>
      </c>
    </row>
    <row r="2" spans="1:5" x14ac:dyDescent="0.2">
      <c r="A2" s="2" t="s">
        <v>1693</v>
      </c>
    </row>
    <row r="4" spans="1:5" ht="15" x14ac:dyDescent="0.25">
      <c r="A4" s="6" t="s">
        <v>40</v>
      </c>
      <c r="B4" s="26"/>
      <c r="C4" s="26"/>
      <c r="D4" s="26"/>
      <c r="E4" s="26"/>
    </row>
    <row r="5" spans="1:5" ht="15" x14ac:dyDescent="0.2">
      <c r="A5" s="27" t="s">
        <v>41</v>
      </c>
      <c r="B5" s="27" t="s">
        <v>42</v>
      </c>
      <c r="C5" s="27" t="s">
        <v>43</v>
      </c>
      <c r="D5" s="27" t="s">
        <v>44</v>
      </c>
      <c r="E5" s="27"/>
    </row>
    <row r="6" spans="1:5" x14ac:dyDescent="0.2">
      <c r="A6" s="28" t="s">
        <v>45</v>
      </c>
      <c r="B6" s="29">
        <f>Params!$C$2</f>
        <v>12222</v>
      </c>
      <c r="C6" s="28" t="s">
        <v>46</v>
      </c>
      <c r="D6" s="28" t="s">
        <v>47</v>
      </c>
    </row>
    <row r="7" spans="1:5" x14ac:dyDescent="0.2">
      <c r="A7" s="28" t="s">
        <v>48</v>
      </c>
      <c r="B7" s="29">
        <f>Params!$C$3</f>
        <v>222</v>
      </c>
      <c r="C7" s="28" t="s">
        <v>46</v>
      </c>
      <c r="D7" s="28" t="s">
        <v>49</v>
      </c>
    </row>
    <row r="8" spans="1:5" x14ac:dyDescent="0.2">
      <c r="A8" s="28" t="s">
        <v>50</v>
      </c>
      <c r="B8" s="29">
        <f>Params!$C$4</f>
        <v>1800</v>
      </c>
      <c r="C8" s="28" t="s">
        <v>46</v>
      </c>
      <c r="D8" s="28" t="s">
        <v>51</v>
      </c>
    </row>
    <row r="9" spans="1:5" x14ac:dyDescent="0.2">
      <c r="A9" s="28" t="s">
        <v>52</v>
      </c>
      <c r="B9" s="29">
        <f>Params!$C$7</f>
        <v>12</v>
      </c>
      <c r="C9" s="28" t="s">
        <v>53</v>
      </c>
      <c r="D9" s="28" t="s">
        <v>54</v>
      </c>
    </row>
    <row r="10" spans="1:5" x14ac:dyDescent="0.2">
      <c r="A10" s="28" t="s">
        <v>55</v>
      </c>
      <c r="B10" s="29">
        <f>Params!$C$10</f>
        <v>0.12</v>
      </c>
      <c r="C10" s="28" t="s">
        <v>56</v>
      </c>
      <c r="D10" s="28" t="s">
        <v>57</v>
      </c>
    </row>
    <row r="11" spans="1:5" x14ac:dyDescent="0.2">
      <c r="A11" s="28" t="s">
        <v>58</v>
      </c>
      <c r="B11" s="29">
        <f>Params!$C$11</f>
        <v>0.5</v>
      </c>
      <c r="C11" s="28" t="s">
        <v>59</v>
      </c>
      <c r="D11" s="28" t="s">
        <v>60</v>
      </c>
    </row>
    <row r="12" spans="1:5" x14ac:dyDescent="0.2">
      <c r="A12" s="28" t="s">
        <v>61</v>
      </c>
      <c r="B12" s="29">
        <f>Params!$C$12</f>
        <v>2</v>
      </c>
      <c r="C12" s="28" t="s">
        <v>62</v>
      </c>
      <c r="D12" s="28" t="s">
        <v>63</v>
      </c>
    </row>
    <row r="13" spans="1:5" x14ac:dyDescent="0.2">
      <c r="A13" s="28" t="s">
        <v>64</v>
      </c>
      <c r="B13" s="29" t="str">
        <f>Params!$C$18</f>
        <v>S3 - 40%</v>
      </c>
      <c r="C13" s="28" t="s">
        <v>65</v>
      </c>
      <c r="D13" s="28" t="s">
        <v>66</v>
      </c>
    </row>
    <row r="15" spans="1:5" ht="15" x14ac:dyDescent="0.25">
      <c r="A15" s="6" t="s">
        <v>67</v>
      </c>
      <c r="B15" s="26"/>
      <c r="C15" s="26"/>
      <c r="D15" s="26"/>
      <c r="E15" s="26"/>
    </row>
    <row r="16" spans="1:5" ht="15" x14ac:dyDescent="0.2">
      <c r="A16" s="27" t="s">
        <v>68</v>
      </c>
      <c r="B16" s="27" t="s">
        <v>69</v>
      </c>
      <c r="C16" s="27"/>
      <c r="D16" s="27" t="s">
        <v>70</v>
      </c>
      <c r="E16" s="27" t="s">
        <v>44</v>
      </c>
    </row>
    <row r="17" spans="1:5" ht="28.5" x14ac:dyDescent="0.2">
      <c r="A17" s="28" t="s">
        <v>71</v>
      </c>
      <c r="B17" s="30" t="str">
        <f>"SEW "&amp;Catalogue!$F$3&amp;" (IE3, 4 cực, 400 V/50 Hz)"</f>
        <v>SEW DRN80M4 (IE3, 4 cực, 400 V/50 Hz)</v>
      </c>
      <c r="C17" s="28"/>
      <c r="D17" s="30" t="str">
        <f>TEXT(Catalogue!$F$4,"0.00")&amp;" kW · "&amp;TEXT(Catalogue!$F$5,"0.00")&amp;" N·m · "&amp;Catalogue!$F$6&amp;" vg/ph · "&amp;TEXT(Catalogue!$F$7,"0.00")&amp;" A · λK = "&amp;Catalogue!$F$12</f>
        <v>0.75 kW · 4.95 N·m · 1440 vg/ph · 1.75 A · λK = 3.4</v>
      </c>
      <c r="E17" s="28" t="s">
        <v>72</v>
      </c>
    </row>
    <row r="18" spans="1:5" x14ac:dyDescent="0.2">
      <c r="A18" s="28" t="s">
        <v>73</v>
      </c>
      <c r="B18" s="28" t="s">
        <v>74</v>
      </c>
      <c r="C18" s="28"/>
      <c r="D18" s="30" t="str">
        <f>"i = "&amp;TEXT(GiaDinh_K3!$D$39,"0.00")&amp;" · M_a,max = "&amp;TEXT(GiaDinh_K3!$D$40,"#,##0")&amp;" N·m"</f>
        <v>i = 155.34 · M_a,max = 1,550 N·m</v>
      </c>
      <c r="E18" s="28" t="s">
        <v>75</v>
      </c>
    </row>
    <row r="19" spans="1:5" ht="28.5" x14ac:dyDescent="0.2">
      <c r="A19" s="28" t="s">
        <v>76</v>
      </c>
      <c r="B19" s="30" t="str">
        <f>"SEW "&amp;Catalogue!$F$16&amp;" thường đóng"</f>
        <v>SEW BE1 thường đóng</v>
      </c>
      <c r="C19" s="28"/>
      <c r="D19" s="30" t="str">
        <f>"M_B = "&amp;GiaDinh_K3!$D$20&amp;" N·m (cấp 10/7/5); thử mô-men giữ (QĐ-05)"</f>
        <v>M_B = 7 N·m (cấp 10/7/5); thử mô-men giữ (QĐ-05)</v>
      </c>
      <c r="E19" s="28" t="s">
        <v>77</v>
      </c>
    </row>
    <row r="20" spans="1:5" x14ac:dyDescent="0.2">
      <c r="A20" s="28" t="s">
        <v>78</v>
      </c>
      <c r="B20" s="28" t="s">
        <v>79</v>
      </c>
      <c r="C20" s="28"/>
      <c r="D20" s="30" t="str">
        <f>GiaDinh_K3!$D$33&amp;" chu kỳ/vòng"</f>
        <v>1024 chu kỳ/vòng</v>
      </c>
      <c r="E20" s="28" t="s">
        <v>80</v>
      </c>
    </row>
    <row r="21" spans="1:5" ht="28.5" x14ac:dyDescent="0.2">
      <c r="A21" s="28" t="s">
        <v>81</v>
      </c>
      <c r="B21" s="30" t="str">
        <f>"ABB "&amp;Catalogue!$F$18</f>
        <v>ABB ACS380-04xS-03A3-4</v>
      </c>
      <c r="C21" s="28"/>
      <c r="D21" s="30" t="str">
        <f>"I_N = "&amp;Catalogue!$F$19&amp;" A · I_Hd = "&amp;Catalogue!$F$21&amp;" A · I_max = "&amp;Catalogue!$F$23&amp;" A"</f>
        <v>I_N = 3.3 A · I_Hd = 2.6 A · I_max = 4.7 A</v>
      </c>
      <c r="E21" s="28" t="s">
        <v>82</v>
      </c>
    </row>
    <row r="22" spans="1:5" ht="28.5" x14ac:dyDescent="0.2">
      <c r="A22" s="28" t="s">
        <v>83</v>
      </c>
      <c r="B22" s="28" t="s">
        <v>84</v>
      </c>
      <c r="C22" s="28"/>
      <c r="D22" s="30" t="str">
        <f>GiaDinh_K3!$D$42&amp;" Ω · "&amp;GiaDinh_K3!$D$60&amp;" W · có công tắc nhiệt"</f>
        <v>210 Ω · 200 W · có công tắc nhiệt</v>
      </c>
      <c r="E22" s="28" t="s">
        <v>85</v>
      </c>
    </row>
    <row r="23" spans="1:5" ht="28.5" x14ac:dyDescent="0.2">
      <c r="A23" s="28" t="s">
        <v>86</v>
      </c>
      <c r="B23" s="28" t="s">
        <v>87</v>
      </c>
      <c r="C23" s="28"/>
      <c r="D23" s="30" t="str">
        <f>"3 pha "&amp;Params!$C$20&amp;" V ±"&amp;TEXT(GiaDinh_K3!$D$5,"0%")</f>
        <v>3 pha 380 V ±10%</v>
      </c>
      <c r="E23" s="28" t="s">
        <v>88</v>
      </c>
    </row>
    <row r="24" spans="1:5" ht="28.5" x14ac:dyDescent="0.2">
      <c r="A24" s="28" t="s">
        <v>89</v>
      </c>
      <c r="B24" s="28" t="s">
        <v>90</v>
      </c>
      <c r="C24" s="28"/>
      <c r="D24" s="30" t="str">
        <f>"a* = "&amp;GiaDinh_K3!$D$11&amp;" m/s² · ρ* = "&amp;GiaDinh_K3!$D$12&amp;" m/s³ · v_bò = "&amp;TEXT('Tính chọn'!$D$172,"0.000")&amp;" m/s"</f>
        <v>a* = 0.45 m/s² · ρ* = 1.8 m/s³ · v_bò = 0.033 m/s</v>
      </c>
      <c r="E24" s="28" t="s">
        <v>91</v>
      </c>
    </row>
    <row r="26" spans="1:5" ht="15" x14ac:dyDescent="0.25">
      <c r="A26" s="6" t="s">
        <v>92</v>
      </c>
      <c r="B26" s="26"/>
      <c r="C26" s="26"/>
      <c r="D26" s="26"/>
      <c r="E26" s="26"/>
    </row>
    <row r="27" spans="1:5" ht="15" x14ac:dyDescent="0.2">
      <c r="A27" s="27" t="s">
        <v>41</v>
      </c>
      <c r="B27" s="27" t="s">
        <v>42</v>
      </c>
      <c r="C27" s="27" t="s">
        <v>43</v>
      </c>
      <c r="D27" s="27" t="s">
        <v>93</v>
      </c>
      <c r="E27" s="27" t="s">
        <v>94</v>
      </c>
    </row>
    <row r="28" spans="1:5" x14ac:dyDescent="0.2">
      <c r="A28" s="28" t="s">
        <v>95</v>
      </c>
      <c r="B28" s="31">
        <f>'Tính chọn'!$D$5</f>
        <v>2096.0046000000002</v>
      </c>
      <c r="C28" s="28" t="s">
        <v>96</v>
      </c>
      <c r="D28" s="30" t="str">
        <f>"w₀ = "&amp;Params!$C$14&amp;" (không dùng φ = "&amp;TEXT(Params!$C$15,"0.00")&amp;")"</f>
        <v>w₀ = 0.015 (không dùng φ = 0.20)</v>
      </c>
      <c r="E28" s="28" t="s">
        <v>97</v>
      </c>
    </row>
    <row r="29" spans="1:5" x14ac:dyDescent="0.2">
      <c r="A29" s="28" t="s">
        <v>98</v>
      </c>
      <c r="B29" s="31">
        <f>'Tính chọn'!$D$10</f>
        <v>9218.0046000000002</v>
      </c>
      <c r="C29" s="28" t="s">
        <v>96</v>
      </c>
      <c r="D29" s="28" t="s">
        <v>99</v>
      </c>
      <c r="E29" s="28" t="s">
        <v>100</v>
      </c>
    </row>
    <row r="30" spans="1:5" x14ac:dyDescent="0.2">
      <c r="A30" s="28" t="s">
        <v>101</v>
      </c>
      <c r="B30" s="31" t="str">
        <f>TEXT('Tính chọn'!$D$7,"0")&amp;" / "&amp;TEXT('Tính chọn'!$D$11,"0")</f>
        <v>279 / 1229</v>
      </c>
      <c r="C30" s="28" t="s">
        <v>102</v>
      </c>
      <c r="D30" s="28"/>
      <c r="E30" s="28"/>
    </row>
    <row r="31" spans="1:5" x14ac:dyDescent="0.2">
      <c r="A31" s="28" t="s">
        <v>103</v>
      </c>
      <c r="B31" s="31" t="str">
        <f>TEXT('Tính chọn'!$D$19,"0.00")&amp;" / "&amp;TEXT('Tính chọn'!$D$20,"0.00")</f>
        <v>157.08 / 155.34</v>
      </c>
      <c r="C31" s="28" t="s">
        <v>65</v>
      </c>
      <c r="D31" s="30" t="str">
        <f>"Δv = "&amp;TEXT('Tính chọn'!$D$21,"0.0%")&amp;" (≤ "&amp;TEXT('Kiểm tra'!$D$32,"0%")&amp;")"</f>
        <v>Δv = 1.1% (≤ 5%)</v>
      </c>
      <c r="E31" s="28" t="s">
        <v>104</v>
      </c>
    </row>
    <row r="32" spans="1:5" x14ac:dyDescent="0.2">
      <c r="A32" s="28" t="s">
        <v>105</v>
      </c>
      <c r="B32" s="31" t="str">
        <f>TEXT('Tính chọn'!$D$30,"0.00000")&amp;" / "&amp;TEXT('Tính chọn'!$D$31,"0.00000")</f>
        <v>0.01323 / 0.00413</v>
      </c>
      <c r="C32" s="28" t="s">
        <v>106</v>
      </c>
      <c r="D32" s="28"/>
      <c r="E32" s="28"/>
    </row>
    <row r="33" spans="1:5" x14ac:dyDescent="0.2">
      <c r="A33" s="28" t="s">
        <v>107</v>
      </c>
      <c r="B33" s="31">
        <f>'Tính chọn'!$D$33</f>
        <v>10.824908073610574</v>
      </c>
      <c r="C33" s="28" t="s">
        <v>108</v>
      </c>
      <c r="D33" s="30" t="str">
        <f>"= "&amp;TEXT('Tính chọn'!$D$35,"0.00")&amp;"·M_N"</f>
        <v>= 2.19·M_N</v>
      </c>
      <c r="E33" s="28"/>
    </row>
    <row r="34" spans="1:5" x14ac:dyDescent="0.2">
      <c r="A34" s="28" t="s">
        <v>109</v>
      </c>
      <c r="B34" s="31">
        <f>'Tính chọn'!$D$36</f>
        <v>2.4854849999999997</v>
      </c>
      <c r="C34" s="28" t="s">
        <v>65</v>
      </c>
      <c r="D34" s="30" t="str">
        <f>"biên "&amp;TEXT('Tính chọn'!$D$36/'Tính chọn'!$D$35,"0.00")</f>
        <v>biên 1.14</v>
      </c>
      <c r="E34" s="28" t="s">
        <v>110</v>
      </c>
    </row>
    <row r="35" spans="1:5" x14ac:dyDescent="0.2">
      <c r="A35" s="28" t="s">
        <v>111</v>
      </c>
      <c r="B35" s="31">
        <f>'Tính chọn'!$D$58</f>
        <v>1.3781619066005857</v>
      </c>
      <c r="C35" s="28" t="s">
        <v>108</v>
      </c>
      <c r="D35" s="28"/>
      <c r="E35" s="28"/>
    </row>
    <row r="36" spans="1:5" x14ac:dyDescent="0.2">
      <c r="A36" s="28" t="s">
        <v>112</v>
      </c>
      <c r="B36" s="31">
        <f>'Tính chọn'!$D$60</f>
        <v>3.6088589793413579</v>
      </c>
      <c r="C36" s="28" t="s">
        <v>65</v>
      </c>
      <c r="D36" s="30" t="str">
        <f>"≥ "&amp;TEXT('Kiểm tra'!$D$8,"0.00")&amp;" (SRS A.1)"</f>
        <v>≥ 1.20 (SRS A.1)</v>
      </c>
      <c r="E36" s="28" t="s">
        <v>113</v>
      </c>
    </row>
    <row r="37" spans="1:5" x14ac:dyDescent="0.2">
      <c r="A37" s="28" t="s">
        <v>114</v>
      </c>
      <c r="B37" s="31" t="str">
        <f>TEXT('Tính chọn'!$D$13,"0.000")&amp;" / "&amp;TEXT('Tính chọn'!$D$16,"0.000")</f>
        <v>1.516 / 1.516</v>
      </c>
      <c r="C37" s="28" t="s">
        <v>65</v>
      </c>
      <c r="D37" s="30" t="str">
        <f>"≥ "&amp;TEXT('Kiểm tra'!$D$3,"0.00")</f>
        <v>≥ 1.20</v>
      </c>
      <c r="E37" s="28" t="s">
        <v>115</v>
      </c>
    </row>
    <row r="38" spans="1:5" x14ac:dyDescent="0.2">
      <c r="A38" s="28" t="s">
        <v>116</v>
      </c>
      <c r="B38" s="31">
        <f>'Tính chọn'!$D$71</f>
        <v>3.3160408607307961</v>
      </c>
      <c r="C38" s="28" t="s">
        <v>117</v>
      </c>
      <c r="D38" s="30" t="str">
        <f>"≤ 1.5·I_Hd = "&amp;TEXT('Tính chọn'!$D$72,"0.00")</f>
        <v>≤ 1.5·I_Hd = 3.90</v>
      </c>
      <c r="E38" s="28" t="s">
        <v>118</v>
      </c>
    </row>
    <row r="39" spans="1:5" x14ac:dyDescent="0.2">
      <c r="A39" s="28" t="s">
        <v>119</v>
      </c>
      <c r="B39" s="31">
        <f>'Tính chọn'!$D$75</f>
        <v>436.48779754821589</v>
      </c>
      <c r="C39" s="28" t="s">
        <v>102</v>
      </c>
      <c r="D39" s="30" t="str">
        <f>"≤ P_BR,max = "&amp;TEXT(Catalogue!$F$27*1000,"0")&amp;" W"</f>
        <v>≤ P_BR,max = 1130 W</v>
      </c>
      <c r="E39" s="28" t="s">
        <v>120</v>
      </c>
    </row>
    <row r="40" spans="1:5" x14ac:dyDescent="0.2">
      <c r="A40" s="28" t="s">
        <v>121</v>
      </c>
      <c r="B40" s="31">
        <f>'Tính chọn'!$D$234</f>
        <v>724.48590472226908</v>
      </c>
      <c r="C40" s="28" t="s">
        <v>102</v>
      </c>
      <c r="D40" s="30" t="str">
        <f>"biên "&amp;TEXT('Tính chọn'!$D$235,"0.00")</f>
        <v>biên 1.56</v>
      </c>
      <c r="E40" s="28" t="s">
        <v>122</v>
      </c>
    </row>
    <row r="41" spans="1:5" x14ac:dyDescent="0.2">
      <c r="A41" s="28" t="s">
        <v>123</v>
      </c>
      <c r="B41" s="31" t="str">
        <f>"["&amp;TEXT('Tính chọn'!$D$78,"0")&amp;"; "&amp;TEXT('Tính chọn'!$D$77,"0")&amp;"]"</f>
        <v>[99; 428]</v>
      </c>
      <c r="C41" s="28" t="s">
        <v>124</v>
      </c>
      <c r="D41" s="30" t="str">
        <f>"chọn "&amp;GiaDinh_K3!$D$42&amp;" Ω"</f>
        <v>chọn 210 Ω</v>
      </c>
      <c r="E41" s="28" t="s">
        <v>125</v>
      </c>
    </row>
    <row r="42" spans="1:5" x14ac:dyDescent="0.2">
      <c r="A42" s="28" t="s">
        <v>126</v>
      </c>
      <c r="B42" s="31">
        <f>'Tính chọn'!$D$82</f>
        <v>59.41488770073753</v>
      </c>
      <c r="C42" s="28" t="s">
        <v>127</v>
      </c>
      <c r="D42" s="30" t="str">
        <f>"E_C tụ = "&amp;TEXT('Tính chọn'!$D$213,"0.0")&amp;" J"</f>
        <v>E_C tụ = 15.5 J</v>
      </c>
      <c r="E42" s="28" t="s">
        <v>128</v>
      </c>
    </row>
    <row r="43" spans="1:5" x14ac:dyDescent="0.2">
      <c r="A43" s="28" t="s">
        <v>129</v>
      </c>
      <c r="B43" s="31" t="str">
        <f>"["&amp;TEXT('Tính chọn'!$D$88,"0.00")&amp;"; "&amp;TEXT('Tính chọn'!$D$89,"0.00")&amp;"]"</f>
        <v>[5.94; 10.12]</v>
      </c>
      <c r="C43" s="28" t="s">
        <v>108</v>
      </c>
      <c r="D43" s="30" t="str">
        <f>"chọn "&amp;GiaDinh_K3!$D$20&amp;" N·m"</f>
        <v>chọn 7 N·m</v>
      </c>
      <c r="E43" s="28" t="s">
        <v>130</v>
      </c>
    </row>
    <row r="44" spans="1:5" x14ac:dyDescent="0.2">
      <c r="A44" s="28" t="s">
        <v>131</v>
      </c>
      <c r="B44" s="31" t="str">
        <f>TEXT('Tính chọn'!$D$39,"0.000")&amp;" / "&amp;TEXT('Tính chọn'!$D$40,"0.0000")&amp;" / "&amp;TEXT('Tính chọn'!$D$41,"0.0000")</f>
        <v>0.250 / 0.0167 / 0.5167</v>
      </c>
      <c r="C44" s="28" t="s">
        <v>132</v>
      </c>
      <c r="D44" s="28"/>
      <c r="E44" s="28" t="s">
        <v>133</v>
      </c>
    </row>
    <row r="45" spans="1:5" x14ac:dyDescent="0.2">
      <c r="A45" s="28" t="s">
        <v>134</v>
      </c>
      <c r="B45" s="31" t="str">
        <f>TEXT('Tính chọn'!$D$128,"0.00")&amp;" V/A / "&amp;TEXT('Tính chọn'!$D$129*1000,"0.00")&amp;" ms"</f>
        <v>108.36 V/A / 5.55 ms</v>
      </c>
      <c r="C45" s="28"/>
      <c r="D45" s="30" t="str">
        <f>"Δt_torque = "&amp;TEXT('Tính chọn'!$D$131*1000,"0.00")&amp;" ms"</f>
        <v>Δt_torque = 1.76 ms</v>
      </c>
      <c r="E45" s="28" t="s">
        <v>135</v>
      </c>
    </row>
    <row r="46" spans="1:5" x14ac:dyDescent="0.2">
      <c r="A46" s="28" t="s">
        <v>136</v>
      </c>
      <c r="B46" s="31" t="str">
        <f>TEXT('Tính chọn'!$D$135,"0.0000")&amp;" A·s/rad / "&amp;TEXT('Tính chọn'!$D$136*1000,"0.00")&amp;" ms"</f>
        <v>0.7145 A·s/rad / 7.00 ms</v>
      </c>
      <c r="C46" s="28"/>
      <c r="D46" s="30" t="str">
        <f>"PM = "&amp;TEXT('Tính chọn'!$D$152,"0.0")&amp;"° (đầy) / "&amp;TEXT('Tính chọn'!$D$166,"0.0")&amp;"° (không)"</f>
        <v>PM = 34.6° (đầy) / 34.6° (không)</v>
      </c>
      <c r="E46" s="28" t="s">
        <v>137</v>
      </c>
    </row>
    <row r="47" spans="1:5" x14ac:dyDescent="0.2">
      <c r="A47" s="28" t="s">
        <v>138</v>
      </c>
      <c r="B47" s="31">
        <f>'Tính chọn'!$D$199</f>
        <v>0.80389797711496291</v>
      </c>
      <c r="C47" s="28" t="s">
        <v>65</v>
      </c>
      <c r="D47" s="30" t="str">
        <f>"I_s,fw = "&amp;TEXT('Tính chọn'!$D$208,"0.00")&amp;" A ≤ "&amp;TEXT('Tính chọn'!$D$72,"0.00")&amp;" A"</f>
        <v>I_s,fw = 2.25 A ≤ 3.90 A</v>
      </c>
      <c r="E47" s="28" t="s">
        <v>139</v>
      </c>
    </row>
    <row r="49" spans="1:5" ht="15" x14ac:dyDescent="0.25">
      <c r="A49" s="6" t="s">
        <v>140</v>
      </c>
      <c r="B49" s="26"/>
      <c r="C49" s="26"/>
      <c r="D49" s="26"/>
      <c r="E49" s="26"/>
    </row>
    <row r="50" spans="1:5" x14ac:dyDescent="0.2">
      <c r="A50" s="28" t="s">
        <v>141</v>
      </c>
      <c r="B50" s="45" t="str">
        <f>COUNTIF('Kiểm tra'!$E$2:$E$44,"Đạt")&amp;" / "&amp;COUNTA('Kiểm tra'!$A$2:$A$44)</f>
        <v>40 / 43</v>
      </c>
      <c r="C50" s="46"/>
      <c r="D50" s="46"/>
      <c r="E50" s="47"/>
    </row>
    <row r="51" spans="1:5" x14ac:dyDescent="0.2">
      <c r="A51" s="28" t="s">
        <v>142</v>
      </c>
      <c r="B51" s="45">
        <f>COUNTIF('Kiểm tra'!$E$2:$E$44,"Không áp dụng*")</f>
        <v>2</v>
      </c>
      <c r="C51" s="46"/>
      <c r="D51" s="46"/>
      <c r="E51" s="47"/>
    </row>
    <row r="52" spans="1:5" x14ac:dyDescent="0.2">
      <c r="A52" s="28" t="s">
        <v>143</v>
      </c>
      <c r="B52" s="45">
        <f>COUNTIF('Kiểm tra'!$E$2:$E$44,"TBD*")</f>
        <v>1</v>
      </c>
      <c r="C52" s="46"/>
      <c r="D52" s="46"/>
      <c r="E52" s="47"/>
    </row>
    <row r="53" spans="1:5" x14ac:dyDescent="0.2">
      <c r="A53" s="28" t="s">
        <v>144</v>
      </c>
      <c r="B53" s="45">
        <f>COUNTIF('Kiểm tra'!$E$2:$E$44,"Không đạt*")</f>
        <v>0</v>
      </c>
      <c r="C53" s="46"/>
      <c r="D53" s="46"/>
      <c r="E53" s="47"/>
    </row>
    <row r="54" spans="1:5" x14ac:dyDescent="0.2">
      <c r="A54" s="28" t="s">
        <v>145</v>
      </c>
      <c r="B54" s="45" t="str">
        <f>COUNTIF(WCCA!$B$18:$I$18,"Đạt")&amp;" / 8"</f>
        <v>8 / 8</v>
      </c>
      <c r="C54" s="46"/>
      <c r="D54" s="46"/>
      <c r="E54" s="47"/>
    </row>
    <row r="55" spans="1:5" x14ac:dyDescent="0.2">
      <c r="A55" s="28" t="s">
        <v>146</v>
      </c>
      <c r="B55" s="45">
        <f>MIN(WCCA!$B$12:$I$12)</f>
        <v>1.0236500643595805</v>
      </c>
      <c r="C55" s="46"/>
      <c r="D55" s="46"/>
      <c r="E55" s="47"/>
    </row>
    <row r="56" spans="1:5" ht="15" x14ac:dyDescent="0.2">
      <c r="A56" s="32" t="s">
        <v>147</v>
      </c>
      <c r="B56" s="45" t="str">
        <f>IF(AND(COUNTIF('Kiểm tra'!$E$2:$E$44,"Không đạt*")=0,COUNTIF(WCCA!$B$18:$I$18,"Đạt")=8),"ĐẠT — cấu hình chốt thỏa mọi kiểm tra phương pháp A; kiểm chứng S (KT-32) chờ Khối 4–5","XEM LẠI — có mục Không đạt trong Kiểm tra / WCCA")</f>
        <v>ĐẠT — cấu hình chốt thỏa mọi kiểm tra phương pháp A; kiểm chứng S (KT-32) chờ Khối 4–5</v>
      </c>
      <c r="C56" s="46"/>
      <c r="D56" s="46"/>
      <c r="E56" s="47"/>
    </row>
    <row r="58" spans="1:5" x14ac:dyDescent="0.2">
      <c r="A58" s="2" t="s">
        <v>148</v>
      </c>
    </row>
    <row r="59" spans="1:5" x14ac:dyDescent="0.2">
      <c r="A59" s="2" t="s">
        <v>149</v>
      </c>
    </row>
  </sheetData>
  <mergeCells count="7">
    <mergeCell ref="B56:E56"/>
    <mergeCell ref="B53:E53"/>
    <mergeCell ref="B50:E50"/>
    <mergeCell ref="B52:E52"/>
    <mergeCell ref="B54:E54"/>
    <mergeCell ref="B55:E55"/>
    <mergeCell ref="B51:E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" customWidth="1"/>
    <col min="2" max="2" width="12" customWidth="1"/>
    <col min="3" max="3" width="14" customWidth="1"/>
    <col min="4" max="4" width="10" customWidth="1"/>
    <col min="5" max="5" width="12" customWidth="1"/>
    <col min="6" max="6" width="26" customWidth="1"/>
    <col min="7" max="7" width="48" customWidth="1"/>
    <col min="8" max="8" width="40" customWidth="1"/>
  </cols>
  <sheetData>
    <row r="1" spans="1:8" ht="15" customHeight="1" x14ac:dyDescent="0.2">
      <c r="A1" s="3" t="s">
        <v>150</v>
      </c>
      <c r="B1" s="3" t="s">
        <v>151</v>
      </c>
      <c r="C1" s="3" t="s">
        <v>42</v>
      </c>
      <c r="D1" s="3" t="s">
        <v>43</v>
      </c>
      <c r="E1" s="3" t="s">
        <v>152</v>
      </c>
      <c r="F1" s="3" t="s">
        <v>153</v>
      </c>
      <c r="G1" s="3" t="s">
        <v>44</v>
      </c>
      <c r="H1" s="3" t="s">
        <v>154</v>
      </c>
    </row>
    <row r="2" spans="1:8" x14ac:dyDescent="0.2">
      <c r="A2" s="4" t="s">
        <v>155</v>
      </c>
      <c r="B2" s="4" t="s">
        <v>156</v>
      </c>
      <c r="C2" s="5">
        <v>12222</v>
      </c>
      <c r="D2" s="4" t="s">
        <v>46</v>
      </c>
      <c r="E2" s="4" t="s">
        <v>157</v>
      </c>
      <c r="F2" s="4" t="s">
        <v>158</v>
      </c>
      <c r="G2" s="4" t="s">
        <v>159</v>
      </c>
      <c r="H2" s="4" t="s">
        <v>160</v>
      </c>
    </row>
    <row r="3" spans="1:8" x14ac:dyDescent="0.2">
      <c r="A3" s="4" t="s">
        <v>161</v>
      </c>
      <c r="B3" s="4" t="s">
        <v>162</v>
      </c>
      <c r="C3" s="5">
        <v>222</v>
      </c>
      <c r="D3" s="4" t="s">
        <v>46</v>
      </c>
      <c r="E3" s="4" t="s">
        <v>157</v>
      </c>
      <c r="F3" s="4" t="s">
        <v>158</v>
      </c>
      <c r="G3" s="4" t="s">
        <v>163</v>
      </c>
      <c r="H3" s="4" t="s">
        <v>164</v>
      </c>
    </row>
    <row r="4" spans="1:8" x14ac:dyDescent="0.2">
      <c r="A4" s="4" t="s">
        <v>165</v>
      </c>
      <c r="B4" s="4" t="s">
        <v>166</v>
      </c>
      <c r="C4" s="5">
        <v>1800</v>
      </c>
      <c r="D4" s="4" t="s">
        <v>46</v>
      </c>
      <c r="E4" s="4" t="s">
        <v>167</v>
      </c>
      <c r="F4" s="4" t="s">
        <v>158</v>
      </c>
      <c r="G4" s="4" t="s">
        <v>168</v>
      </c>
      <c r="H4" s="4" t="s">
        <v>169</v>
      </c>
    </row>
    <row r="5" spans="1:8" x14ac:dyDescent="0.2">
      <c r="A5" s="4" t="s">
        <v>170</v>
      </c>
      <c r="B5" s="4" t="s">
        <v>171</v>
      </c>
      <c r="C5" s="4">
        <f>$C$2+$C$3+$C$4</f>
        <v>14244</v>
      </c>
      <c r="D5" s="4" t="s">
        <v>46</v>
      </c>
      <c r="E5" s="4" t="s">
        <v>172</v>
      </c>
      <c r="F5" s="4" t="s">
        <v>158</v>
      </c>
      <c r="G5" s="4" t="s">
        <v>173</v>
      </c>
      <c r="H5" s="4" t="s">
        <v>174</v>
      </c>
    </row>
    <row r="6" spans="1:8" x14ac:dyDescent="0.2">
      <c r="A6" s="4" t="s">
        <v>175</v>
      </c>
      <c r="B6" s="4" t="s">
        <v>176</v>
      </c>
      <c r="C6" s="4">
        <f>$C$3+$C$4</f>
        <v>2022</v>
      </c>
      <c r="D6" s="4" t="s">
        <v>46</v>
      </c>
      <c r="E6" s="4" t="s">
        <v>172</v>
      </c>
      <c r="F6" s="4" t="s">
        <v>158</v>
      </c>
      <c r="G6" s="4" t="s">
        <v>177</v>
      </c>
      <c r="H6" s="4" t="s">
        <v>178</v>
      </c>
    </row>
    <row r="7" spans="1:8" x14ac:dyDescent="0.2">
      <c r="A7" s="4" t="s">
        <v>179</v>
      </c>
      <c r="B7" s="4" t="s">
        <v>180</v>
      </c>
      <c r="C7" s="5">
        <v>12</v>
      </c>
      <c r="D7" s="4" t="s">
        <v>53</v>
      </c>
      <c r="E7" s="4" t="s">
        <v>157</v>
      </c>
      <c r="F7" s="4" t="s">
        <v>181</v>
      </c>
      <c r="G7" s="4" t="s">
        <v>163</v>
      </c>
      <c r="H7" s="4" t="s">
        <v>182</v>
      </c>
    </row>
    <row r="8" spans="1:8" x14ac:dyDescent="0.2">
      <c r="A8" s="4" t="s">
        <v>183</v>
      </c>
      <c r="B8" s="4" t="s">
        <v>184</v>
      </c>
      <c r="C8" s="4">
        <f>SQRT($C$19/$C$7)</f>
        <v>0.90415706600125623</v>
      </c>
      <c r="D8" s="4" t="s">
        <v>185</v>
      </c>
      <c r="E8" s="4" t="s">
        <v>172</v>
      </c>
      <c r="F8" s="4" t="s">
        <v>181</v>
      </c>
      <c r="G8" s="4" t="s">
        <v>186</v>
      </c>
      <c r="H8" s="4" t="s">
        <v>187</v>
      </c>
    </row>
    <row r="9" spans="1:8" x14ac:dyDescent="0.2">
      <c r="A9" s="4" t="s">
        <v>188</v>
      </c>
      <c r="B9" s="4" t="s">
        <v>189</v>
      </c>
      <c r="C9" s="4">
        <f>2*PI()/$C$8</f>
        <v>6.9492188287237875</v>
      </c>
      <c r="D9" s="4" t="s">
        <v>132</v>
      </c>
      <c r="E9" s="4" t="s">
        <v>172</v>
      </c>
      <c r="F9" s="4" t="s">
        <v>181</v>
      </c>
      <c r="G9" s="4" t="s">
        <v>190</v>
      </c>
      <c r="H9" s="4" t="s">
        <v>191</v>
      </c>
    </row>
    <row r="10" spans="1:8" x14ac:dyDescent="0.2">
      <c r="A10" s="4" t="s">
        <v>192</v>
      </c>
      <c r="B10" s="4" t="s">
        <v>193</v>
      </c>
      <c r="C10" s="5">
        <v>0.12</v>
      </c>
      <c r="D10" s="4" t="s">
        <v>56</v>
      </c>
      <c r="E10" s="4" t="s">
        <v>157</v>
      </c>
      <c r="F10" s="4" t="s">
        <v>194</v>
      </c>
      <c r="G10" s="4" t="s">
        <v>163</v>
      </c>
      <c r="H10" s="4" t="s">
        <v>195</v>
      </c>
    </row>
    <row r="11" spans="1:8" x14ac:dyDescent="0.2">
      <c r="A11" s="4" t="s">
        <v>196</v>
      </c>
      <c r="B11" s="4" t="s">
        <v>197</v>
      </c>
      <c r="C11" s="5">
        <v>0.5</v>
      </c>
      <c r="D11" s="4" t="s">
        <v>59</v>
      </c>
      <c r="E11" s="4" t="s">
        <v>157</v>
      </c>
      <c r="F11" s="4" t="s">
        <v>198</v>
      </c>
      <c r="G11" s="4" t="s">
        <v>199</v>
      </c>
      <c r="H11" s="4" t="s">
        <v>200</v>
      </c>
    </row>
    <row r="12" spans="1:8" x14ac:dyDescent="0.2">
      <c r="A12" s="4" t="s">
        <v>201</v>
      </c>
      <c r="B12" s="4" t="s">
        <v>202</v>
      </c>
      <c r="C12" s="5">
        <v>2</v>
      </c>
      <c r="D12" s="4" t="s">
        <v>62</v>
      </c>
      <c r="E12" s="4" t="s">
        <v>157</v>
      </c>
      <c r="F12" s="4" t="s">
        <v>198</v>
      </c>
      <c r="G12" s="4" t="s">
        <v>199</v>
      </c>
      <c r="H12" s="4" t="s">
        <v>203</v>
      </c>
    </row>
    <row r="13" spans="1:8" x14ac:dyDescent="0.2">
      <c r="A13" s="4" t="s">
        <v>204</v>
      </c>
      <c r="B13" s="4" t="s">
        <v>205</v>
      </c>
      <c r="C13" s="5">
        <v>0.25</v>
      </c>
      <c r="D13" s="4" t="s">
        <v>53</v>
      </c>
      <c r="E13" s="4" t="s">
        <v>167</v>
      </c>
      <c r="F13" s="4" t="s">
        <v>206</v>
      </c>
      <c r="G13" s="4" t="s">
        <v>207</v>
      </c>
      <c r="H13" s="4" t="s">
        <v>208</v>
      </c>
    </row>
    <row r="14" spans="1:8" x14ac:dyDescent="0.2">
      <c r="A14" s="4" t="s">
        <v>209</v>
      </c>
      <c r="B14" s="4" t="s">
        <v>210</v>
      </c>
      <c r="C14" s="5">
        <v>1.4999999999999999E-2</v>
      </c>
      <c r="D14" s="4" t="s">
        <v>65</v>
      </c>
      <c r="E14" s="4" t="s">
        <v>167</v>
      </c>
      <c r="F14" s="4" t="s">
        <v>158</v>
      </c>
      <c r="G14" s="4" t="s">
        <v>211</v>
      </c>
      <c r="H14" s="4" t="s">
        <v>212</v>
      </c>
    </row>
    <row r="15" spans="1:8" x14ac:dyDescent="0.2">
      <c r="A15" s="4" t="s">
        <v>213</v>
      </c>
      <c r="B15" s="4" t="s">
        <v>214</v>
      </c>
      <c r="C15" s="5">
        <v>0.2</v>
      </c>
      <c r="D15" s="4" t="s">
        <v>65</v>
      </c>
      <c r="E15" s="4" t="s">
        <v>167</v>
      </c>
      <c r="F15" s="4" t="s">
        <v>158</v>
      </c>
      <c r="G15" s="4" t="s">
        <v>215</v>
      </c>
      <c r="H15" s="4" t="s">
        <v>216</v>
      </c>
    </row>
    <row r="16" spans="1:8" x14ac:dyDescent="0.2">
      <c r="A16" s="4" t="s">
        <v>217</v>
      </c>
      <c r="B16" s="4" t="s">
        <v>218</v>
      </c>
      <c r="C16" s="5">
        <v>0.9</v>
      </c>
      <c r="D16" s="4" t="s">
        <v>65</v>
      </c>
      <c r="E16" s="4" t="s">
        <v>167</v>
      </c>
      <c r="F16" s="4" t="s">
        <v>158</v>
      </c>
      <c r="G16" s="4" t="s">
        <v>219</v>
      </c>
      <c r="H16" s="4" t="s">
        <v>220</v>
      </c>
    </row>
    <row r="17" spans="1:8" x14ac:dyDescent="0.2">
      <c r="A17" s="4" t="s">
        <v>221</v>
      </c>
      <c r="B17" s="4" t="s">
        <v>222</v>
      </c>
      <c r="C17" s="5">
        <v>150</v>
      </c>
      <c r="D17" s="4" t="s">
        <v>65</v>
      </c>
      <c r="E17" s="4" t="s">
        <v>167</v>
      </c>
      <c r="F17" s="4" t="s">
        <v>206</v>
      </c>
      <c r="G17" s="4" t="s">
        <v>223</v>
      </c>
      <c r="H17" s="4" t="s">
        <v>224</v>
      </c>
    </row>
    <row r="18" spans="1:8" x14ac:dyDescent="0.2">
      <c r="A18" s="4" t="s">
        <v>66</v>
      </c>
      <c r="B18" s="4" t="s">
        <v>225</v>
      </c>
      <c r="C18" s="5" t="s">
        <v>226</v>
      </c>
      <c r="D18" s="4" t="s">
        <v>65</v>
      </c>
      <c r="E18" s="4" t="s">
        <v>167</v>
      </c>
      <c r="F18" s="4" t="s">
        <v>227</v>
      </c>
      <c r="G18" s="4" t="s">
        <v>228</v>
      </c>
      <c r="H18" s="4" t="s">
        <v>229</v>
      </c>
    </row>
    <row r="19" spans="1:8" x14ac:dyDescent="0.2">
      <c r="A19" s="4" t="s">
        <v>230</v>
      </c>
      <c r="B19" s="4" t="s">
        <v>231</v>
      </c>
      <c r="C19" s="5">
        <v>9.81</v>
      </c>
      <c r="D19" s="4" t="s">
        <v>59</v>
      </c>
      <c r="E19" s="4" t="s">
        <v>167</v>
      </c>
      <c r="F19" s="4" t="s">
        <v>232</v>
      </c>
      <c r="G19" s="4" t="s">
        <v>233</v>
      </c>
      <c r="H19" s="4" t="s">
        <v>234</v>
      </c>
    </row>
    <row r="20" spans="1:8" x14ac:dyDescent="0.2">
      <c r="A20" s="4" t="s">
        <v>235</v>
      </c>
      <c r="B20" s="4" t="s">
        <v>236</v>
      </c>
      <c r="C20" s="5">
        <v>380</v>
      </c>
      <c r="D20" s="4" t="s">
        <v>237</v>
      </c>
      <c r="E20" s="4" t="s">
        <v>167</v>
      </c>
      <c r="F20" s="4" t="s">
        <v>227</v>
      </c>
      <c r="G20" s="4" t="s">
        <v>238</v>
      </c>
      <c r="H20" s="4" t="s">
        <v>239</v>
      </c>
    </row>
    <row r="21" spans="1:8" x14ac:dyDescent="0.2">
      <c r="A21" s="4" t="s">
        <v>240</v>
      </c>
      <c r="B21" s="4" t="s">
        <v>241</v>
      </c>
      <c r="C21" s="4">
        <f>$C$5*$C$19*$C$14</f>
        <v>2096.0046000000002</v>
      </c>
      <c r="D21" s="4" t="s">
        <v>96</v>
      </c>
      <c r="E21" s="4" t="s">
        <v>172</v>
      </c>
      <c r="F21" s="4" t="s">
        <v>158</v>
      </c>
      <c r="G21" s="4" t="s">
        <v>242</v>
      </c>
      <c r="H21" s="4" t="s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" customWidth="1"/>
    <col min="2" max="2" width="46" customWidth="1"/>
    <col min="3" max="3" width="12" customWidth="1"/>
    <col min="4" max="4" width="16" customWidth="1"/>
    <col min="5" max="5" width="12" customWidth="1"/>
    <col min="6" max="6" width="52" customWidth="1"/>
    <col min="7" max="7" width="30" customWidth="1"/>
  </cols>
  <sheetData>
    <row r="1" spans="1:7" ht="15" customHeight="1" x14ac:dyDescent="0.2">
      <c r="A1" s="3" t="s">
        <v>244</v>
      </c>
      <c r="B1" s="3" t="s">
        <v>41</v>
      </c>
      <c r="C1" s="3" t="s">
        <v>151</v>
      </c>
      <c r="D1" s="3" t="s">
        <v>42</v>
      </c>
      <c r="E1" s="3" t="s">
        <v>43</v>
      </c>
      <c r="F1" s="3" t="s">
        <v>245</v>
      </c>
      <c r="G1" s="3" t="s">
        <v>246</v>
      </c>
    </row>
    <row r="2" spans="1:7" ht="15" customHeight="1" x14ac:dyDescent="0.25">
      <c r="A2" s="6" t="s">
        <v>247</v>
      </c>
      <c r="B2" s="7"/>
      <c r="C2" s="7"/>
      <c r="D2" s="7"/>
      <c r="E2" s="7"/>
      <c r="F2" s="7"/>
      <c r="G2" s="7"/>
    </row>
    <row r="3" spans="1:7" x14ac:dyDescent="0.2">
      <c r="A3" s="8" t="s">
        <v>248</v>
      </c>
      <c r="B3" s="8" t="s">
        <v>249</v>
      </c>
      <c r="C3" s="8" t="s">
        <v>248</v>
      </c>
      <c r="D3" s="9">
        <v>0.4</v>
      </c>
      <c r="E3" s="8" t="s">
        <v>65</v>
      </c>
      <c r="F3" s="8" t="s">
        <v>250</v>
      </c>
      <c r="G3" s="8" t="s">
        <v>251</v>
      </c>
    </row>
    <row r="4" spans="1:7" x14ac:dyDescent="0.2">
      <c r="A4" s="8" t="s">
        <v>252</v>
      </c>
      <c r="B4" s="8" t="s">
        <v>253</v>
      </c>
      <c r="C4" s="8" t="s">
        <v>254</v>
      </c>
      <c r="D4" s="10">
        <v>600</v>
      </c>
      <c r="E4" s="8" t="s">
        <v>132</v>
      </c>
      <c r="F4" s="8" t="s">
        <v>255</v>
      </c>
      <c r="G4" s="8" t="s">
        <v>227</v>
      </c>
    </row>
    <row r="5" spans="1:7" x14ac:dyDescent="0.2">
      <c r="A5" s="8" t="s">
        <v>256</v>
      </c>
      <c r="B5" s="8" t="s">
        <v>257</v>
      </c>
      <c r="C5" s="8" t="s">
        <v>258</v>
      </c>
      <c r="D5" s="9">
        <v>0.1</v>
      </c>
      <c r="E5" s="8" t="s">
        <v>65</v>
      </c>
      <c r="F5" s="8" t="s">
        <v>259</v>
      </c>
      <c r="G5" s="8" t="s">
        <v>235</v>
      </c>
    </row>
    <row r="6" spans="1:7" x14ac:dyDescent="0.2">
      <c r="A6" s="8" t="s">
        <v>260</v>
      </c>
      <c r="B6" s="8" t="s">
        <v>261</v>
      </c>
      <c r="C6" s="8" t="s">
        <v>262</v>
      </c>
      <c r="D6" s="10">
        <v>50</v>
      </c>
      <c r="E6" s="8" t="s">
        <v>263</v>
      </c>
      <c r="F6" s="8" t="s">
        <v>235</v>
      </c>
      <c r="G6" s="8" t="s">
        <v>235</v>
      </c>
    </row>
    <row r="7" spans="1:7" ht="15" customHeight="1" x14ac:dyDescent="0.25">
      <c r="A7" s="6" t="s">
        <v>264</v>
      </c>
      <c r="B7" s="7"/>
      <c r="C7" s="7"/>
      <c r="D7" s="7"/>
      <c r="E7" s="7"/>
      <c r="F7" s="7"/>
      <c r="G7" s="7"/>
    </row>
    <row r="8" spans="1:7" ht="28.5" customHeight="1" x14ac:dyDescent="0.2">
      <c r="A8" s="8" t="s">
        <v>265</v>
      </c>
      <c r="B8" s="8" t="s">
        <v>266</v>
      </c>
      <c r="C8" s="8" t="s">
        <v>267</v>
      </c>
      <c r="D8" s="9">
        <v>1.1499999999999999</v>
      </c>
      <c r="E8" s="8" t="s">
        <v>65</v>
      </c>
      <c r="F8" s="8" t="s">
        <v>268</v>
      </c>
      <c r="G8" s="8" t="s">
        <v>269</v>
      </c>
    </row>
    <row r="9" spans="1:7" x14ac:dyDescent="0.2">
      <c r="A9" s="8" t="s">
        <v>270</v>
      </c>
      <c r="B9" s="8" t="s">
        <v>271</v>
      </c>
      <c r="C9" s="8" t="s">
        <v>272</v>
      </c>
      <c r="D9" s="9">
        <v>0.5</v>
      </c>
      <c r="E9" s="8" t="s">
        <v>65</v>
      </c>
      <c r="F9" s="8" t="s">
        <v>273</v>
      </c>
      <c r="G9" s="8" t="s">
        <v>274</v>
      </c>
    </row>
    <row r="10" spans="1:7" ht="28.5" customHeight="1" x14ac:dyDescent="0.2">
      <c r="A10" s="8" t="s">
        <v>275</v>
      </c>
      <c r="B10" s="8" t="s">
        <v>276</v>
      </c>
      <c r="C10" s="8" t="s">
        <v>277</v>
      </c>
      <c r="D10" s="10">
        <v>2</v>
      </c>
      <c r="E10" s="8" t="s">
        <v>65</v>
      </c>
      <c r="F10" s="8" t="s">
        <v>278</v>
      </c>
      <c r="G10" s="8" t="s">
        <v>279</v>
      </c>
    </row>
    <row r="11" spans="1:7" x14ac:dyDescent="0.2">
      <c r="A11" s="8" t="s">
        <v>280</v>
      </c>
      <c r="B11" s="8" t="s">
        <v>281</v>
      </c>
      <c r="C11" s="8" t="s">
        <v>282</v>
      </c>
      <c r="D11" s="11">
        <v>0.45</v>
      </c>
      <c r="E11" s="8" t="s">
        <v>59</v>
      </c>
      <c r="F11" s="8" t="s">
        <v>283</v>
      </c>
      <c r="G11" s="8" t="s">
        <v>284</v>
      </c>
    </row>
    <row r="12" spans="1:7" x14ac:dyDescent="0.2">
      <c r="A12" s="8" t="s">
        <v>285</v>
      </c>
      <c r="B12" s="8" t="s">
        <v>286</v>
      </c>
      <c r="C12" s="8" t="s">
        <v>287</v>
      </c>
      <c r="D12" s="11">
        <v>1.8</v>
      </c>
      <c r="E12" s="8" t="s">
        <v>62</v>
      </c>
      <c r="F12" s="8" t="s">
        <v>288</v>
      </c>
      <c r="G12" s="8" t="s">
        <v>284</v>
      </c>
    </row>
    <row r="13" spans="1:7" x14ac:dyDescent="0.2">
      <c r="A13" s="8" t="s">
        <v>289</v>
      </c>
      <c r="B13" s="8" t="s">
        <v>290</v>
      </c>
      <c r="C13" s="8" t="s">
        <v>291</v>
      </c>
      <c r="D13" s="9">
        <v>0.97</v>
      </c>
      <c r="E13" s="8" t="s">
        <v>65</v>
      </c>
      <c r="F13" s="8" t="s">
        <v>292</v>
      </c>
      <c r="G13" s="8" t="s">
        <v>293</v>
      </c>
    </row>
    <row r="14" spans="1:7" ht="28.5" customHeight="1" x14ac:dyDescent="0.2">
      <c r="A14" s="8" t="s">
        <v>294</v>
      </c>
      <c r="B14" s="8" t="s">
        <v>295</v>
      </c>
      <c r="C14" s="8" t="s">
        <v>294</v>
      </c>
      <c r="D14" s="10">
        <v>700</v>
      </c>
      <c r="E14" s="8" t="s">
        <v>296</v>
      </c>
      <c r="F14" s="8" t="s">
        <v>297</v>
      </c>
      <c r="G14" s="8" t="s">
        <v>298</v>
      </c>
    </row>
    <row r="15" spans="1:7" x14ac:dyDescent="0.2">
      <c r="A15" s="8" t="s">
        <v>299</v>
      </c>
      <c r="B15" s="8" t="s">
        <v>300</v>
      </c>
      <c r="C15" s="8" t="s">
        <v>301</v>
      </c>
      <c r="D15" s="10">
        <v>780</v>
      </c>
      <c r="E15" s="8" t="s">
        <v>296</v>
      </c>
      <c r="F15" s="8" t="s">
        <v>302</v>
      </c>
      <c r="G15" s="8" t="s">
        <v>298</v>
      </c>
    </row>
    <row r="16" spans="1:7" x14ac:dyDescent="0.2">
      <c r="A16" s="8" t="s">
        <v>303</v>
      </c>
      <c r="B16" s="8" t="s">
        <v>304</v>
      </c>
      <c r="C16" s="8" t="s">
        <v>303</v>
      </c>
      <c r="D16" s="10">
        <v>800</v>
      </c>
      <c r="E16" s="8" t="s">
        <v>296</v>
      </c>
      <c r="F16" s="8" t="s">
        <v>305</v>
      </c>
      <c r="G16" s="8" t="s">
        <v>298</v>
      </c>
    </row>
    <row r="17" spans="1:7" ht="28.5" customHeight="1" x14ac:dyDescent="0.2">
      <c r="A17" s="8" t="s">
        <v>306</v>
      </c>
      <c r="B17" s="8" t="s">
        <v>307</v>
      </c>
      <c r="C17" s="8" t="s">
        <v>308</v>
      </c>
      <c r="D17" s="9">
        <v>1.25</v>
      </c>
      <c r="E17" s="8" t="s">
        <v>65</v>
      </c>
      <c r="F17" s="8" t="s">
        <v>309</v>
      </c>
      <c r="G17" s="8" t="s">
        <v>310</v>
      </c>
    </row>
    <row r="18" spans="1:7" x14ac:dyDescent="0.2">
      <c r="A18" s="8" t="s">
        <v>311</v>
      </c>
      <c r="B18" s="8" t="s">
        <v>312</v>
      </c>
      <c r="C18" s="8" t="s">
        <v>313</v>
      </c>
      <c r="D18" s="9">
        <v>1</v>
      </c>
      <c r="E18" s="8" t="s">
        <v>65</v>
      </c>
      <c r="F18" s="8" t="s">
        <v>314</v>
      </c>
      <c r="G18" s="8" t="s">
        <v>315</v>
      </c>
    </row>
    <row r="19" spans="1:7" x14ac:dyDescent="0.2">
      <c r="A19" s="8" t="s">
        <v>316</v>
      </c>
      <c r="B19" s="8" t="s">
        <v>317</v>
      </c>
      <c r="C19" s="8" t="s">
        <v>318</v>
      </c>
      <c r="D19" s="9">
        <v>1.2</v>
      </c>
      <c r="E19" s="8" t="s">
        <v>65</v>
      </c>
      <c r="F19" s="8" t="s">
        <v>319</v>
      </c>
      <c r="G19" s="8" t="s">
        <v>293</v>
      </c>
    </row>
    <row r="20" spans="1:7" ht="28.5" customHeight="1" x14ac:dyDescent="0.2">
      <c r="A20" s="8" t="s">
        <v>320</v>
      </c>
      <c r="B20" s="8" t="s">
        <v>321</v>
      </c>
      <c r="C20" s="8" t="s">
        <v>322</v>
      </c>
      <c r="D20" s="12">
        <v>7</v>
      </c>
      <c r="E20" s="8" t="s">
        <v>108</v>
      </c>
      <c r="F20" s="8" t="s">
        <v>323</v>
      </c>
      <c r="G20" s="8" t="s">
        <v>324</v>
      </c>
    </row>
    <row r="21" spans="1:7" x14ac:dyDescent="0.2">
      <c r="A21" s="8" t="s">
        <v>325</v>
      </c>
      <c r="B21" s="8" t="s">
        <v>326</v>
      </c>
      <c r="C21" s="8" t="s">
        <v>327</v>
      </c>
      <c r="D21" s="9">
        <v>0.05</v>
      </c>
      <c r="E21" s="8" t="s">
        <v>132</v>
      </c>
      <c r="F21" s="8" t="s">
        <v>328</v>
      </c>
      <c r="G21" s="8" t="s">
        <v>293</v>
      </c>
    </row>
    <row r="22" spans="1:7" x14ac:dyDescent="0.2">
      <c r="A22" s="8" t="s">
        <v>329</v>
      </c>
      <c r="B22" s="8" t="s">
        <v>330</v>
      </c>
      <c r="C22" s="8" t="s">
        <v>329</v>
      </c>
      <c r="D22" s="10">
        <v>4000</v>
      </c>
      <c r="E22" s="8" t="s">
        <v>263</v>
      </c>
      <c r="F22" s="8" t="s">
        <v>331</v>
      </c>
      <c r="G22" s="8" t="s">
        <v>332</v>
      </c>
    </row>
    <row r="23" spans="1:7" x14ac:dyDescent="0.2">
      <c r="A23" s="8" t="s">
        <v>333</v>
      </c>
      <c r="B23" s="8" t="s">
        <v>334</v>
      </c>
      <c r="C23" s="8" t="s">
        <v>335</v>
      </c>
      <c r="D23" s="9">
        <v>1.5</v>
      </c>
      <c r="E23" s="8" t="s">
        <v>65</v>
      </c>
      <c r="F23" s="8" t="s">
        <v>336</v>
      </c>
      <c r="G23" s="8" t="s">
        <v>337</v>
      </c>
    </row>
    <row r="24" spans="1:7" x14ac:dyDescent="0.2">
      <c r="A24" s="8" t="s">
        <v>338</v>
      </c>
      <c r="B24" s="8" t="s">
        <v>339</v>
      </c>
      <c r="C24" s="8" t="s">
        <v>340</v>
      </c>
      <c r="D24" s="9">
        <v>1E-3</v>
      </c>
      <c r="E24" s="8" t="s">
        <v>132</v>
      </c>
      <c r="F24" s="8" t="s">
        <v>341</v>
      </c>
      <c r="G24" s="8" t="s">
        <v>293</v>
      </c>
    </row>
    <row r="25" spans="1:7" x14ac:dyDescent="0.2">
      <c r="A25" s="8" t="s">
        <v>342</v>
      </c>
      <c r="B25" s="8" t="s">
        <v>343</v>
      </c>
      <c r="C25" s="8" t="s">
        <v>344</v>
      </c>
      <c r="D25" s="9">
        <v>1E-3</v>
      </c>
      <c r="E25" s="8" t="s">
        <v>132</v>
      </c>
      <c r="F25" s="8" t="s">
        <v>345</v>
      </c>
      <c r="G25" s="8" t="s">
        <v>293</v>
      </c>
    </row>
    <row r="26" spans="1:7" x14ac:dyDescent="0.2">
      <c r="A26" s="8" t="s">
        <v>346</v>
      </c>
      <c r="B26" s="8" t="s">
        <v>347</v>
      </c>
      <c r="C26" s="8" t="s">
        <v>348</v>
      </c>
      <c r="D26" s="9">
        <v>0.3</v>
      </c>
      <c r="E26" s="8" t="s">
        <v>65</v>
      </c>
      <c r="F26" s="8" t="s">
        <v>349</v>
      </c>
      <c r="G26" s="8" t="s">
        <v>293</v>
      </c>
    </row>
    <row r="27" spans="1:7" x14ac:dyDescent="0.2">
      <c r="A27" s="8" t="s">
        <v>350</v>
      </c>
      <c r="B27" s="8" t="s">
        <v>351</v>
      </c>
      <c r="C27" s="8" t="s">
        <v>352</v>
      </c>
      <c r="D27" s="9">
        <v>0.5</v>
      </c>
      <c r="E27" s="8" t="s">
        <v>65</v>
      </c>
      <c r="F27" s="8" t="s">
        <v>353</v>
      </c>
      <c r="G27" s="8" t="s">
        <v>293</v>
      </c>
    </row>
    <row r="28" spans="1:7" x14ac:dyDescent="0.2">
      <c r="A28" s="8" t="s">
        <v>354</v>
      </c>
      <c r="B28" s="8" t="s">
        <v>355</v>
      </c>
      <c r="C28" s="8" t="s">
        <v>356</v>
      </c>
      <c r="D28" s="10">
        <v>2</v>
      </c>
      <c r="E28" s="8" t="s">
        <v>65</v>
      </c>
      <c r="F28" s="8" t="s">
        <v>357</v>
      </c>
      <c r="G28" s="8" t="s">
        <v>358</v>
      </c>
    </row>
    <row r="29" spans="1:7" x14ac:dyDescent="0.2">
      <c r="A29" s="8" t="s">
        <v>359</v>
      </c>
      <c r="B29" s="8" t="s">
        <v>360</v>
      </c>
      <c r="C29" s="8" t="s">
        <v>359</v>
      </c>
      <c r="D29" s="10">
        <v>400</v>
      </c>
      <c r="E29" s="8" t="s">
        <v>296</v>
      </c>
      <c r="F29" s="8" t="s">
        <v>361</v>
      </c>
      <c r="G29" s="8" t="s">
        <v>358</v>
      </c>
    </row>
    <row r="30" spans="1:7" x14ac:dyDescent="0.2">
      <c r="A30" s="8" t="s">
        <v>362</v>
      </c>
      <c r="B30" s="8" t="s">
        <v>363</v>
      </c>
      <c r="C30" s="8" t="s">
        <v>364</v>
      </c>
      <c r="D30" s="11">
        <v>0.27500000000000002</v>
      </c>
      <c r="E30" s="8" t="s">
        <v>65</v>
      </c>
      <c r="F30" s="8" t="s">
        <v>365</v>
      </c>
      <c r="G30" s="8" t="s">
        <v>366</v>
      </c>
    </row>
    <row r="31" spans="1:7" x14ac:dyDescent="0.2">
      <c r="A31" s="8" t="s">
        <v>367</v>
      </c>
      <c r="B31" s="8" t="s">
        <v>368</v>
      </c>
      <c r="C31" s="8" t="s">
        <v>369</v>
      </c>
      <c r="D31" s="9">
        <v>5.0000000000000001E-3</v>
      </c>
      <c r="E31" s="8" t="s">
        <v>56</v>
      </c>
      <c r="F31" s="8" t="s">
        <v>370</v>
      </c>
      <c r="G31" s="8" t="s">
        <v>315</v>
      </c>
    </row>
    <row r="32" spans="1:7" x14ac:dyDescent="0.2">
      <c r="A32" s="8" t="s">
        <v>371</v>
      </c>
      <c r="B32" s="8" t="s">
        <v>372</v>
      </c>
      <c r="C32" s="8" t="s">
        <v>373</v>
      </c>
      <c r="D32" s="9">
        <v>2E-3</v>
      </c>
      <c r="E32" s="8" t="s">
        <v>56</v>
      </c>
      <c r="F32" s="8" t="s">
        <v>370</v>
      </c>
      <c r="G32" s="8" t="s">
        <v>315</v>
      </c>
    </row>
    <row r="33" spans="1:7" x14ac:dyDescent="0.2">
      <c r="A33" s="8" t="s">
        <v>374</v>
      </c>
      <c r="B33" s="8" t="s">
        <v>375</v>
      </c>
      <c r="C33" s="8" t="s">
        <v>374</v>
      </c>
      <c r="D33" s="10">
        <v>1024</v>
      </c>
      <c r="E33" s="8" t="s">
        <v>376</v>
      </c>
      <c r="F33" s="8" t="s">
        <v>79</v>
      </c>
      <c r="G33" s="8" t="s">
        <v>80</v>
      </c>
    </row>
    <row r="34" spans="1:7" x14ac:dyDescent="0.2">
      <c r="A34" s="8" t="s">
        <v>377</v>
      </c>
      <c r="B34" s="8" t="s">
        <v>378</v>
      </c>
      <c r="C34" s="8" t="s">
        <v>379</v>
      </c>
      <c r="D34" s="9">
        <v>5.0000000000000001E-3</v>
      </c>
      <c r="E34" s="8" t="s">
        <v>132</v>
      </c>
      <c r="F34" s="8" t="s">
        <v>380</v>
      </c>
      <c r="G34" s="8" t="s">
        <v>381</v>
      </c>
    </row>
    <row r="35" spans="1:7" x14ac:dyDescent="0.2">
      <c r="A35" s="8" t="s">
        <v>382</v>
      </c>
      <c r="B35" s="8" t="s">
        <v>383</v>
      </c>
      <c r="C35" s="8" t="s">
        <v>384</v>
      </c>
      <c r="D35" s="9">
        <v>0.05</v>
      </c>
      <c r="E35" s="8" t="s">
        <v>65</v>
      </c>
      <c r="F35" s="8" t="s">
        <v>385</v>
      </c>
      <c r="G35" s="8" t="s">
        <v>386</v>
      </c>
    </row>
    <row r="36" spans="1:7" x14ac:dyDescent="0.2">
      <c r="A36" s="8" t="s">
        <v>387</v>
      </c>
      <c r="B36" s="8" t="s">
        <v>388</v>
      </c>
      <c r="C36" s="8" t="s">
        <v>387</v>
      </c>
      <c r="D36" s="10">
        <v>30</v>
      </c>
      <c r="E36" s="8" t="s">
        <v>389</v>
      </c>
      <c r="F36" s="8" t="s">
        <v>390</v>
      </c>
      <c r="G36" s="8" t="s">
        <v>293</v>
      </c>
    </row>
    <row r="37" spans="1:7" ht="15" customHeight="1" x14ac:dyDescent="0.25">
      <c r="A37" s="6" t="s">
        <v>391</v>
      </c>
      <c r="B37" s="7"/>
      <c r="C37" s="7"/>
      <c r="D37" s="7"/>
      <c r="E37" s="7"/>
      <c r="F37" s="7"/>
      <c r="G37" s="7"/>
    </row>
    <row r="38" spans="1:7" ht="28.5" customHeight="1" x14ac:dyDescent="0.2">
      <c r="A38" s="8" t="s">
        <v>392</v>
      </c>
      <c r="B38" s="8" t="s">
        <v>393</v>
      </c>
      <c r="C38" s="8" t="s">
        <v>392</v>
      </c>
      <c r="D38" s="12">
        <v>1</v>
      </c>
      <c r="E38" s="8" t="s">
        <v>65</v>
      </c>
      <c r="F38" s="8" t="s">
        <v>394</v>
      </c>
      <c r="G38" s="8" t="s">
        <v>395</v>
      </c>
    </row>
    <row r="39" spans="1:7" ht="28.5" customHeight="1" x14ac:dyDescent="0.2">
      <c r="A39" s="8" t="s">
        <v>396</v>
      </c>
      <c r="B39" s="8" t="s">
        <v>397</v>
      </c>
      <c r="C39" s="8" t="s">
        <v>398</v>
      </c>
      <c r="D39" s="11">
        <v>155.34</v>
      </c>
      <c r="E39" s="8" t="s">
        <v>65</v>
      </c>
      <c r="F39" s="8" t="s">
        <v>399</v>
      </c>
      <c r="G39" s="8" t="s">
        <v>75</v>
      </c>
    </row>
    <row r="40" spans="1:7" x14ac:dyDescent="0.2">
      <c r="A40" s="8" t="s">
        <v>400</v>
      </c>
      <c r="B40" s="8" t="s">
        <v>401</v>
      </c>
      <c r="C40" s="8" t="s">
        <v>402</v>
      </c>
      <c r="D40" s="10">
        <v>1550</v>
      </c>
      <c r="E40" s="8" t="s">
        <v>108</v>
      </c>
      <c r="F40" s="8" t="s">
        <v>403</v>
      </c>
      <c r="G40" s="8" t="s">
        <v>75</v>
      </c>
    </row>
    <row r="41" spans="1:7" x14ac:dyDescent="0.2">
      <c r="A41" s="8" t="s">
        <v>404</v>
      </c>
      <c r="B41" s="8" t="s">
        <v>405</v>
      </c>
      <c r="C41" s="8" t="s">
        <v>406</v>
      </c>
      <c r="D41" s="10">
        <v>17100</v>
      </c>
      <c r="E41" s="8" t="s">
        <v>96</v>
      </c>
      <c r="F41" s="8" t="s">
        <v>407</v>
      </c>
      <c r="G41" s="8" t="s">
        <v>75</v>
      </c>
    </row>
    <row r="42" spans="1:7" ht="42.75" customHeight="1" x14ac:dyDescent="0.2">
      <c r="A42" s="8" t="s">
        <v>408</v>
      </c>
      <c r="B42" s="8" t="s">
        <v>409</v>
      </c>
      <c r="C42" s="8" t="s">
        <v>410</v>
      </c>
      <c r="D42" s="12">
        <v>210</v>
      </c>
      <c r="E42" s="8" t="s">
        <v>124</v>
      </c>
      <c r="F42" s="8" t="s">
        <v>411</v>
      </c>
      <c r="G42" s="8" t="s">
        <v>412</v>
      </c>
    </row>
    <row r="43" spans="1:7" ht="15" x14ac:dyDescent="0.25">
      <c r="A43" s="6" t="s">
        <v>413</v>
      </c>
      <c r="B43" s="7"/>
      <c r="C43" s="7"/>
      <c r="D43" s="7"/>
      <c r="E43" s="7"/>
      <c r="F43" s="7"/>
      <c r="G43" s="7"/>
    </row>
    <row r="44" spans="1:7" ht="28.5" x14ac:dyDescent="0.2">
      <c r="A44" s="8" t="s">
        <v>414</v>
      </c>
      <c r="B44" s="8" t="s">
        <v>415</v>
      </c>
      <c r="C44" s="8" t="s">
        <v>414</v>
      </c>
      <c r="D44" s="9">
        <v>0.95</v>
      </c>
      <c r="E44" s="8" t="s">
        <v>65</v>
      </c>
      <c r="F44" s="8" t="s">
        <v>416</v>
      </c>
      <c r="G44" s="8" t="s">
        <v>293</v>
      </c>
    </row>
    <row r="45" spans="1:7" x14ac:dyDescent="0.2">
      <c r="A45" s="8" t="s">
        <v>417</v>
      </c>
      <c r="B45" s="8" t="s">
        <v>418</v>
      </c>
      <c r="C45" s="8" t="s">
        <v>419</v>
      </c>
      <c r="D45" s="9">
        <v>0</v>
      </c>
      <c r="E45" s="8" t="s">
        <v>65</v>
      </c>
      <c r="F45" s="8" t="s">
        <v>420</v>
      </c>
      <c r="G45" s="8" t="s">
        <v>293</v>
      </c>
    </row>
    <row r="46" spans="1:7" ht="28.5" x14ac:dyDescent="0.2">
      <c r="A46" s="8" t="s">
        <v>421</v>
      </c>
      <c r="B46" s="8" t="s">
        <v>422</v>
      </c>
      <c r="C46" s="8" t="s">
        <v>421</v>
      </c>
      <c r="D46" s="22">
        <v>2.2000000000000001E-4</v>
      </c>
      <c r="E46" s="8" t="s">
        <v>423</v>
      </c>
      <c r="F46" s="8" t="s">
        <v>424</v>
      </c>
      <c r="G46" s="8" t="s">
        <v>293</v>
      </c>
    </row>
    <row r="47" spans="1:7" x14ac:dyDescent="0.2">
      <c r="A47" s="8" t="s">
        <v>425</v>
      </c>
      <c r="B47" s="8" t="s">
        <v>426</v>
      </c>
      <c r="C47" s="8" t="s">
        <v>427</v>
      </c>
      <c r="D47" s="9">
        <v>20</v>
      </c>
      <c r="E47" s="8" t="s">
        <v>296</v>
      </c>
      <c r="F47" s="8" t="s">
        <v>428</v>
      </c>
      <c r="G47" s="8" t="s">
        <v>293</v>
      </c>
    </row>
    <row r="48" spans="1:7" ht="28.5" x14ac:dyDescent="0.2">
      <c r="A48" s="8" t="s">
        <v>429</v>
      </c>
      <c r="B48" s="8" t="s">
        <v>430</v>
      </c>
      <c r="C48" s="8" t="s">
        <v>431</v>
      </c>
      <c r="D48" s="22">
        <v>5.0000000000000002E-5</v>
      </c>
      <c r="E48" s="8" t="s">
        <v>132</v>
      </c>
      <c r="F48" s="8" t="s">
        <v>432</v>
      </c>
      <c r="G48" s="8" t="s">
        <v>433</v>
      </c>
    </row>
    <row r="49" spans="1:7" ht="42.75" x14ac:dyDescent="0.2">
      <c r="A49" s="8" t="s">
        <v>434</v>
      </c>
      <c r="B49" s="8" t="s">
        <v>435</v>
      </c>
      <c r="C49" s="8" t="s">
        <v>436</v>
      </c>
      <c r="D49" s="9">
        <v>0</v>
      </c>
      <c r="E49" s="8" t="s">
        <v>65</v>
      </c>
      <c r="F49" s="8" t="s">
        <v>437</v>
      </c>
      <c r="G49" s="8" t="s">
        <v>293</v>
      </c>
    </row>
    <row r="50" spans="1:7" x14ac:dyDescent="0.2">
      <c r="A50" s="8" t="s">
        <v>438</v>
      </c>
      <c r="B50" s="8" t="s">
        <v>439</v>
      </c>
      <c r="C50" s="8" t="s">
        <v>438</v>
      </c>
      <c r="D50" s="9">
        <v>0.5</v>
      </c>
      <c r="E50" s="8" t="s">
        <v>132</v>
      </c>
      <c r="F50" s="8" t="s">
        <v>440</v>
      </c>
      <c r="G50" s="8" t="s">
        <v>441</v>
      </c>
    </row>
    <row r="51" spans="1:7" x14ac:dyDescent="0.2">
      <c r="A51" s="8" t="s">
        <v>442</v>
      </c>
      <c r="B51" s="8" t="s">
        <v>443</v>
      </c>
      <c r="C51" s="8" t="s">
        <v>442</v>
      </c>
      <c r="D51" s="9">
        <v>0.2</v>
      </c>
      <c r="E51" s="8" t="s">
        <v>132</v>
      </c>
      <c r="F51" s="8" t="s">
        <v>444</v>
      </c>
      <c r="G51" s="8" t="s">
        <v>441</v>
      </c>
    </row>
    <row r="52" spans="1:7" x14ac:dyDescent="0.2">
      <c r="A52" s="8" t="s">
        <v>445</v>
      </c>
      <c r="B52" s="8" t="s">
        <v>446</v>
      </c>
      <c r="C52" s="8" t="s">
        <v>445</v>
      </c>
      <c r="D52" s="9">
        <v>0.1</v>
      </c>
      <c r="E52" s="8" t="s">
        <v>132</v>
      </c>
      <c r="F52" s="8" t="s">
        <v>447</v>
      </c>
      <c r="G52" s="8" t="s">
        <v>441</v>
      </c>
    </row>
    <row r="53" spans="1:7" x14ac:dyDescent="0.2">
      <c r="A53" s="8" t="s">
        <v>448</v>
      </c>
      <c r="B53" s="8" t="s">
        <v>449</v>
      </c>
      <c r="C53" s="8" t="s">
        <v>448</v>
      </c>
      <c r="D53" s="9">
        <v>0.05</v>
      </c>
      <c r="E53" s="8" t="s">
        <v>132</v>
      </c>
      <c r="F53" s="8" t="s">
        <v>450</v>
      </c>
      <c r="G53" s="8" t="s">
        <v>441</v>
      </c>
    </row>
    <row r="54" spans="1:7" x14ac:dyDescent="0.2">
      <c r="A54" s="8" t="s">
        <v>451</v>
      </c>
      <c r="B54" s="8" t="s">
        <v>452</v>
      </c>
      <c r="C54" s="8" t="s">
        <v>451</v>
      </c>
      <c r="D54" s="9">
        <v>0.5</v>
      </c>
      <c r="E54" s="8" t="s">
        <v>132</v>
      </c>
      <c r="F54" s="8" t="s">
        <v>453</v>
      </c>
      <c r="G54" s="8" t="s">
        <v>293</v>
      </c>
    </row>
    <row r="55" spans="1:7" ht="28.5" x14ac:dyDescent="0.2">
      <c r="A55" s="8" t="s">
        <v>454</v>
      </c>
      <c r="B55" s="8" t="s">
        <v>455</v>
      </c>
      <c r="C55" s="8" t="s">
        <v>454</v>
      </c>
      <c r="D55" s="9">
        <v>10</v>
      </c>
      <c r="E55" s="8" t="s">
        <v>132</v>
      </c>
      <c r="F55" s="8" t="s">
        <v>456</v>
      </c>
      <c r="G55" s="8" t="s">
        <v>293</v>
      </c>
    </row>
    <row r="56" spans="1:7" x14ac:dyDescent="0.2">
      <c r="A56" s="8" t="s">
        <v>457</v>
      </c>
      <c r="B56" s="8" t="s">
        <v>458</v>
      </c>
      <c r="C56" s="8" t="s">
        <v>457</v>
      </c>
      <c r="D56" s="9">
        <v>10</v>
      </c>
      <c r="E56" s="8" t="s">
        <v>132</v>
      </c>
      <c r="F56" s="8" t="s">
        <v>459</v>
      </c>
      <c r="G56" s="8" t="s">
        <v>293</v>
      </c>
    </row>
    <row r="57" spans="1:7" x14ac:dyDescent="0.2">
      <c r="A57" s="8" t="s">
        <v>460</v>
      </c>
      <c r="B57" s="8" t="s">
        <v>461</v>
      </c>
      <c r="C57" s="8" t="s">
        <v>460</v>
      </c>
      <c r="D57" s="9">
        <v>3</v>
      </c>
      <c r="E57" s="8" t="s">
        <v>132</v>
      </c>
      <c r="F57" s="8" t="s">
        <v>462</v>
      </c>
      <c r="G57" s="8" t="s">
        <v>293</v>
      </c>
    </row>
    <row r="58" spans="1:7" ht="42.75" x14ac:dyDescent="0.2">
      <c r="A58" s="8" t="s">
        <v>463</v>
      </c>
      <c r="B58" s="8" t="s">
        <v>464</v>
      </c>
      <c r="C58" s="8" t="s">
        <v>465</v>
      </c>
      <c r="D58" s="9">
        <v>0</v>
      </c>
      <c r="E58" s="8" t="s">
        <v>65</v>
      </c>
      <c r="F58" s="8" t="s">
        <v>466</v>
      </c>
      <c r="G58" s="8" t="s">
        <v>293</v>
      </c>
    </row>
    <row r="59" spans="1:7" ht="15" x14ac:dyDescent="0.25">
      <c r="A59" s="6" t="s">
        <v>467</v>
      </c>
      <c r="B59" s="26"/>
      <c r="C59" s="26"/>
      <c r="D59" s="26"/>
      <c r="E59" s="26"/>
      <c r="F59" s="26"/>
      <c r="G59" s="26"/>
    </row>
    <row r="60" spans="1:7" ht="28.5" x14ac:dyDescent="0.2">
      <c r="A60" s="28" t="s">
        <v>468</v>
      </c>
      <c r="B60" s="28" t="s">
        <v>469</v>
      </c>
      <c r="C60" s="28" t="s">
        <v>468</v>
      </c>
      <c r="D60" s="33">
        <v>200</v>
      </c>
      <c r="E60" s="28" t="s">
        <v>102</v>
      </c>
      <c r="F60" s="28" t="s">
        <v>470</v>
      </c>
      <c r="G60" s="28" t="s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" customWidth="1"/>
    <col min="2" max="2" width="44" customWidth="1"/>
    <col min="3" max="3" width="12" customWidth="1"/>
    <col min="4" max="5" width="18" customWidth="1"/>
    <col min="6" max="6" width="14" customWidth="1"/>
    <col min="7" max="7" width="10" customWidth="1"/>
    <col min="8" max="8" width="60" customWidth="1"/>
  </cols>
  <sheetData>
    <row r="1" spans="1:8" ht="15" customHeight="1" x14ac:dyDescent="0.2">
      <c r="A1" s="3" t="s">
        <v>244</v>
      </c>
      <c r="B1" s="3" t="s">
        <v>472</v>
      </c>
      <c r="C1" s="3" t="s">
        <v>151</v>
      </c>
      <c r="D1" s="3" t="s">
        <v>473</v>
      </c>
      <c r="E1" s="3" t="s">
        <v>474</v>
      </c>
      <c r="F1" s="3" t="s">
        <v>475</v>
      </c>
      <c r="G1" s="3" t="s">
        <v>43</v>
      </c>
      <c r="H1" s="3" t="s">
        <v>476</v>
      </c>
    </row>
    <row r="2" spans="1:8" ht="15" customHeight="1" x14ac:dyDescent="0.25">
      <c r="A2" s="6" t="s">
        <v>477</v>
      </c>
      <c r="B2" s="7"/>
      <c r="C2" s="7"/>
      <c r="D2" s="7"/>
      <c r="E2" s="7"/>
      <c r="F2" s="7"/>
      <c r="G2" s="7"/>
      <c r="H2" s="7"/>
    </row>
    <row r="3" spans="1:8" x14ac:dyDescent="0.2">
      <c r="A3" s="4" t="s">
        <v>478</v>
      </c>
      <c r="B3" s="4" t="s">
        <v>479</v>
      </c>
      <c r="C3" s="4"/>
      <c r="D3" s="5" t="s">
        <v>480</v>
      </c>
      <c r="E3" s="5" t="s">
        <v>481</v>
      </c>
      <c r="F3" s="13" t="str">
        <f>INDEX(D3:E3,1,GiaDinh_K3!$D$38)</f>
        <v>DRN80M4</v>
      </c>
      <c r="G3" s="4" t="s">
        <v>65</v>
      </c>
      <c r="H3" s="4" t="s">
        <v>482</v>
      </c>
    </row>
    <row r="4" spans="1:8" x14ac:dyDescent="0.2">
      <c r="A4" s="4" t="s">
        <v>483</v>
      </c>
      <c r="B4" s="4" t="s">
        <v>484</v>
      </c>
      <c r="C4" s="4" t="s">
        <v>483</v>
      </c>
      <c r="D4" s="5">
        <v>0.75</v>
      </c>
      <c r="E4" s="5">
        <v>1.1000000000000001</v>
      </c>
      <c r="F4" s="13">
        <f>INDEX(D4:E4,1,GiaDinh_K3!$D$38)</f>
        <v>0.75</v>
      </c>
      <c r="G4" s="4" t="s">
        <v>485</v>
      </c>
      <c r="H4" s="4" t="s">
        <v>482</v>
      </c>
    </row>
    <row r="5" spans="1:8" x14ac:dyDescent="0.2">
      <c r="A5" s="4" t="s">
        <v>486</v>
      </c>
      <c r="B5" s="4" t="s">
        <v>487</v>
      </c>
      <c r="C5" s="4" t="s">
        <v>486</v>
      </c>
      <c r="D5" s="5">
        <v>4.95</v>
      </c>
      <c r="E5" s="5">
        <v>7.2</v>
      </c>
      <c r="F5" s="13">
        <f>INDEX(D5:E5,1,GiaDinh_K3!$D$38)</f>
        <v>4.95</v>
      </c>
      <c r="G5" s="4" t="s">
        <v>108</v>
      </c>
      <c r="H5" s="4" t="s">
        <v>482</v>
      </c>
    </row>
    <row r="6" spans="1:8" x14ac:dyDescent="0.2">
      <c r="A6" s="4" t="s">
        <v>488</v>
      </c>
      <c r="B6" s="4" t="s">
        <v>489</v>
      </c>
      <c r="C6" s="4" t="s">
        <v>488</v>
      </c>
      <c r="D6" s="5">
        <v>1440</v>
      </c>
      <c r="E6" s="5">
        <v>1455</v>
      </c>
      <c r="F6" s="13">
        <f>INDEX(D6:E6,1,GiaDinh_K3!$D$38)</f>
        <v>1440</v>
      </c>
      <c r="G6" s="4" t="s">
        <v>490</v>
      </c>
      <c r="H6" s="4" t="s">
        <v>482</v>
      </c>
    </row>
    <row r="7" spans="1:8" x14ac:dyDescent="0.2">
      <c r="A7" s="4" t="s">
        <v>491</v>
      </c>
      <c r="B7" s="4" t="s">
        <v>492</v>
      </c>
      <c r="C7" s="4" t="s">
        <v>491</v>
      </c>
      <c r="D7" s="5">
        <v>1.75</v>
      </c>
      <c r="E7" s="5">
        <v>2.5499999999999998</v>
      </c>
      <c r="F7" s="13">
        <f>INDEX(D7:E7,1,GiaDinh_K3!$D$38)</f>
        <v>1.75</v>
      </c>
      <c r="G7" s="4" t="s">
        <v>117</v>
      </c>
      <c r="H7" s="4" t="s">
        <v>482</v>
      </c>
    </row>
    <row r="8" spans="1:8" x14ac:dyDescent="0.2">
      <c r="A8" s="4" t="s">
        <v>493</v>
      </c>
      <c r="B8" s="4" t="s">
        <v>494</v>
      </c>
      <c r="C8" s="4" t="s">
        <v>495</v>
      </c>
      <c r="D8" s="5">
        <v>0.74</v>
      </c>
      <c r="E8" s="5">
        <v>0.73</v>
      </c>
      <c r="F8" s="13">
        <f>INDEX(D8:E8,1,GiaDinh_K3!$D$38)</f>
        <v>0.74</v>
      </c>
      <c r="G8" s="4" t="s">
        <v>65</v>
      </c>
      <c r="H8" s="4" t="s">
        <v>482</v>
      </c>
    </row>
    <row r="9" spans="1:8" x14ac:dyDescent="0.2">
      <c r="A9" s="4" t="s">
        <v>496</v>
      </c>
      <c r="B9" s="4" t="s">
        <v>497</v>
      </c>
      <c r="C9" s="4" t="s">
        <v>498</v>
      </c>
      <c r="D9" s="5">
        <v>0.82899999999999996</v>
      </c>
      <c r="E9" s="5">
        <v>0.84499999999999997</v>
      </c>
      <c r="F9" s="13">
        <f>INDEX(D9:E9,1,GiaDinh_K3!$D$38)</f>
        <v>0.82899999999999996</v>
      </c>
      <c r="G9" s="4" t="s">
        <v>65</v>
      </c>
      <c r="H9" s="4" t="s">
        <v>482</v>
      </c>
    </row>
    <row r="10" spans="1:8" x14ac:dyDescent="0.2">
      <c r="A10" s="4" t="s">
        <v>499</v>
      </c>
      <c r="B10" s="4" t="s">
        <v>500</v>
      </c>
      <c r="C10" s="4" t="s">
        <v>501</v>
      </c>
      <c r="D10" s="5">
        <v>6.7</v>
      </c>
      <c r="E10" s="5">
        <v>6.9</v>
      </c>
      <c r="F10" s="13">
        <f>INDEX(D10:E10,1,GiaDinh_K3!$D$38)</f>
        <v>6.7</v>
      </c>
      <c r="G10" s="4" t="s">
        <v>65</v>
      </c>
      <c r="H10" s="4" t="s">
        <v>482</v>
      </c>
    </row>
    <row r="11" spans="1:8" x14ac:dyDescent="0.2">
      <c r="A11" s="4" t="s">
        <v>502</v>
      </c>
      <c r="B11" s="4" t="s">
        <v>503</v>
      </c>
      <c r="C11" s="4" t="s">
        <v>504</v>
      </c>
      <c r="D11" s="5">
        <v>3.1</v>
      </c>
      <c r="E11" s="5">
        <v>2.7</v>
      </c>
      <c r="F11" s="13">
        <f>INDEX(D11:E11,1,GiaDinh_K3!$D$38)</f>
        <v>3.1</v>
      </c>
      <c r="G11" s="4" t="s">
        <v>65</v>
      </c>
      <c r="H11" s="4" t="s">
        <v>482</v>
      </c>
    </row>
    <row r="12" spans="1:8" x14ac:dyDescent="0.2">
      <c r="A12" s="4" t="s">
        <v>505</v>
      </c>
      <c r="B12" s="4" t="s">
        <v>506</v>
      </c>
      <c r="C12" s="4" t="s">
        <v>507</v>
      </c>
      <c r="D12" s="5">
        <v>3.4</v>
      </c>
      <c r="E12" s="5">
        <v>3.3</v>
      </c>
      <c r="F12" s="13">
        <f>INDEX(D12:E12,1,GiaDinh_K3!$D$38)</f>
        <v>3.4</v>
      </c>
      <c r="G12" s="4" t="s">
        <v>65</v>
      </c>
      <c r="H12" s="4" t="s">
        <v>482</v>
      </c>
    </row>
    <row r="13" spans="1:8" x14ac:dyDescent="0.2">
      <c r="A13" s="4" t="s">
        <v>508</v>
      </c>
      <c r="B13" s="4" t="s">
        <v>509</v>
      </c>
      <c r="C13" s="4" t="s">
        <v>510</v>
      </c>
      <c r="D13" s="5">
        <v>2.7</v>
      </c>
      <c r="E13" s="5">
        <v>2.1</v>
      </c>
      <c r="F13" s="13">
        <f>INDEX(D13:E13,1,GiaDinh_K3!$D$38)</f>
        <v>2.7</v>
      </c>
      <c r="G13" s="4" t="s">
        <v>65</v>
      </c>
      <c r="H13" s="4" t="s">
        <v>482</v>
      </c>
    </row>
    <row r="14" spans="1:8" x14ac:dyDescent="0.2">
      <c r="A14" s="4" t="s">
        <v>511</v>
      </c>
      <c r="B14" s="4" t="s">
        <v>512</v>
      </c>
      <c r="C14" s="4" t="s">
        <v>513</v>
      </c>
      <c r="D14" s="5">
        <v>2.47E-3</v>
      </c>
      <c r="E14" s="5">
        <v>5.4000000000000003E-3</v>
      </c>
      <c r="F14" s="13">
        <f>INDEX(D14:E14,1,GiaDinh_K3!$D$38)</f>
        <v>2.47E-3</v>
      </c>
      <c r="G14" s="4" t="s">
        <v>106</v>
      </c>
      <c r="H14" s="4" t="s">
        <v>514</v>
      </c>
    </row>
    <row r="15" spans="1:8" x14ac:dyDescent="0.2">
      <c r="A15" s="4" t="s">
        <v>515</v>
      </c>
      <c r="B15" s="4" t="s">
        <v>516</v>
      </c>
      <c r="C15" s="4" t="s">
        <v>517</v>
      </c>
      <c r="D15" s="5">
        <v>2.6199999999999999E-3</v>
      </c>
      <c r="E15" s="5">
        <v>5.8700000000000002E-3</v>
      </c>
      <c r="F15" s="13">
        <f>INDEX(D15:E15,1,GiaDinh_K3!$D$38)</f>
        <v>2.6199999999999999E-3</v>
      </c>
      <c r="G15" s="4" t="s">
        <v>106</v>
      </c>
      <c r="H15" s="4" t="s">
        <v>518</v>
      </c>
    </row>
    <row r="16" spans="1:8" x14ac:dyDescent="0.2">
      <c r="A16" s="4" t="s">
        <v>519</v>
      </c>
      <c r="B16" s="4" t="s">
        <v>520</v>
      </c>
      <c r="C16" s="4" t="s">
        <v>521</v>
      </c>
      <c r="D16" s="5" t="s">
        <v>522</v>
      </c>
      <c r="E16" s="5" t="s">
        <v>523</v>
      </c>
      <c r="F16" s="13" t="str">
        <f>INDEX(D16:E16,1,GiaDinh_K3!$D$38)</f>
        <v>BE1</v>
      </c>
      <c r="G16" s="4" t="s">
        <v>65</v>
      </c>
      <c r="H16" s="4" t="s">
        <v>524</v>
      </c>
    </row>
    <row r="17" spans="1:8" ht="15" customHeight="1" x14ac:dyDescent="0.25">
      <c r="A17" s="6" t="s">
        <v>525</v>
      </c>
      <c r="B17" s="7"/>
      <c r="C17" s="7"/>
      <c r="D17" s="7"/>
      <c r="E17" s="7"/>
      <c r="F17" s="7"/>
      <c r="G17" s="7"/>
      <c r="H17" s="7"/>
    </row>
    <row r="18" spans="1:8" x14ac:dyDescent="0.2">
      <c r="A18" s="4" t="s">
        <v>526</v>
      </c>
      <c r="B18" s="4" t="s">
        <v>527</v>
      </c>
      <c r="C18" s="4"/>
      <c r="D18" s="5" t="s">
        <v>528</v>
      </c>
      <c r="E18" s="5" t="s">
        <v>529</v>
      </c>
      <c r="F18" s="13" t="str">
        <f>INDEX(D18:E18,1,GiaDinh_K3!$D$38)</f>
        <v>ACS380-04xS-03A3-4</v>
      </c>
      <c r="G18" s="4" t="s">
        <v>65</v>
      </c>
      <c r="H18" s="4" t="s">
        <v>82</v>
      </c>
    </row>
    <row r="19" spans="1:8" x14ac:dyDescent="0.2">
      <c r="A19" s="4" t="s">
        <v>530</v>
      </c>
      <c r="B19" s="4" t="s">
        <v>531</v>
      </c>
      <c r="C19" s="4" t="s">
        <v>532</v>
      </c>
      <c r="D19" s="5">
        <v>3.3</v>
      </c>
      <c r="E19" s="5">
        <v>4</v>
      </c>
      <c r="F19" s="13">
        <f>INDEX(D19:E19,1,GiaDinh_K3!$D$38)</f>
        <v>3.3</v>
      </c>
      <c r="G19" s="4" t="s">
        <v>117</v>
      </c>
      <c r="H19" s="4" t="s">
        <v>533</v>
      </c>
    </row>
    <row r="20" spans="1:8" x14ac:dyDescent="0.2">
      <c r="A20" s="4" t="s">
        <v>534</v>
      </c>
      <c r="B20" s="4" t="s">
        <v>535</v>
      </c>
      <c r="C20" s="4" t="s">
        <v>536</v>
      </c>
      <c r="D20" s="5">
        <v>1.1000000000000001</v>
      </c>
      <c r="E20" s="5">
        <v>1.5</v>
      </c>
      <c r="F20" s="13">
        <f>INDEX(D20:E20,1,GiaDinh_K3!$D$38)</f>
        <v>1.1000000000000001</v>
      </c>
      <c r="G20" s="4" t="s">
        <v>485</v>
      </c>
      <c r="H20" s="4" t="s">
        <v>82</v>
      </c>
    </row>
    <row r="21" spans="1:8" x14ac:dyDescent="0.2">
      <c r="A21" s="4" t="s">
        <v>537</v>
      </c>
      <c r="B21" s="4" t="s">
        <v>538</v>
      </c>
      <c r="C21" s="4" t="s">
        <v>537</v>
      </c>
      <c r="D21" s="5">
        <v>2.6</v>
      </c>
      <c r="E21" s="5">
        <v>3.3</v>
      </c>
      <c r="F21" s="13">
        <f>INDEX(D21:E21,1,GiaDinh_K3!$D$38)</f>
        <v>2.6</v>
      </c>
      <c r="G21" s="4" t="s">
        <v>117</v>
      </c>
      <c r="H21" s="4" t="s">
        <v>82</v>
      </c>
    </row>
    <row r="22" spans="1:8" x14ac:dyDescent="0.2">
      <c r="A22" s="4" t="s">
        <v>539</v>
      </c>
      <c r="B22" s="4" t="s">
        <v>540</v>
      </c>
      <c r="C22" s="4" t="s">
        <v>539</v>
      </c>
      <c r="D22" s="5">
        <v>0.75</v>
      </c>
      <c r="E22" s="5">
        <v>1.1000000000000001</v>
      </c>
      <c r="F22" s="13">
        <f>INDEX(D22:E22,1,GiaDinh_K3!$D$38)</f>
        <v>0.75</v>
      </c>
      <c r="G22" s="4" t="s">
        <v>485</v>
      </c>
      <c r="H22" s="4" t="s">
        <v>82</v>
      </c>
    </row>
    <row r="23" spans="1:8" x14ac:dyDescent="0.2">
      <c r="A23" s="4" t="s">
        <v>541</v>
      </c>
      <c r="B23" s="4" t="s">
        <v>542</v>
      </c>
      <c r="C23" s="4" t="s">
        <v>541</v>
      </c>
      <c r="D23" s="5">
        <v>4.7</v>
      </c>
      <c r="E23" s="5">
        <v>5.9</v>
      </c>
      <c r="F23" s="13">
        <f>INDEX(D23:E23,1,GiaDinh_K3!$D$38)</f>
        <v>4.7</v>
      </c>
      <c r="G23" s="4" t="s">
        <v>117</v>
      </c>
      <c r="H23" s="4" t="s">
        <v>82</v>
      </c>
    </row>
    <row r="24" spans="1:8" x14ac:dyDescent="0.2">
      <c r="A24" s="4" t="s">
        <v>543</v>
      </c>
      <c r="B24" s="4" t="s">
        <v>544</v>
      </c>
      <c r="C24" s="4" t="s">
        <v>543</v>
      </c>
      <c r="D24" s="5">
        <v>99</v>
      </c>
      <c r="E24" s="5">
        <v>99</v>
      </c>
      <c r="F24" s="13">
        <f>INDEX(D24:E24,1,GiaDinh_K3!$D$38)</f>
        <v>99</v>
      </c>
      <c r="G24" s="4" t="s">
        <v>124</v>
      </c>
      <c r="H24" s="4" t="s">
        <v>545</v>
      </c>
    </row>
    <row r="25" spans="1:8" x14ac:dyDescent="0.2">
      <c r="A25" s="4" t="s">
        <v>546</v>
      </c>
      <c r="B25" s="4" t="s">
        <v>547</v>
      </c>
      <c r="C25" s="4" t="s">
        <v>546</v>
      </c>
      <c r="D25" s="5">
        <v>428</v>
      </c>
      <c r="E25" s="5">
        <v>285</v>
      </c>
      <c r="F25" s="13">
        <f>INDEX(D25:E25,1,GiaDinh_K3!$D$38)</f>
        <v>428</v>
      </c>
      <c r="G25" s="4" t="s">
        <v>124</v>
      </c>
      <c r="H25" s="4" t="s">
        <v>545</v>
      </c>
    </row>
    <row r="26" spans="1:8" x14ac:dyDescent="0.2">
      <c r="A26" s="4" t="s">
        <v>548</v>
      </c>
      <c r="B26" s="4" t="s">
        <v>549</v>
      </c>
      <c r="C26" s="4" t="s">
        <v>550</v>
      </c>
      <c r="D26" s="5">
        <v>0.75</v>
      </c>
      <c r="E26" s="5">
        <v>1.1000000000000001</v>
      </c>
      <c r="F26" s="13">
        <f>INDEX(D26:E26,1,GiaDinh_K3!$D$38)</f>
        <v>0.75</v>
      </c>
      <c r="G26" s="4" t="s">
        <v>485</v>
      </c>
      <c r="H26" s="4" t="s">
        <v>545</v>
      </c>
    </row>
    <row r="27" spans="1:8" x14ac:dyDescent="0.2">
      <c r="A27" s="4" t="s">
        <v>551</v>
      </c>
      <c r="B27" s="4" t="s">
        <v>552</v>
      </c>
      <c r="C27" s="4" t="s">
        <v>553</v>
      </c>
      <c r="D27" s="5">
        <v>1.1299999999999999</v>
      </c>
      <c r="E27" s="5">
        <v>1.65</v>
      </c>
      <c r="F27" s="13">
        <f>INDEX(D27:E27,1,GiaDinh_K3!$D$38)</f>
        <v>1.1299999999999999</v>
      </c>
      <c r="G27" s="4" t="s">
        <v>485</v>
      </c>
      <c r="H27" s="4" t="s">
        <v>545</v>
      </c>
    </row>
    <row r="28" spans="1:8" x14ac:dyDescent="0.2">
      <c r="A28" s="4" t="s">
        <v>554</v>
      </c>
      <c r="B28" s="4" t="s">
        <v>555</v>
      </c>
      <c r="C28" s="4" t="s">
        <v>556</v>
      </c>
      <c r="D28" s="5">
        <v>0.01</v>
      </c>
      <c r="E28" s="5">
        <v>0.01</v>
      </c>
      <c r="F28" s="13">
        <f>INDEX(D28:E28,1,GiaDinh_K3!$D$38)</f>
        <v>0.01</v>
      </c>
      <c r="G28" s="4" t="s">
        <v>132</v>
      </c>
      <c r="H28" s="4" t="s">
        <v>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6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" customWidth="1"/>
    <col min="2" max="2" width="46" customWidth="1"/>
    <col min="3" max="3" width="12" customWidth="1"/>
    <col min="4" max="4" width="16" customWidth="1"/>
    <col min="5" max="5" width="12" customWidth="1"/>
    <col min="6" max="6" width="52" customWidth="1"/>
    <col min="7" max="7" width="30" customWidth="1"/>
  </cols>
  <sheetData>
    <row r="1" spans="1:7" ht="15" customHeight="1" x14ac:dyDescent="0.2">
      <c r="A1" s="3" t="s">
        <v>244</v>
      </c>
      <c r="B1" s="3" t="s">
        <v>41</v>
      </c>
      <c r="C1" s="3" t="s">
        <v>151</v>
      </c>
      <c r="D1" s="3" t="s">
        <v>42</v>
      </c>
      <c r="E1" s="3" t="s">
        <v>43</v>
      </c>
      <c r="F1" s="3" t="s">
        <v>245</v>
      </c>
      <c r="G1" s="3" t="s">
        <v>246</v>
      </c>
    </row>
    <row r="2" spans="1:7" ht="15" customHeight="1" x14ac:dyDescent="0.25">
      <c r="A2" s="6" t="s">
        <v>558</v>
      </c>
      <c r="B2" s="7"/>
      <c r="C2" s="7"/>
      <c r="D2" s="7"/>
      <c r="E2" s="7"/>
      <c r="F2" s="7"/>
      <c r="G2" s="7"/>
    </row>
    <row r="3" spans="1:7" x14ac:dyDescent="0.2">
      <c r="A3" s="8" t="s">
        <v>559</v>
      </c>
      <c r="B3" s="8" t="s">
        <v>560</v>
      </c>
      <c r="C3" s="8" t="s">
        <v>561</v>
      </c>
      <c r="D3" s="14">
        <f>2*Params!$C$10/Params!$C$13</f>
        <v>0.96</v>
      </c>
      <c r="E3" s="8" t="s">
        <v>185</v>
      </c>
      <c r="F3" s="8" t="s">
        <v>562</v>
      </c>
      <c r="G3" s="8" t="s">
        <v>563</v>
      </c>
    </row>
    <row r="4" spans="1:7" x14ac:dyDescent="0.2">
      <c r="A4" s="8" t="s">
        <v>564</v>
      </c>
      <c r="B4" s="8" t="s">
        <v>565</v>
      </c>
      <c r="C4" s="8" t="s">
        <v>564</v>
      </c>
      <c r="D4" s="15">
        <f>$D$3*60/(2*PI())</f>
        <v>9.16732472209317</v>
      </c>
      <c r="E4" s="8" t="s">
        <v>490</v>
      </c>
      <c r="F4" s="8" t="s">
        <v>566</v>
      </c>
      <c r="G4" s="8" t="s">
        <v>563</v>
      </c>
    </row>
    <row r="5" spans="1:7" x14ac:dyDescent="0.2">
      <c r="A5" s="8" t="s">
        <v>567</v>
      </c>
      <c r="B5" s="8" t="s">
        <v>568</v>
      </c>
      <c r="C5" s="8" t="s">
        <v>241</v>
      </c>
      <c r="D5" s="14">
        <f>Params!$C$5*Params!$C$19*Params!$C$14</f>
        <v>2096.0046000000002</v>
      </c>
      <c r="E5" s="8" t="s">
        <v>96</v>
      </c>
      <c r="F5" s="8" t="s">
        <v>569</v>
      </c>
      <c r="G5" s="8" t="s">
        <v>570</v>
      </c>
    </row>
    <row r="6" spans="1:7" x14ac:dyDescent="0.2">
      <c r="A6" s="8" t="s">
        <v>571</v>
      </c>
      <c r="B6" s="8" t="s">
        <v>572</v>
      </c>
      <c r="C6" s="8" t="s">
        <v>573</v>
      </c>
      <c r="D6" s="14">
        <f>Params!$C$6*Params!$C$19*Params!$C$14</f>
        <v>297.53729999999996</v>
      </c>
      <c r="E6" s="8" t="s">
        <v>96</v>
      </c>
      <c r="F6" s="8" t="s">
        <v>574</v>
      </c>
      <c r="G6" s="8" t="s">
        <v>570</v>
      </c>
    </row>
    <row r="7" spans="1:7" x14ac:dyDescent="0.2">
      <c r="A7" s="8" t="s">
        <v>575</v>
      </c>
      <c r="B7" s="8" t="s">
        <v>576</v>
      </c>
      <c r="C7" s="8" t="s">
        <v>577</v>
      </c>
      <c r="D7" s="14">
        <f>Params!$C$21*Params!$C$10/Params!$C$16</f>
        <v>279.46728000000002</v>
      </c>
      <c r="E7" s="8" t="s">
        <v>102</v>
      </c>
      <c r="F7" s="8" t="s">
        <v>578</v>
      </c>
      <c r="G7" s="8" t="s">
        <v>579</v>
      </c>
    </row>
    <row r="8" spans="1:7" ht="15" customHeight="1" x14ac:dyDescent="0.25">
      <c r="A8" s="6" t="s">
        <v>580</v>
      </c>
      <c r="B8" s="7"/>
      <c r="C8" s="7"/>
      <c r="D8" s="7"/>
      <c r="E8" s="7"/>
      <c r="F8" s="7"/>
      <c r="G8" s="7"/>
    </row>
    <row r="9" spans="1:7" x14ac:dyDescent="0.2">
      <c r="A9" s="8" t="s">
        <v>581</v>
      </c>
      <c r="B9" s="8" t="s">
        <v>582</v>
      </c>
      <c r="C9" s="8" t="s">
        <v>583</v>
      </c>
      <c r="D9" s="14">
        <f>Params!$C$5*Params!$C$11</f>
        <v>7122</v>
      </c>
      <c r="E9" s="8" t="s">
        <v>96</v>
      </c>
      <c r="F9" s="8" t="s">
        <v>584</v>
      </c>
      <c r="G9" s="8" t="s">
        <v>585</v>
      </c>
    </row>
    <row r="10" spans="1:7" x14ac:dyDescent="0.2">
      <c r="A10" s="8" t="s">
        <v>586</v>
      </c>
      <c r="B10" s="8" t="s">
        <v>587</v>
      </c>
      <c r="C10" s="8" t="s">
        <v>588</v>
      </c>
      <c r="D10" s="14">
        <f>Params!$C$21+$D$9</f>
        <v>9218.0046000000002</v>
      </c>
      <c r="E10" s="8" t="s">
        <v>96</v>
      </c>
      <c r="F10" s="8" t="s">
        <v>589</v>
      </c>
      <c r="G10" s="8" t="s">
        <v>585</v>
      </c>
    </row>
    <row r="11" spans="1:7" x14ac:dyDescent="0.2">
      <c r="A11" s="8" t="s">
        <v>590</v>
      </c>
      <c r="B11" s="8" t="s">
        <v>591</v>
      </c>
      <c r="C11" s="8" t="s">
        <v>592</v>
      </c>
      <c r="D11" s="14">
        <f>$D$10*Params!$C$10/Params!$C$16</f>
        <v>1229.06728</v>
      </c>
      <c r="E11" s="8" t="s">
        <v>102</v>
      </c>
      <c r="F11" s="8" t="s">
        <v>593</v>
      </c>
      <c r="G11" s="8" t="s">
        <v>594</v>
      </c>
    </row>
    <row r="12" spans="1:7" x14ac:dyDescent="0.2">
      <c r="A12" s="8" t="s">
        <v>595</v>
      </c>
      <c r="B12" s="8" t="s">
        <v>596</v>
      </c>
      <c r="C12" s="8" t="s">
        <v>597</v>
      </c>
      <c r="D12" s="14">
        <f>Params!$C$15*GiaDinh_K3!$D$9*Params!$C$5*Params!$C$19</f>
        <v>13973.364000000001</v>
      </c>
      <c r="E12" s="8" t="s">
        <v>96</v>
      </c>
      <c r="F12" s="8" t="s">
        <v>598</v>
      </c>
      <c r="G12" s="8" t="s">
        <v>599</v>
      </c>
    </row>
    <row r="13" spans="1:7" x14ac:dyDescent="0.2">
      <c r="A13" s="8" t="s">
        <v>600</v>
      </c>
      <c r="B13" s="8" t="s">
        <v>601</v>
      </c>
      <c r="C13" s="8" t="s">
        <v>602</v>
      </c>
      <c r="D13" s="15">
        <f>$D$12/$D$10</f>
        <v>1.5158773081974815</v>
      </c>
      <c r="E13" s="8" t="s">
        <v>65</v>
      </c>
      <c r="F13" s="8" t="s">
        <v>603</v>
      </c>
      <c r="G13" s="8" t="s">
        <v>599</v>
      </c>
    </row>
    <row r="14" spans="1:7" x14ac:dyDescent="0.2">
      <c r="A14" s="8" t="s">
        <v>604</v>
      </c>
      <c r="B14" s="8" t="s">
        <v>605</v>
      </c>
      <c r="C14" s="8" t="s">
        <v>606</v>
      </c>
      <c r="D14" s="14">
        <f>Params!$C$15*GiaDinh_K3!$D$9*Params!$C$6*Params!$C$19</f>
        <v>1983.5820000000003</v>
      </c>
      <c r="E14" s="8" t="s">
        <v>96</v>
      </c>
      <c r="F14" s="8" t="s">
        <v>607</v>
      </c>
      <c r="G14" s="8" t="s">
        <v>599</v>
      </c>
    </row>
    <row r="15" spans="1:7" x14ac:dyDescent="0.2">
      <c r="A15" s="8" t="s">
        <v>608</v>
      </c>
      <c r="B15" s="8" t="s">
        <v>609</v>
      </c>
      <c r="C15" s="8" t="s">
        <v>610</v>
      </c>
      <c r="D15" s="14">
        <f>$D$6+Params!$C$6*Params!$C$11</f>
        <v>1308.5373</v>
      </c>
      <c r="E15" s="8" t="s">
        <v>96</v>
      </c>
      <c r="F15" s="8" t="s">
        <v>611</v>
      </c>
      <c r="G15" s="8" t="s">
        <v>599</v>
      </c>
    </row>
    <row r="16" spans="1:7" x14ac:dyDescent="0.2">
      <c r="A16" s="8" t="s">
        <v>612</v>
      </c>
      <c r="B16" s="8" t="s">
        <v>613</v>
      </c>
      <c r="C16" s="8" t="s">
        <v>614</v>
      </c>
      <c r="D16" s="15">
        <f>$D$14/$D$15</f>
        <v>1.5158773081974817</v>
      </c>
      <c r="E16" s="8" t="s">
        <v>65</v>
      </c>
      <c r="F16" s="8"/>
      <c r="G16" s="8" t="s">
        <v>599</v>
      </c>
    </row>
    <row r="17" spans="1:7" ht="15" customHeight="1" x14ac:dyDescent="0.25">
      <c r="A17" s="6" t="s">
        <v>615</v>
      </c>
      <c r="B17" s="7"/>
      <c r="C17" s="7"/>
      <c r="D17" s="7"/>
      <c r="E17" s="7"/>
      <c r="F17" s="7"/>
      <c r="G17" s="7"/>
    </row>
    <row r="18" spans="1:7" x14ac:dyDescent="0.2">
      <c r="A18" s="8" t="s">
        <v>616</v>
      </c>
      <c r="B18" s="8" t="s">
        <v>617</v>
      </c>
      <c r="C18" s="8" t="s">
        <v>618</v>
      </c>
      <c r="D18" s="14">
        <f>Catalogue!$F$6*2*PI()/60</f>
        <v>150.79644737231007</v>
      </c>
      <c r="E18" s="8" t="s">
        <v>185</v>
      </c>
      <c r="F18" s="8" t="s">
        <v>619</v>
      </c>
      <c r="G18" s="8" t="s">
        <v>358</v>
      </c>
    </row>
    <row r="19" spans="1:7" x14ac:dyDescent="0.2">
      <c r="A19" s="8" t="s">
        <v>620</v>
      </c>
      <c r="B19" s="8" t="s">
        <v>621</v>
      </c>
      <c r="C19" s="8" t="s">
        <v>620</v>
      </c>
      <c r="D19" s="15">
        <f>$D$18/$D$3</f>
        <v>157.07963267948966</v>
      </c>
      <c r="E19" s="8" t="s">
        <v>65</v>
      </c>
      <c r="F19" s="8" t="s">
        <v>622</v>
      </c>
      <c r="G19" s="8" t="s">
        <v>623</v>
      </c>
    </row>
    <row r="20" spans="1:7" x14ac:dyDescent="0.2">
      <c r="A20" s="8" t="s">
        <v>624</v>
      </c>
      <c r="B20" s="8" t="s">
        <v>625</v>
      </c>
      <c r="C20" s="8" t="s">
        <v>398</v>
      </c>
      <c r="D20" s="14">
        <f>IF(ISBLANK(GiaDinh_K3!$D$39),$D$19,GiaDinh_K3!$D$39)</f>
        <v>155.34</v>
      </c>
      <c r="E20" s="8" t="s">
        <v>65</v>
      </c>
      <c r="F20" s="8" t="s">
        <v>626</v>
      </c>
      <c r="G20" s="8" t="s">
        <v>627</v>
      </c>
    </row>
    <row r="21" spans="1:7" x14ac:dyDescent="0.2">
      <c r="A21" s="8" t="s">
        <v>628</v>
      </c>
      <c r="B21" s="8" t="s">
        <v>629</v>
      </c>
      <c r="C21" s="8" t="s">
        <v>630</v>
      </c>
      <c r="D21" s="15">
        <f>$D$19/$D$20-1</f>
        <v>1.1198871375625474E-2</v>
      </c>
      <c r="E21" s="8" t="s">
        <v>65</v>
      </c>
      <c r="F21" s="8" t="s">
        <v>631</v>
      </c>
      <c r="G21" s="8" t="s">
        <v>194</v>
      </c>
    </row>
    <row r="22" spans="1:7" x14ac:dyDescent="0.2">
      <c r="A22" s="8" t="s">
        <v>632</v>
      </c>
      <c r="B22" s="8" t="s">
        <v>633</v>
      </c>
      <c r="C22" s="8" t="s">
        <v>634</v>
      </c>
      <c r="D22" s="14">
        <f>$D$19/Params!$C$17-1</f>
        <v>4.7197551196597853E-2</v>
      </c>
      <c r="E22" s="8" t="s">
        <v>65</v>
      </c>
      <c r="F22" s="8" t="s">
        <v>635</v>
      </c>
      <c r="G22" s="8" t="s">
        <v>221</v>
      </c>
    </row>
    <row r="23" spans="1:7" x14ac:dyDescent="0.2">
      <c r="A23" s="8" t="s">
        <v>636</v>
      </c>
      <c r="B23" s="8" t="s">
        <v>637</v>
      </c>
      <c r="C23" s="8" t="s">
        <v>638</v>
      </c>
      <c r="D23" s="14">
        <f>Params!$C$13/(2*$D$20)</f>
        <v>8.0468649414188235E-4</v>
      </c>
      <c r="E23" s="8" t="s">
        <v>639</v>
      </c>
      <c r="F23" s="8" t="s">
        <v>640</v>
      </c>
      <c r="G23" s="8" t="s">
        <v>641</v>
      </c>
    </row>
    <row r="24" spans="1:7" x14ac:dyDescent="0.2">
      <c r="A24" s="8" t="s">
        <v>642</v>
      </c>
      <c r="B24" s="8" t="s">
        <v>643</v>
      </c>
      <c r="C24" s="8" t="s">
        <v>644</v>
      </c>
      <c r="D24" s="14">
        <f>GiaDinh_K3!$D$11/$D$23</f>
        <v>559.22400000000005</v>
      </c>
      <c r="E24" s="8" t="s">
        <v>645</v>
      </c>
      <c r="F24" s="8" t="s">
        <v>646</v>
      </c>
      <c r="G24" s="8" t="s">
        <v>647</v>
      </c>
    </row>
    <row r="25" spans="1:7" x14ac:dyDescent="0.2">
      <c r="A25" s="8" t="s">
        <v>648</v>
      </c>
      <c r="B25" s="8" t="s">
        <v>649</v>
      </c>
      <c r="C25" s="8" t="s">
        <v>650</v>
      </c>
      <c r="D25" s="14">
        <f>Params!$C$21*$D$23/Params!$C$16</f>
        <v>1.8740295480880651</v>
      </c>
      <c r="E25" s="8" t="s">
        <v>108</v>
      </c>
      <c r="F25" s="8" t="s">
        <v>651</v>
      </c>
      <c r="G25" s="8" t="s">
        <v>641</v>
      </c>
    </row>
    <row r="26" spans="1:7" x14ac:dyDescent="0.2">
      <c r="A26" s="8" t="s">
        <v>652</v>
      </c>
      <c r="B26" s="8" t="s">
        <v>653</v>
      </c>
      <c r="C26" s="8" t="s">
        <v>654</v>
      </c>
      <c r="D26" s="14">
        <f>$D$6*$D$23/Params!$C$16</f>
        <v>0.26602694090382384</v>
      </c>
      <c r="E26" s="8" t="s">
        <v>108</v>
      </c>
      <c r="F26" s="8"/>
      <c r="G26" s="8" t="s">
        <v>641</v>
      </c>
    </row>
    <row r="27" spans="1:7" x14ac:dyDescent="0.2">
      <c r="A27" s="8" t="s">
        <v>655</v>
      </c>
      <c r="B27" s="8" t="s">
        <v>656</v>
      </c>
      <c r="C27" s="8" t="s">
        <v>657</v>
      </c>
      <c r="D27" s="14">
        <f>Params!$C$21*$D$23*Params!$C$16</f>
        <v>1.5179639339513327</v>
      </c>
      <c r="E27" s="8" t="s">
        <v>108</v>
      </c>
      <c r="F27" s="8" t="s">
        <v>658</v>
      </c>
      <c r="G27" s="8" t="s">
        <v>641</v>
      </c>
    </row>
    <row r="28" spans="1:7" x14ac:dyDescent="0.2">
      <c r="A28" s="8" t="s">
        <v>659</v>
      </c>
      <c r="B28" s="8" t="s">
        <v>660</v>
      </c>
      <c r="C28" s="8" t="s">
        <v>661</v>
      </c>
      <c r="D28" s="14">
        <f>GiaDinh_K3!$D$8*Params!$C$5*$D$23^2</f>
        <v>1.0606771908346625E-2</v>
      </c>
      <c r="E28" s="8" t="s">
        <v>106</v>
      </c>
      <c r="F28" s="8" t="s">
        <v>662</v>
      </c>
      <c r="G28" s="8" t="s">
        <v>641</v>
      </c>
    </row>
    <row r="29" spans="1:7" x14ac:dyDescent="0.2">
      <c r="A29" s="8" t="s">
        <v>663</v>
      </c>
      <c r="B29" s="8" t="s">
        <v>664</v>
      </c>
      <c r="C29" s="8" t="s">
        <v>665</v>
      </c>
      <c r="D29" s="14">
        <f>GiaDinh_K3!$D$8*Params!$C$6*$D$23^2</f>
        <v>1.5056790788175282E-3</v>
      </c>
      <c r="E29" s="8" t="s">
        <v>106</v>
      </c>
      <c r="F29" s="8" t="s">
        <v>666</v>
      </c>
      <c r="G29" s="8" t="s">
        <v>641</v>
      </c>
    </row>
    <row r="30" spans="1:7" x14ac:dyDescent="0.2">
      <c r="A30" s="8" t="s">
        <v>667</v>
      </c>
      <c r="B30" s="8" t="s">
        <v>668</v>
      </c>
      <c r="C30" s="8" t="s">
        <v>669</v>
      </c>
      <c r="D30" s="14">
        <f>Catalogue!$F$15+$D$28</f>
        <v>1.3226771908346625E-2</v>
      </c>
      <c r="E30" s="8" t="s">
        <v>106</v>
      </c>
      <c r="F30" s="8" t="s">
        <v>670</v>
      </c>
      <c r="G30" s="8" t="s">
        <v>641</v>
      </c>
    </row>
    <row r="31" spans="1:7" x14ac:dyDescent="0.2">
      <c r="A31" s="8" t="s">
        <v>671</v>
      </c>
      <c r="B31" s="8" t="s">
        <v>672</v>
      </c>
      <c r="C31" s="8" t="s">
        <v>673</v>
      </c>
      <c r="D31" s="14">
        <f>Catalogue!$F$15+$D$29</f>
        <v>4.1256790788175282E-3</v>
      </c>
      <c r="E31" s="8" t="s">
        <v>106</v>
      </c>
      <c r="F31" s="8"/>
      <c r="G31" s="8" t="s">
        <v>641</v>
      </c>
    </row>
    <row r="32" spans="1:7" ht="15" customHeight="1" x14ac:dyDescent="0.25">
      <c r="A32" s="6" t="s">
        <v>674</v>
      </c>
      <c r="B32" s="7"/>
      <c r="C32" s="7"/>
      <c r="D32" s="7"/>
      <c r="E32" s="7"/>
      <c r="F32" s="7"/>
      <c r="G32" s="7"/>
    </row>
    <row r="33" spans="1:7" x14ac:dyDescent="0.2">
      <c r="A33" s="8" t="s">
        <v>675</v>
      </c>
      <c r="B33" s="8" t="s">
        <v>676</v>
      </c>
      <c r="C33" s="8" t="s">
        <v>677</v>
      </c>
      <c r="D33" s="14">
        <f>(Params!$C$21+GiaDinh_K3!$D$8*Params!$C$5*Params!$C$11)*$D$23/Params!$C$16+Catalogue!$F$15*Params!$C$11/$D$23</f>
        <v>10.824908073610574</v>
      </c>
      <c r="E33" s="8" t="s">
        <v>108</v>
      </c>
      <c r="F33" s="8" t="s">
        <v>678</v>
      </c>
      <c r="G33" s="8" t="s">
        <v>679</v>
      </c>
    </row>
    <row r="34" spans="1:7" x14ac:dyDescent="0.2">
      <c r="A34" s="8" t="s">
        <v>680</v>
      </c>
      <c r="B34" s="8" t="s">
        <v>681</v>
      </c>
      <c r="C34" s="8" t="s">
        <v>682</v>
      </c>
      <c r="D34" s="14">
        <f>($D$6+GiaDinh_K3!$D$8*Params!$C$6*Params!$C$11)*$D$23/Params!$C$16+Catalogue!$F$15*Params!$C$11/$D$23</f>
        <v>2.933510976919445</v>
      </c>
      <c r="E34" s="8" t="s">
        <v>108</v>
      </c>
      <c r="F34" s="8"/>
      <c r="G34" s="8" t="s">
        <v>641</v>
      </c>
    </row>
    <row r="35" spans="1:7" x14ac:dyDescent="0.2">
      <c r="A35" s="8" t="s">
        <v>683</v>
      </c>
      <c r="B35" s="8" t="s">
        <v>684</v>
      </c>
      <c r="C35" s="8" t="s">
        <v>685</v>
      </c>
      <c r="D35" s="14">
        <f>$D$33/Catalogue!$F$5</f>
        <v>2.1868501158809242</v>
      </c>
      <c r="E35" s="8" t="s">
        <v>65</v>
      </c>
      <c r="F35" s="8"/>
      <c r="G35" s="8" t="s">
        <v>686</v>
      </c>
    </row>
    <row r="36" spans="1:7" ht="28.5" customHeight="1" x14ac:dyDescent="0.2">
      <c r="A36" s="8" t="s">
        <v>687</v>
      </c>
      <c r="B36" s="8" t="s">
        <v>688</v>
      </c>
      <c r="C36" s="8" t="s">
        <v>689</v>
      </c>
      <c r="D36" s="14">
        <f>Catalogue!$F$12*(Params!$C$20*(1-GiaDinh_K3!$D$5)/GiaDinh_K3!$D$29)^2</f>
        <v>2.4854849999999997</v>
      </c>
      <c r="E36" s="8" t="s">
        <v>65</v>
      </c>
      <c r="F36" s="8" t="s">
        <v>690</v>
      </c>
      <c r="G36" s="8" t="s">
        <v>686</v>
      </c>
    </row>
    <row r="37" spans="1:7" ht="28.5" customHeight="1" x14ac:dyDescent="0.2">
      <c r="A37" s="8" t="s">
        <v>691</v>
      </c>
      <c r="B37" s="8" t="s">
        <v>692</v>
      </c>
      <c r="C37" s="8" t="s">
        <v>693</v>
      </c>
      <c r="D37" s="14">
        <f>($D$36*Catalogue!$F$5-Catalogue!$F$15*Params!$C$11/$D$23)*Params!$C$16/$D$23</f>
        <v>11939.642164922398</v>
      </c>
      <c r="E37" s="8" t="s">
        <v>96</v>
      </c>
      <c r="F37" s="8" t="s">
        <v>694</v>
      </c>
      <c r="G37" s="8" t="s">
        <v>695</v>
      </c>
    </row>
    <row r="38" spans="1:7" ht="15" customHeight="1" x14ac:dyDescent="0.25">
      <c r="A38" s="6" t="s">
        <v>696</v>
      </c>
      <c r="B38" s="7"/>
      <c r="C38" s="7"/>
      <c r="D38" s="7"/>
      <c r="E38" s="7"/>
      <c r="F38" s="7"/>
      <c r="G38" s="7"/>
    </row>
    <row r="39" spans="1:7" x14ac:dyDescent="0.2">
      <c r="A39" s="8" t="s">
        <v>697</v>
      </c>
      <c r="B39" s="8" t="s">
        <v>698</v>
      </c>
      <c r="C39" s="8" t="s">
        <v>699</v>
      </c>
      <c r="D39" s="14">
        <f>GiaDinh_K3!$D$11/GiaDinh_K3!$D$12</f>
        <v>0.25</v>
      </c>
      <c r="E39" s="8" t="s">
        <v>132</v>
      </c>
      <c r="F39" s="8" t="s">
        <v>700</v>
      </c>
      <c r="G39" s="8" t="s">
        <v>701</v>
      </c>
    </row>
    <row r="40" spans="1:7" x14ac:dyDescent="0.2">
      <c r="A40" s="8" t="s">
        <v>702</v>
      </c>
      <c r="B40" s="8" t="s">
        <v>703</v>
      </c>
      <c r="C40" s="8" t="s">
        <v>704</v>
      </c>
      <c r="D40" s="14">
        <f>Params!$C$10/GiaDinh_K3!$D$11-$D$39</f>
        <v>1.6666666666666663E-2</v>
      </c>
      <c r="E40" s="8" t="s">
        <v>132</v>
      </c>
      <c r="F40" s="8" t="s">
        <v>705</v>
      </c>
      <c r="G40" s="8" t="s">
        <v>701</v>
      </c>
    </row>
    <row r="41" spans="1:7" x14ac:dyDescent="0.2">
      <c r="A41" s="8" t="s">
        <v>706</v>
      </c>
      <c r="B41" s="8" t="s">
        <v>707</v>
      </c>
      <c r="C41" s="8" t="s">
        <v>708</v>
      </c>
      <c r="D41" s="15">
        <f>2*$D$39+$D$40</f>
        <v>0.51666666666666661</v>
      </c>
      <c r="E41" s="8" t="s">
        <v>132</v>
      </c>
      <c r="F41" s="8" t="s">
        <v>709</v>
      </c>
      <c r="G41" s="8" t="s">
        <v>701</v>
      </c>
    </row>
    <row r="42" spans="1:7" x14ac:dyDescent="0.2">
      <c r="A42" s="8" t="s">
        <v>710</v>
      </c>
      <c r="B42" s="8" t="s">
        <v>711</v>
      </c>
      <c r="C42" s="8" t="s">
        <v>712</v>
      </c>
      <c r="D42" s="14">
        <f>Params!$C$10*$D$41/2</f>
        <v>3.0999999999999996E-2</v>
      </c>
      <c r="E42" s="8" t="s">
        <v>53</v>
      </c>
      <c r="F42" s="8" t="s">
        <v>713</v>
      </c>
      <c r="G42" s="8" t="s">
        <v>714</v>
      </c>
    </row>
    <row r="43" spans="1:7" x14ac:dyDescent="0.2">
      <c r="A43" s="8" t="s">
        <v>715</v>
      </c>
      <c r="B43" s="8" t="s">
        <v>716</v>
      </c>
      <c r="C43" s="8" t="s">
        <v>717</v>
      </c>
      <c r="D43" s="14">
        <f>GiaDinh_K3!$D$11^2/GiaDinh_K3!$D$12</f>
        <v>0.1125</v>
      </c>
      <c r="E43" s="8" t="s">
        <v>56</v>
      </c>
      <c r="F43" s="8" t="s">
        <v>718</v>
      </c>
      <c r="G43" s="8" t="s">
        <v>701</v>
      </c>
    </row>
    <row r="44" spans="1:7" x14ac:dyDescent="0.2">
      <c r="A44" s="8" t="s">
        <v>719</v>
      </c>
      <c r="B44" s="8" t="s">
        <v>720</v>
      </c>
      <c r="C44" s="8" t="s">
        <v>721</v>
      </c>
      <c r="D44" s="15">
        <f>($D$39+$D$40)/$D$41</f>
        <v>0.51612903225806461</v>
      </c>
      <c r="E44" s="8" t="s">
        <v>65</v>
      </c>
      <c r="F44" s="8" t="s">
        <v>722</v>
      </c>
      <c r="G44" s="8" t="s">
        <v>723</v>
      </c>
    </row>
    <row r="45" spans="1:7" x14ac:dyDescent="0.2">
      <c r="A45" s="8" t="s">
        <v>724</v>
      </c>
      <c r="B45" s="8" t="s">
        <v>725</v>
      </c>
      <c r="C45" s="8" t="s">
        <v>726</v>
      </c>
      <c r="D45" s="15">
        <f>(2*$D$39/3+$D$40)/$D$41</f>
        <v>0.35483870967741937</v>
      </c>
      <c r="E45" s="8" t="s">
        <v>65</v>
      </c>
      <c r="F45" s="8" t="s">
        <v>722</v>
      </c>
      <c r="G45" s="8" t="s">
        <v>723</v>
      </c>
    </row>
    <row r="46" spans="1:7" x14ac:dyDescent="0.2">
      <c r="A46" s="8" t="s">
        <v>727</v>
      </c>
      <c r="B46" s="8" t="s">
        <v>728</v>
      </c>
      <c r="C46" s="8" t="s">
        <v>729</v>
      </c>
      <c r="D46" s="14">
        <f>DEGREES(Params!$C$10*Params!$C$8/Params!$C$19)</f>
        <v>0.63369276940432284</v>
      </c>
      <c r="E46" s="8" t="s">
        <v>389</v>
      </c>
      <c r="F46" s="8" t="s">
        <v>730</v>
      </c>
      <c r="G46" s="8" t="s">
        <v>731</v>
      </c>
    </row>
    <row r="47" spans="1:7" x14ac:dyDescent="0.2">
      <c r="A47" s="8" t="s">
        <v>732</v>
      </c>
      <c r="B47" s="8" t="s">
        <v>733</v>
      </c>
      <c r="C47" s="8" t="s">
        <v>734</v>
      </c>
      <c r="D47" s="14">
        <f>DEGREES(ATAN(Params!$C$11/Params!$C$19))</f>
        <v>2.9177493782304493</v>
      </c>
      <c r="E47" s="8" t="s">
        <v>389</v>
      </c>
      <c r="F47" s="8" t="s">
        <v>735</v>
      </c>
      <c r="G47" s="8" t="s">
        <v>736</v>
      </c>
    </row>
    <row r="48" spans="1:7" ht="15" customHeight="1" x14ac:dyDescent="0.25">
      <c r="A48" s="6" t="s">
        <v>737</v>
      </c>
      <c r="B48" s="7"/>
      <c r="C48" s="7"/>
      <c r="D48" s="7"/>
      <c r="E48" s="7"/>
      <c r="F48" s="7"/>
      <c r="G48" s="7"/>
    </row>
    <row r="49" spans="1:7" x14ac:dyDescent="0.2">
      <c r="A49" s="8" t="s">
        <v>738</v>
      </c>
      <c r="B49" s="8" t="s">
        <v>739</v>
      </c>
      <c r="C49" s="8" t="s">
        <v>740</v>
      </c>
      <c r="D49" s="14">
        <f>GiaDinh_K3!$D$3*GiaDinh_K3!$D$4</f>
        <v>240</v>
      </c>
      <c r="E49" s="8" t="s">
        <v>132</v>
      </c>
      <c r="F49" s="8" t="s">
        <v>741</v>
      </c>
      <c r="G49" s="8" t="s">
        <v>742</v>
      </c>
    </row>
    <row r="50" spans="1:7" x14ac:dyDescent="0.2">
      <c r="A50" s="8" t="s">
        <v>743</v>
      </c>
      <c r="B50" s="8" t="s">
        <v>744</v>
      </c>
      <c r="C50" s="8" t="s">
        <v>745</v>
      </c>
      <c r="D50" s="14">
        <f>GiaDinh_K3!$D$4-$D$49</f>
        <v>360</v>
      </c>
      <c r="E50" s="8" t="s">
        <v>132</v>
      </c>
      <c r="F50" s="8"/>
      <c r="G50" s="8"/>
    </row>
    <row r="51" spans="1:7" x14ac:dyDescent="0.2">
      <c r="A51" s="8" t="s">
        <v>746</v>
      </c>
      <c r="B51" s="8" t="s">
        <v>747</v>
      </c>
      <c r="C51" s="8" t="s">
        <v>748</v>
      </c>
      <c r="D51" s="14">
        <f>$D$49/GiaDinh_K3!$D$10</f>
        <v>120</v>
      </c>
      <c r="E51" s="8" t="s">
        <v>132</v>
      </c>
      <c r="F51" s="8"/>
      <c r="G51" s="8" t="s">
        <v>749</v>
      </c>
    </row>
    <row r="52" spans="1:7" x14ac:dyDescent="0.2">
      <c r="A52" s="8" t="s">
        <v>750</v>
      </c>
      <c r="B52" s="8" t="s">
        <v>751</v>
      </c>
      <c r="C52" s="8" t="s">
        <v>752</v>
      </c>
      <c r="D52" s="15">
        <f>$D$51-2*$D$41</f>
        <v>118.96666666666667</v>
      </c>
      <c r="E52" s="8" t="s">
        <v>132</v>
      </c>
      <c r="F52" s="8"/>
      <c r="G52" s="8"/>
    </row>
    <row r="53" spans="1:7" x14ac:dyDescent="0.2">
      <c r="A53" s="8" t="s">
        <v>753</v>
      </c>
      <c r="B53" s="8" t="s">
        <v>754</v>
      </c>
      <c r="C53" s="8" t="s">
        <v>755</v>
      </c>
      <c r="D53" s="14">
        <f>Params!$C$10*($D$52+$D$41)</f>
        <v>14.337999999999999</v>
      </c>
      <c r="E53" s="8" t="s">
        <v>53</v>
      </c>
      <c r="F53" s="8" t="s">
        <v>756</v>
      </c>
      <c r="G53" s="8" t="s">
        <v>757</v>
      </c>
    </row>
    <row r="54" spans="1:7" x14ac:dyDescent="0.2">
      <c r="A54" s="8" t="s">
        <v>758</v>
      </c>
      <c r="B54" s="8" t="s">
        <v>759</v>
      </c>
      <c r="C54" s="8" t="s">
        <v>760</v>
      </c>
      <c r="D54" s="14">
        <f>GiaDinh_K3!$D$8*Params!$C$5*GiaDinh_K3!$D$11*$D$23/Params!$C$16+Catalogue!$F$15*$D$24</f>
        <v>8.0557906729702591</v>
      </c>
      <c r="E54" s="8" t="s">
        <v>108</v>
      </c>
      <c r="F54" s="8" t="s">
        <v>761</v>
      </c>
      <c r="G54" s="8" t="s">
        <v>762</v>
      </c>
    </row>
    <row r="55" spans="1:7" x14ac:dyDescent="0.2">
      <c r="A55" s="8" t="s">
        <v>763</v>
      </c>
      <c r="B55" s="8" t="s">
        <v>764</v>
      </c>
      <c r="C55" s="8" t="s">
        <v>765</v>
      </c>
      <c r="D55" s="14">
        <f>GiaDinh_K3!$D$8*Params!$C$6*GiaDinh_K3!$D$11*$D$23/Params!$C$16+Catalogue!$F$15*$D$24</f>
        <v>2.4007356324140599</v>
      </c>
      <c r="E55" s="8" t="s">
        <v>108</v>
      </c>
      <c r="F55" s="8"/>
      <c r="G55" s="8" t="s">
        <v>762</v>
      </c>
    </row>
    <row r="56" spans="1:7" x14ac:dyDescent="0.2">
      <c r="A56" s="8" t="s">
        <v>766</v>
      </c>
      <c r="B56" s="8" t="s">
        <v>767</v>
      </c>
      <c r="C56" s="8" t="s">
        <v>768</v>
      </c>
      <c r="D56" s="15">
        <f>$D$25^2*(2*$D$41+$D$52)+2*$D$41*$D$54^2*$D$45</f>
        <v>445.23352288732087</v>
      </c>
      <c r="E56" s="8" t="s">
        <v>769</v>
      </c>
      <c r="F56" s="8" t="s">
        <v>770</v>
      </c>
      <c r="G56" s="8" t="s">
        <v>771</v>
      </c>
    </row>
    <row r="57" spans="1:7" x14ac:dyDescent="0.2">
      <c r="A57" s="8" t="s">
        <v>772</v>
      </c>
      <c r="B57" s="8" t="s">
        <v>773</v>
      </c>
      <c r="C57" s="8" t="s">
        <v>774</v>
      </c>
      <c r="D57" s="15">
        <f>$D$26^2*(2*$D$41+$D$52)+2*$D$41*$D$55^2*$D$45</f>
        <v>10.605734905869854</v>
      </c>
      <c r="E57" s="8" t="s">
        <v>769</v>
      </c>
      <c r="F57" s="8"/>
      <c r="G57" s="8"/>
    </row>
    <row r="58" spans="1:7" x14ac:dyDescent="0.2">
      <c r="A58" s="8" t="s">
        <v>775</v>
      </c>
      <c r="B58" s="8" t="s">
        <v>776</v>
      </c>
      <c r="C58" s="8" t="s">
        <v>777</v>
      </c>
      <c r="D58" s="15">
        <f>SQRT(($D$56+$D$57)/$D$49)</f>
        <v>1.3781619066005857</v>
      </c>
      <c r="E58" s="8" t="s">
        <v>108</v>
      </c>
      <c r="F58" s="8" t="s">
        <v>778</v>
      </c>
      <c r="G58" s="8" t="s">
        <v>779</v>
      </c>
    </row>
    <row r="59" spans="1:7" x14ac:dyDescent="0.2">
      <c r="A59" s="8" t="s">
        <v>780</v>
      </c>
      <c r="B59" s="8" t="s">
        <v>781</v>
      </c>
      <c r="C59" s="8" t="s">
        <v>782</v>
      </c>
      <c r="D59" s="15">
        <f>$D$58*$D$18</f>
        <v>207.82191941921772</v>
      </c>
      <c r="E59" s="8" t="s">
        <v>102</v>
      </c>
      <c r="F59" s="8" t="s">
        <v>783</v>
      </c>
      <c r="G59" s="8" t="s">
        <v>779</v>
      </c>
    </row>
    <row r="60" spans="1:7" x14ac:dyDescent="0.2">
      <c r="A60" s="8" t="s">
        <v>784</v>
      </c>
      <c r="B60" s="8" t="s">
        <v>785</v>
      </c>
      <c r="C60" s="8" t="s">
        <v>786</v>
      </c>
      <c r="D60" s="14">
        <f>Catalogue!$F$4*1000/$D$59</f>
        <v>3.6088589793413579</v>
      </c>
      <c r="E60" s="8" t="s">
        <v>65</v>
      </c>
      <c r="F60" s="8" t="s">
        <v>787</v>
      </c>
      <c r="G60" s="8" t="s">
        <v>227</v>
      </c>
    </row>
    <row r="61" spans="1:7" x14ac:dyDescent="0.2">
      <c r="A61" s="8" t="s">
        <v>788</v>
      </c>
      <c r="B61" s="8" t="s">
        <v>789</v>
      </c>
      <c r="C61" s="8" t="s">
        <v>790</v>
      </c>
      <c r="D61" s="14">
        <f>$D$59*SQRT(GiaDinh_K3!$D$3)</f>
        <v>131.43812261454107</v>
      </c>
      <c r="E61" s="8" t="s">
        <v>102</v>
      </c>
      <c r="F61" s="8" t="s">
        <v>791</v>
      </c>
      <c r="G61" s="8" t="s">
        <v>792</v>
      </c>
    </row>
    <row r="62" spans="1:7" x14ac:dyDescent="0.2">
      <c r="A62" s="8" t="s">
        <v>793</v>
      </c>
      <c r="B62" s="8" t="s">
        <v>794</v>
      </c>
      <c r="C62" s="8" t="s">
        <v>795</v>
      </c>
      <c r="D62" s="15">
        <f>$D$25+$D$54</f>
        <v>9.9298202210583248</v>
      </c>
      <c r="E62" s="8" t="s">
        <v>108</v>
      </c>
      <c r="F62" s="8" t="s">
        <v>796</v>
      </c>
      <c r="G62" s="8"/>
    </row>
    <row r="63" spans="1:7" x14ac:dyDescent="0.2">
      <c r="A63" s="8" t="s">
        <v>797</v>
      </c>
      <c r="B63" s="8" t="s">
        <v>798</v>
      </c>
      <c r="C63" s="8" t="s">
        <v>799</v>
      </c>
      <c r="D63" s="15">
        <f>$D$25-$D$54</f>
        <v>-6.1817611248821942</v>
      </c>
      <c r="E63" s="8" t="s">
        <v>108</v>
      </c>
      <c r="F63" s="8" t="s">
        <v>800</v>
      </c>
      <c r="G63" s="8"/>
    </row>
    <row r="64" spans="1:7" x14ac:dyDescent="0.2">
      <c r="A64" s="8" t="s">
        <v>801</v>
      </c>
      <c r="B64" s="8" t="s">
        <v>802</v>
      </c>
      <c r="C64" s="8" t="s">
        <v>803</v>
      </c>
      <c r="D64" s="15">
        <f>$D$26+$D$55</f>
        <v>2.6667625733178837</v>
      </c>
      <c r="E64" s="8" t="s">
        <v>108</v>
      </c>
      <c r="F64" s="8"/>
      <c r="G64" s="8"/>
    </row>
    <row r="65" spans="1:7" x14ac:dyDescent="0.2">
      <c r="A65" s="8" t="s">
        <v>804</v>
      </c>
      <c r="B65" s="8" t="s">
        <v>805</v>
      </c>
      <c r="C65" s="8" t="s">
        <v>806</v>
      </c>
      <c r="D65" s="15">
        <f>$D$26-$D$55</f>
        <v>-2.134708691510236</v>
      </c>
      <c r="E65" s="8" t="s">
        <v>108</v>
      </c>
      <c r="F65" s="8" t="s">
        <v>807</v>
      </c>
      <c r="G65" s="8"/>
    </row>
    <row r="66" spans="1:7" ht="15" customHeight="1" x14ac:dyDescent="0.25">
      <c r="A66" s="6" t="s">
        <v>808</v>
      </c>
      <c r="B66" s="7"/>
      <c r="C66" s="7"/>
      <c r="D66" s="7"/>
      <c r="E66" s="7"/>
      <c r="F66" s="7"/>
      <c r="G66" s="7"/>
    </row>
    <row r="67" spans="1:7" x14ac:dyDescent="0.2">
      <c r="A67" s="8" t="s">
        <v>809</v>
      </c>
      <c r="B67" s="8" t="s">
        <v>810</v>
      </c>
      <c r="C67" s="8" t="s">
        <v>811</v>
      </c>
      <c r="D67" s="14">
        <f>ACOS(Catalogue!$F$8)</f>
        <v>0.73772596845324878</v>
      </c>
      <c r="E67" s="8" t="s">
        <v>812</v>
      </c>
      <c r="F67" s="8"/>
      <c r="G67" s="8"/>
    </row>
    <row r="68" spans="1:7" x14ac:dyDescent="0.2">
      <c r="A68" s="8" t="s">
        <v>813</v>
      </c>
      <c r="B68" s="8" t="s">
        <v>814</v>
      </c>
      <c r="C68" s="8" t="s">
        <v>815</v>
      </c>
      <c r="D68" s="14">
        <f>Catalogue!$F$12+SQRT(Catalogue!$F$12^2-1)</f>
        <v>6.6496153618543836</v>
      </c>
      <c r="E68" s="8" t="s">
        <v>65</v>
      </c>
      <c r="F68" s="8" t="s">
        <v>816</v>
      </c>
      <c r="G68" s="8" t="s">
        <v>817</v>
      </c>
    </row>
    <row r="69" spans="1:7" x14ac:dyDescent="0.2">
      <c r="A69" s="8" t="s">
        <v>818</v>
      </c>
      <c r="B69" s="8" t="s">
        <v>819</v>
      </c>
      <c r="C69" s="8" t="s">
        <v>820</v>
      </c>
      <c r="D69" s="14">
        <f>Catalogue!$F$7*(SIN($D$67)-Catalogue!$F$8/$D$68)</f>
        <v>0.98231391405744406</v>
      </c>
      <c r="E69" s="8" t="s">
        <v>117</v>
      </c>
      <c r="F69" s="8" t="s">
        <v>821</v>
      </c>
      <c r="G69" s="8" t="s">
        <v>822</v>
      </c>
    </row>
    <row r="70" spans="1:7" x14ac:dyDescent="0.2">
      <c r="A70" s="8" t="s">
        <v>823</v>
      </c>
      <c r="B70" s="8" t="s">
        <v>824</v>
      </c>
      <c r="C70" s="8" t="s">
        <v>825</v>
      </c>
      <c r="D70" s="14">
        <f>SQRT(Catalogue!$F$7^2-$D$69^2)</f>
        <v>1.4482953339181703</v>
      </c>
      <c r="E70" s="8" t="s">
        <v>117</v>
      </c>
      <c r="F70" s="8"/>
      <c r="G70" s="8"/>
    </row>
    <row r="71" spans="1:7" x14ac:dyDescent="0.2">
      <c r="A71" s="8" t="s">
        <v>826</v>
      </c>
      <c r="B71" s="8" t="s">
        <v>827</v>
      </c>
      <c r="C71" s="8" t="s">
        <v>828</v>
      </c>
      <c r="D71" s="15">
        <f>SQRT($D$69^2+($D$70*$D$35)^2)</f>
        <v>3.3160408607307961</v>
      </c>
      <c r="E71" s="8" t="s">
        <v>117</v>
      </c>
      <c r="F71" s="8" t="s">
        <v>829</v>
      </c>
      <c r="G71" s="8" t="s">
        <v>830</v>
      </c>
    </row>
    <row r="72" spans="1:7" x14ac:dyDescent="0.2">
      <c r="A72" s="8" t="s">
        <v>831</v>
      </c>
      <c r="B72" s="8" t="s">
        <v>832</v>
      </c>
      <c r="C72" s="8" t="s">
        <v>833</v>
      </c>
      <c r="D72" s="14">
        <f>1.5*Catalogue!$F$21</f>
        <v>3.9000000000000004</v>
      </c>
      <c r="E72" s="8" t="s">
        <v>117</v>
      </c>
      <c r="F72" s="8" t="s">
        <v>834</v>
      </c>
      <c r="G72" s="8" t="s">
        <v>82</v>
      </c>
    </row>
    <row r="73" spans="1:7" ht="15" customHeight="1" x14ac:dyDescent="0.25">
      <c r="A73" s="6" t="s">
        <v>835</v>
      </c>
      <c r="B73" s="7"/>
      <c r="C73" s="7"/>
      <c r="D73" s="7"/>
      <c r="E73" s="7"/>
      <c r="F73" s="7"/>
      <c r="G73" s="7"/>
    </row>
    <row r="74" spans="1:7" x14ac:dyDescent="0.2">
      <c r="A74" s="8" t="s">
        <v>836</v>
      </c>
      <c r="B74" s="8" t="s">
        <v>837</v>
      </c>
      <c r="C74" s="8" t="s">
        <v>838</v>
      </c>
      <c r="D74" s="14">
        <f>Params!$C$5*Params!$C$11-Params!$C$21</f>
        <v>5025.9953999999998</v>
      </c>
      <c r="E74" s="8" t="s">
        <v>96</v>
      </c>
      <c r="F74" s="8" t="s">
        <v>839</v>
      </c>
      <c r="G74" s="8" t="s">
        <v>840</v>
      </c>
    </row>
    <row r="75" spans="1:7" x14ac:dyDescent="0.2">
      <c r="A75" s="8" t="s">
        <v>841</v>
      </c>
      <c r="B75" s="8" t="s">
        <v>119</v>
      </c>
      <c r="C75" s="8" t="s">
        <v>842</v>
      </c>
      <c r="D75" s="14">
        <f>$D$74*Params!$C$10*Params!$C$16*Catalogue!$F$9*GiaDinh_K3!$D$13</f>
        <v>436.48779754821589</v>
      </c>
      <c r="E75" s="8" t="s">
        <v>102</v>
      </c>
      <c r="F75" s="8" t="s">
        <v>843</v>
      </c>
      <c r="G75" s="8" t="s">
        <v>840</v>
      </c>
    </row>
    <row r="76" spans="1:7" x14ac:dyDescent="0.2">
      <c r="A76" s="8" t="s">
        <v>844</v>
      </c>
      <c r="B76" s="8" t="s">
        <v>845</v>
      </c>
      <c r="C76" s="8" t="s">
        <v>846</v>
      </c>
      <c r="D76" s="14">
        <f>GiaDinh_K3!$D$14^2/$D$75</f>
        <v>1122.5972472824351</v>
      </c>
      <c r="E76" s="8" t="s">
        <v>124</v>
      </c>
      <c r="F76" s="8"/>
      <c r="G76" s="8" t="s">
        <v>840</v>
      </c>
    </row>
    <row r="77" spans="1:7" x14ac:dyDescent="0.2">
      <c r="A77" s="8" t="s">
        <v>847</v>
      </c>
      <c r="B77" s="8" t="s">
        <v>848</v>
      </c>
      <c r="C77" s="8" t="s">
        <v>849</v>
      </c>
      <c r="D77" s="14">
        <f>MIN($D$76,Catalogue!$F$25)</f>
        <v>428</v>
      </c>
      <c r="E77" s="8" t="s">
        <v>124</v>
      </c>
      <c r="F77" s="8" t="s">
        <v>850</v>
      </c>
      <c r="G77" s="8" t="s">
        <v>545</v>
      </c>
    </row>
    <row r="78" spans="1:7" x14ac:dyDescent="0.2">
      <c r="A78" s="8" t="s">
        <v>851</v>
      </c>
      <c r="B78" s="8" t="s">
        <v>852</v>
      </c>
      <c r="C78" s="8" t="s">
        <v>853</v>
      </c>
      <c r="D78" s="14">
        <f>Catalogue!$F$24</f>
        <v>99</v>
      </c>
      <c r="E78" s="8" t="s">
        <v>124</v>
      </c>
      <c r="F78" s="8" t="s">
        <v>854</v>
      </c>
      <c r="G78" s="8" t="s">
        <v>545</v>
      </c>
    </row>
    <row r="79" spans="1:7" x14ac:dyDescent="0.2">
      <c r="A79" s="8" t="s">
        <v>855</v>
      </c>
      <c r="B79" s="8" t="s">
        <v>856</v>
      </c>
      <c r="C79" s="8" t="s">
        <v>857</v>
      </c>
      <c r="D79" s="14">
        <f>GiaDinh_K3!$D$14/GiaDinh_K3!$D$42</f>
        <v>3.3333333333333335</v>
      </c>
      <c r="E79" s="8" t="s">
        <v>117</v>
      </c>
      <c r="F79" s="8"/>
      <c r="G79" s="8"/>
    </row>
    <row r="80" spans="1:7" x14ac:dyDescent="0.2">
      <c r="A80" s="8" t="s">
        <v>858</v>
      </c>
      <c r="B80" s="8" t="s">
        <v>859</v>
      </c>
      <c r="C80" s="8" t="s">
        <v>860</v>
      </c>
      <c r="D80" s="14">
        <f>GiaDinh_K3!$D$14^2/GiaDinh_K3!$D$42</f>
        <v>2333.3333333333335</v>
      </c>
      <c r="E80" s="8" t="s">
        <v>102</v>
      </c>
      <c r="F80" s="8" t="s">
        <v>861</v>
      </c>
      <c r="G80" s="8"/>
    </row>
    <row r="81" spans="1:7" ht="28.5" x14ac:dyDescent="0.2">
      <c r="A81" s="8" t="s">
        <v>862</v>
      </c>
      <c r="B81" s="8" t="s">
        <v>863</v>
      </c>
      <c r="C81" s="8" t="s">
        <v>864</v>
      </c>
      <c r="D81" s="14">
        <f>0.5*GiaDinh_K3!$D$8*Params!$C$5*Params!$C$10^2+0.5*Catalogue!$F$15*$D$191^2</f>
        <v>147.07299496181759</v>
      </c>
      <c r="E81" s="8" t="s">
        <v>127</v>
      </c>
      <c r="F81" s="28" t="s">
        <v>865</v>
      </c>
      <c r="G81" s="8" t="s">
        <v>866</v>
      </c>
    </row>
    <row r="82" spans="1:7" ht="71.25" x14ac:dyDescent="0.2">
      <c r="A82" s="8" t="s">
        <v>867</v>
      </c>
      <c r="B82" s="8" t="s">
        <v>868</v>
      </c>
      <c r="C82" s="8" t="s">
        <v>869</v>
      </c>
      <c r="D82" s="14">
        <f>MAX(0,($D$81-Params!$C$21*$D$42)*Params!$C$16*Catalogue!$F$9*GiaDinh_K3!$D$13)</f>
        <v>59.41488770073753</v>
      </c>
      <c r="E82" s="8" t="s">
        <v>127</v>
      </c>
      <c r="F82" s="8" t="s">
        <v>1703</v>
      </c>
      <c r="G82" s="8" t="s">
        <v>866</v>
      </c>
    </row>
    <row r="83" spans="1:7" ht="28.5" customHeight="1" x14ac:dyDescent="0.2">
      <c r="A83" s="8" t="s">
        <v>870</v>
      </c>
      <c r="B83" s="8" t="s">
        <v>871</v>
      </c>
      <c r="C83" s="8" t="s">
        <v>872</v>
      </c>
      <c r="D83" s="14">
        <f>$D$82*GiaDinh_K3!$D$10/GiaDinh_K3!$D$4</f>
        <v>0.1980496256691251</v>
      </c>
      <c r="E83" s="8" t="s">
        <v>102</v>
      </c>
      <c r="F83" s="8"/>
      <c r="G83" s="8"/>
    </row>
    <row r="84" spans="1:7" x14ac:dyDescent="0.2">
      <c r="A84" s="8" t="s">
        <v>873</v>
      </c>
      <c r="B84" s="8" t="s">
        <v>874</v>
      </c>
      <c r="C84" s="8" t="s">
        <v>875</v>
      </c>
      <c r="D84" s="14">
        <f>SQRT(2)*Params!$C$20*(1+GiaDinh_K3!$D$5)</f>
        <v>591.14126907195384</v>
      </c>
      <c r="E84" s="8" t="s">
        <v>296</v>
      </c>
      <c r="F84" s="8" t="s">
        <v>876</v>
      </c>
      <c r="G84" s="8" t="s">
        <v>877</v>
      </c>
    </row>
    <row r="85" spans="1:7" x14ac:dyDescent="0.2">
      <c r="A85" s="8" t="s">
        <v>878</v>
      </c>
      <c r="B85" s="8" t="s">
        <v>879</v>
      </c>
      <c r="C85" s="8" t="s">
        <v>880</v>
      </c>
      <c r="D85" s="14">
        <f>1.35*Params!$C$20</f>
        <v>513</v>
      </c>
      <c r="E85" s="8" t="s">
        <v>296</v>
      </c>
      <c r="F85" s="8" t="s">
        <v>881</v>
      </c>
      <c r="G85" s="8" t="s">
        <v>877</v>
      </c>
    </row>
    <row r="86" spans="1:7" ht="15" customHeight="1" x14ac:dyDescent="0.25">
      <c r="A86" s="6" t="s">
        <v>882</v>
      </c>
      <c r="B86" s="7"/>
      <c r="C86" s="7"/>
      <c r="D86" s="7"/>
      <c r="E86" s="7"/>
      <c r="F86" s="7"/>
      <c r="G86" s="7"/>
    </row>
    <row r="87" spans="1:7" x14ac:dyDescent="0.2">
      <c r="A87" s="8" t="s">
        <v>883</v>
      </c>
      <c r="B87" s="8" t="s">
        <v>884</v>
      </c>
      <c r="C87" s="8" t="s">
        <v>883</v>
      </c>
      <c r="D87" s="14">
        <f>GiaDinh_K3!$D$18*Catalogue!$F$5</f>
        <v>4.95</v>
      </c>
      <c r="E87" s="8" t="s">
        <v>108</v>
      </c>
      <c r="F87" s="8" t="s">
        <v>370</v>
      </c>
      <c r="G87" s="8" t="s">
        <v>885</v>
      </c>
    </row>
    <row r="88" spans="1:7" ht="57" customHeight="1" x14ac:dyDescent="0.2">
      <c r="A88" s="8" t="s">
        <v>886</v>
      </c>
      <c r="B88" s="8" t="s">
        <v>887</v>
      </c>
      <c r="C88" s="8" t="s">
        <v>888</v>
      </c>
      <c r="D88" s="14">
        <f>MAX(GiaDinh_K3!$D$17*$D$25,GiaDinh_K3!$D$19*$D$87)</f>
        <v>5.94</v>
      </c>
      <c r="E88" s="8" t="s">
        <v>108</v>
      </c>
      <c r="F88" s="8" t="s">
        <v>889</v>
      </c>
      <c r="G88" s="8" t="s">
        <v>890</v>
      </c>
    </row>
    <row r="89" spans="1:7" x14ac:dyDescent="0.2">
      <c r="A89" s="8" t="s">
        <v>891</v>
      </c>
      <c r="B89" s="8" t="s">
        <v>892</v>
      </c>
      <c r="C89" s="8" t="s">
        <v>893</v>
      </c>
      <c r="D89" s="14">
        <f>$D$12*$D$23*Params!$C$16</f>
        <v>10.119759559675552</v>
      </c>
      <c r="E89" s="8" t="s">
        <v>108</v>
      </c>
      <c r="F89" s="8" t="s">
        <v>894</v>
      </c>
      <c r="G89" s="8" t="s">
        <v>695</v>
      </c>
    </row>
    <row r="90" spans="1:7" x14ac:dyDescent="0.2">
      <c r="A90" s="8" t="s">
        <v>895</v>
      </c>
      <c r="B90" s="8" t="s">
        <v>896</v>
      </c>
      <c r="C90" s="8" t="s">
        <v>897</v>
      </c>
      <c r="D90" s="14">
        <f>$D$14*$D$23*Params!$C$16</f>
        <v>1.4365454808806493</v>
      </c>
      <c r="E90" s="8" t="s">
        <v>108</v>
      </c>
      <c r="F90" s="8" t="s">
        <v>898</v>
      </c>
      <c r="G90" s="8" t="s">
        <v>695</v>
      </c>
    </row>
    <row r="91" spans="1:7" x14ac:dyDescent="0.2">
      <c r="A91" s="8" t="s">
        <v>899</v>
      </c>
      <c r="B91" s="8" t="s">
        <v>900</v>
      </c>
      <c r="C91" s="8" t="s">
        <v>901</v>
      </c>
      <c r="D91" s="14">
        <f>(GiaDinh_K3!$D$20/($D$23*Params!$C$16)+Params!$C$21)/(GiaDinh_K3!$D$8*Params!$C$5+Catalogue!$F$15/($D$23^2*Params!$C$16))</f>
        <v>0.56339283018832498</v>
      </c>
      <c r="E91" s="8" t="s">
        <v>59</v>
      </c>
      <c r="F91" s="8"/>
      <c r="G91" s="8"/>
    </row>
    <row r="92" spans="1:7" x14ac:dyDescent="0.2">
      <c r="A92" s="8" t="s">
        <v>902</v>
      </c>
      <c r="B92" s="8" t="s">
        <v>903</v>
      </c>
      <c r="C92" s="8" t="s">
        <v>904</v>
      </c>
      <c r="D92" s="14">
        <f>MIN((GiaDinh_K3!$D$20/($D$23*Params!$C$16)+$D$6)/(GiaDinh_K3!$D$8*Params!$C$6+Catalogue!$F$15/($D$23^2*Params!$C$16)),($D$14+$D$6)/Params!$C$6)</f>
        <v>1.1281500000000002</v>
      </c>
      <c r="E92" s="8" t="s">
        <v>59</v>
      </c>
      <c r="F92" s="8"/>
      <c r="G92" s="8"/>
    </row>
    <row r="93" spans="1:7" x14ac:dyDescent="0.2">
      <c r="A93" s="8" t="s">
        <v>905</v>
      </c>
      <c r="B93" s="8" t="s">
        <v>906</v>
      </c>
      <c r="C93" s="8" t="s">
        <v>907</v>
      </c>
      <c r="D93" s="14">
        <f>Params!$C$10^2/(2*$D$91)+Params!$C$10*GiaDinh_K3!$D$21</f>
        <v>1.877971534993312E-2</v>
      </c>
      <c r="E93" s="8" t="s">
        <v>53</v>
      </c>
      <c r="F93" s="8"/>
      <c r="G93" s="8"/>
    </row>
    <row r="94" spans="1:7" x14ac:dyDescent="0.2">
      <c r="A94" s="8" t="s">
        <v>908</v>
      </c>
      <c r="B94" s="8" t="s">
        <v>909</v>
      </c>
      <c r="C94" s="8" t="s">
        <v>910</v>
      </c>
      <c r="D94" s="14">
        <f>GiaDinh_K3!$D$31*GiaDinh_K3!$D$21*1000</f>
        <v>0.25</v>
      </c>
      <c r="E94" s="8" t="s">
        <v>911</v>
      </c>
      <c r="F94" s="8" t="s">
        <v>912</v>
      </c>
      <c r="G94" s="8" t="s">
        <v>913</v>
      </c>
    </row>
    <row r="95" spans="1:7" ht="15" customHeight="1" x14ac:dyDescent="0.25">
      <c r="A95" s="6" t="s">
        <v>914</v>
      </c>
      <c r="B95" s="7"/>
      <c r="C95" s="7"/>
      <c r="D95" s="7"/>
      <c r="E95" s="7"/>
      <c r="F95" s="7"/>
      <c r="G95" s="7"/>
    </row>
    <row r="96" spans="1:7" x14ac:dyDescent="0.2">
      <c r="A96" s="8" t="s">
        <v>915</v>
      </c>
      <c r="B96" s="8" t="s">
        <v>916</v>
      </c>
      <c r="C96" s="8" t="s">
        <v>917</v>
      </c>
      <c r="D96" s="14">
        <f>60*GiaDinh_K3!$D$6/GiaDinh_K3!$D$28</f>
        <v>1500</v>
      </c>
      <c r="E96" s="8" t="s">
        <v>490</v>
      </c>
      <c r="F96" s="8"/>
      <c r="G96" s="8"/>
    </row>
    <row r="97" spans="1:7" x14ac:dyDescent="0.2">
      <c r="A97" s="8" t="s">
        <v>918</v>
      </c>
      <c r="B97" s="8" t="s">
        <v>919</v>
      </c>
      <c r="C97" s="8" t="s">
        <v>920</v>
      </c>
      <c r="D97" s="14">
        <f>($D$96-Catalogue!$F$6)/$D$96</f>
        <v>0.04</v>
      </c>
      <c r="E97" s="8" t="s">
        <v>65</v>
      </c>
      <c r="F97" s="8"/>
      <c r="G97" s="8"/>
    </row>
    <row r="98" spans="1:7" x14ac:dyDescent="0.2">
      <c r="A98" s="8" t="s">
        <v>921</v>
      </c>
      <c r="B98" s="8" t="s">
        <v>922</v>
      </c>
      <c r="C98" s="8" t="s">
        <v>923</v>
      </c>
      <c r="D98" s="14">
        <f>GiaDinh_K3!$D$29/SQRT(3)</f>
        <v>230.94010767585033</v>
      </c>
      <c r="E98" s="8" t="s">
        <v>296</v>
      </c>
      <c r="F98" s="8" t="s">
        <v>924</v>
      </c>
      <c r="G98" s="8"/>
    </row>
    <row r="99" spans="1:7" x14ac:dyDescent="0.2">
      <c r="A99" s="8" t="s">
        <v>925</v>
      </c>
      <c r="B99" s="8" t="s">
        <v>926</v>
      </c>
      <c r="C99" s="8" t="s">
        <v>927</v>
      </c>
      <c r="D99" s="14">
        <f>2*PI()*GiaDinh_K3!$D$6</f>
        <v>314.15926535897933</v>
      </c>
      <c r="E99" s="8" t="s">
        <v>185</v>
      </c>
      <c r="F99" s="8"/>
      <c r="G99" s="8"/>
    </row>
    <row r="100" spans="1:7" x14ac:dyDescent="0.2">
      <c r="A100" s="8" t="s">
        <v>928</v>
      </c>
      <c r="B100" s="8" t="s">
        <v>929</v>
      </c>
      <c r="C100" s="8" t="s">
        <v>930</v>
      </c>
      <c r="D100" s="15">
        <f>$D$98/$D$69</f>
        <v>235.09807238905233</v>
      </c>
      <c r="E100" s="8" t="s">
        <v>124</v>
      </c>
      <c r="F100" s="8"/>
      <c r="G100" s="8" t="s">
        <v>931</v>
      </c>
    </row>
    <row r="101" spans="1:7" x14ac:dyDescent="0.2">
      <c r="A101" s="8" t="s">
        <v>932</v>
      </c>
      <c r="B101" s="8" t="s">
        <v>933</v>
      </c>
      <c r="C101" s="8" t="s">
        <v>934</v>
      </c>
      <c r="D101" s="15">
        <f>$D$68/SQRT(1+$D$68^2)</f>
        <v>0.98888048420292396</v>
      </c>
      <c r="E101" s="8" t="s">
        <v>65</v>
      </c>
      <c r="F101" s="8"/>
      <c r="G101" s="8"/>
    </row>
    <row r="102" spans="1:7" x14ac:dyDescent="0.2">
      <c r="A102" s="8" t="s">
        <v>935</v>
      </c>
      <c r="B102" s="8" t="s">
        <v>936</v>
      </c>
      <c r="C102" s="8" t="s">
        <v>937</v>
      </c>
      <c r="D102" s="14">
        <f>Catalogue!$F$7*Catalogue!$F$8/$D$101</f>
        <v>1.3095616919205562</v>
      </c>
      <c r="E102" s="8" t="s">
        <v>117</v>
      </c>
      <c r="F102" s="8"/>
      <c r="G102" s="8"/>
    </row>
    <row r="103" spans="1:7" x14ac:dyDescent="0.2">
      <c r="A103" s="8" t="s">
        <v>938</v>
      </c>
      <c r="B103" s="8" t="s">
        <v>939</v>
      </c>
      <c r="C103" s="8" t="s">
        <v>940</v>
      </c>
      <c r="D103" s="15">
        <f>$D$98/$D$102</f>
        <v>176.34916254854849</v>
      </c>
      <c r="E103" s="8" t="s">
        <v>124</v>
      </c>
      <c r="F103" s="8"/>
      <c r="G103" s="8"/>
    </row>
    <row r="104" spans="1:7" x14ac:dyDescent="0.2">
      <c r="A104" s="8" t="s">
        <v>941</v>
      </c>
      <c r="B104" s="8" t="s">
        <v>942</v>
      </c>
      <c r="C104" s="8" t="s">
        <v>943</v>
      </c>
      <c r="D104" s="15">
        <f>$D$103*$D$101*$D$97</f>
        <v>6.975529809991551</v>
      </c>
      <c r="E104" s="8" t="s">
        <v>124</v>
      </c>
      <c r="F104" s="8"/>
      <c r="G104" s="8"/>
    </row>
    <row r="105" spans="1:7" x14ac:dyDescent="0.2">
      <c r="A105" s="8" t="s">
        <v>944</v>
      </c>
      <c r="B105" s="8" t="s">
        <v>945</v>
      </c>
      <c r="C105" s="8" t="s">
        <v>946</v>
      </c>
      <c r="D105" s="15">
        <f>$D$103*SQRT(1-$D$101^2)</f>
        <v>26.225313158738423</v>
      </c>
      <c r="E105" s="8" t="s">
        <v>124</v>
      </c>
      <c r="F105" s="8"/>
      <c r="G105" s="8"/>
    </row>
    <row r="106" spans="1:7" x14ac:dyDescent="0.2">
      <c r="A106" s="8" t="s">
        <v>947</v>
      </c>
      <c r="B106" s="8" t="s">
        <v>948</v>
      </c>
      <c r="C106" s="8" t="s">
        <v>949</v>
      </c>
      <c r="D106" s="14">
        <f>Catalogue!$F$4*1000/Catalogue!$F$9-Catalogue!$F$4*1000</f>
        <v>154.70446320868518</v>
      </c>
      <c r="E106" s="8" t="s">
        <v>102</v>
      </c>
      <c r="F106" s="8"/>
      <c r="G106" s="8"/>
    </row>
    <row r="107" spans="1:7" x14ac:dyDescent="0.2">
      <c r="A107" s="8" t="s">
        <v>950</v>
      </c>
      <c r="B107" s="8" t="s">
        <v>951</v>
      </c>
      <c r="C107" s="8" t="s">
        <v>952</v>
      </c>
      <c r="D107" s="14">
        <f>$D$97/(1-$D$97)*Catalogue!$F$4*1000</f>
        <v>31.25</v>
      </c>
      <c r="E107" s="8" t="s">
        <v>102</v>
      </c>
      <c r="F107" s="8"/>
      <c r="G107" s="8"/>
    </row>
    <row r="108" spans="1:7" x14ac:dyDescent="0.2">
      <c r="A108" s="8" t="s">
        <v>953</v>
      </c>
      <c r="B108" s="8" t="s">
        <v>954</v>
      </c>
      <c r="C108" s="8" t="s">
        <v>955</v>
      </c>
      <c r="D108" s="14">
        <f>$D$106*(1-GiaDinh_K3!$D$26)-$D$107</f>
        <v>77.043124246079628</v>
      </c>
      <c r="E108" s="8" t="s">
        <v>102</v>
      </c>
      <c r="F108" s="8"/>
      <c r="G108" s="8"/>
    </row>
    <row r="109" spans="1:7" x14ac:dyDescent="0.2">
      <c r="A109" s="8" t="s">
        <v>956</v>
      </c>
      <c r="B109" s="8" t="s">
        <v>957</v>
      </c>
      <c r="C109" s="8" t="s">
        <v>958</v>
      </c>
      <c r="D109" s="14">
        <f>$D$108/(3*Catalogue!$F$7^2)</f>
        <v>8.3856461764440411</v>
      </c>
      <c r="E109" s="8" t="s">
        <v>124</v>
      </c>
      <c r="F109" s="8"/>
      <c r="G109" s="8"/>
    </row>
    <row r="110" spans="1:7" x14ac:dyDescent="0.2">
      <c r="A110" s="8" t="s">
        <v>959</v>
      </c>
      <c r="B110" s="8" t="s">
        <v>960</v>
      </c>
      <c r="C110" s="8" t="s">
        <v>961</v>
      </c>
      <c r="D110" s="15">
        <f>$D$100/$D$99</f>
        <v>0.74834040664187829</v>
      </c>
      <c r="E110" s="8" t="s">
        <v>962</v>
      </c>
      <c r="F110" s="8"/>
      <c r="G110" s="8"/>
    </row>
    <row r="111" spans="1:7" x14ac:dyDescent="0.2">
      <c r="A111" s="8" t="s">
        <v>963</v>
      </c>
      <c r="B111" s="8" t="s">
        <v>964</v>
      </c>
      <c r="C111" s="8" t="s">
        <v>965</v>
      </c>
      <c r="D111" s="14">
        <f>GiaDinh_K3!$D$27*$D$105/$D$99</f>
        <v>4.1738882233461477E-2</v>
      </c>
      <c r="E111" s="8" t="s">
        <v>962</v>
      </c>
      <c r="F111" s="8"/>
      <c r="G111" s="8"/>
    </row>
    <row r="112" spans="1:7" x14ac:dyDescent="0.2">
      <c r="A112" s="8" t="s">
        <v>966</v>
      </c>
      <c r="B112" s="8" t="s">
        <v>967</v>
      </c>
      <c r="C112" s="8" t="s">
        <v>968</v>
      </c>
      <c r="D112" s="14">
        <f>(1-GiaDinh_K3!$D$27)*$D$105/$D$99</f>
        <v>4.1738882233461477E-2</v>
      </c>
      <c r="E112" s="8" t="s">
        <v>962</v>
      </c>
      <c r="F112" s="8"/>
      <c r="G112" s="8"/>
    </row>
    <row r="113" spans="1:7" x14ac:dyDescent="0.2">
      <c r="A113" s="8" t="s">
        <v>969</v>
      </c>
      <c r="B113" s="8" t="s">
        <v>970</v>
      </c>
      <c r="C113" s="8" t="s">
        <v>971</v>
      </c>
      <c r="D113" s="15">
        <f>$D$110+$D$111</f>
        <v>0.79007928887533974</v>
      </c>
      <c r="E113" s="8" t="s">
        <v>962</v>
      </c>
      <c r="F113" s="8"/>
      <c r="G113" s="8"/>
    </row>
    <row r="114" spans="1:7" x14ac:dyDescent="0.2">
      <c r="A114" s="8" t="s">
        <v>972</v>
      </c>
      <c r="B114" s="8" t="s">
        <v>973</v>
      </c>
      <c r="C114" s="8" t="s">
        <v>974</v>
      </c>
      <c r="D114" s="15">
        <f>$D$110+$D$112</f>
        <v>0.79007928887533974</v>
      </c>
      <c r="E114" s="8" t="s">
        <v>962</v>
      </c>
      <c r="F114" s="8"/>
      <c r="G114" s="8"/>
    </row>
    <row r="115" spans="1:7" x14ac:dyDescent="0.2">
      <c r="A115" s="8" t="s">
        <v>975</v>
      </c>
      <c r="B115" s="8" t="s">
        <v>976</v>
      </c>
      <c r="C115" s="8" t="s">
        <v>977</v>
      </c>
      <c r="D115" s="15">
        <f>1-$D$110^2/($D$113*$D$114)</f>
        <v>0.10286657762096196</v>
      </c>
      <c r="E115" s="8" t="s">
        <v>65</v>
      </c>
      <c r="F115" s="8"/>
      <c r="G115" s="8"/>
    </row>
    <row r="116" spans="1:7" x14ac:dyDescent="0.2">
      <c r="A116" s="8" t="s">
        <v>978</v>
      </c>
      <c r="B116" s="8" t="s">
        <v>979</v>
      </c>
      <c r="C116" s="8" t="s">
        <v>980</v>
      </c>
      <c r="D116" s="15">
        <f>$D$114/$D$104</f>
        <v>0.11326441294016873</v>
      </c>
      <c r="E116" s="8" t="s">
        <v>132</v>
      </c>
      <c r="F116" s="8"/>
      <c r="G116" s="8" t="s">
        <v>981</v>
      </c>
    </row>
    <row r="117" spans="1:7" x14ac:dyDescent="0.2">
      <c r="A117" s="8" t="s">
        <v>982</v>
      </c>
      <c r="B117" s="8" t="s">
        <v>983</v>
      </c>
      <c r="C117" s="8" t="s">
        <v>984</v>
      </c>
      <c r="D117" s="15">
        <f>$D$110/$D$114</f>
        <v>0.94717127404658863</v>
      </c>
      <c r="E117" s="8" t="s">
        <v>65</v>
      </c>
      <c r="F117" s="8"/>
      <c r="G117" s="8" t="s">
        <v>981</v>
      </c>
    </row>
    <row r="118" spans="1:7" x14ac:dyDescent="0.2">
      <c r="A118" s="8" t="s">
        <v>985</v>
      </c>
      <c r="B118" s="8" t="s">
        <v>986</v>
      </c>
      <c r="C118" s="8" t="s">
        <v>987</v>
      </c>
      <c r="D118" s="15">
        <f>$D$109+$D$117^2*$D$104</f>
        <v>14.643627107788761</v>
      </c>
      <c r="E118" s="8" t="s">
        <v>124</v>
      </c>
      <c r="F118" s="8" t="s">
        <v>988</v>
      </c>
      <c r="G118" s="8" t="s">
        <v>989</v>
      </c>
    </row>
    <row r="119" spans="1:7" x14ac:dyDescent="0.2">
      <c r="A119" s="8" t="s">
        <v>990</v>
      </c>
      <c r="B119" s="8" t="s">
        <v>991</v>
      </c>
      <c r="C119" s="8" t="s">
        <v>992</v>
      </c>
      <c r="D119" s="15">
        <f>$D$115*$D$113</f>
        <v>8.1272752495809564E-2</v>
      </c>
      <c r="E119" s="8" t="s">
        <v>962</v>
      </c>
      <c r="F119" s="8"/>
      <c r="G119" s="8" t="s">
        <v>989</v>
      </c>
    </row>
    <row r="120" spans="1:7" x14ac:dyDescent="0.2">
      <c r="A120" s="8" t="s">
        <v>993</v>
      </c>
      <c r="B120" s="8" t="s">
        <v>994</v>
      </c>
      <c r="C120" s="8" t="s">
        <v>995</v>
      </c>
      <c r="D120" s="15">
        <f>$D$119/$D$118</f>
        <v>5.5500424790646029E-3</v>
      </c>
      <c r="E120" s="8" t="s">
        <v>132</v>
      </c>
      <c r="F120" s="8"/>
      <c r="G120" s="8" t="s">
        <v>981</v>
      </c>
    </row>
    <row r="121" spans="1:7" x14ac:dyDescent="0.2">
      <c r="A121" s="8" t="s">
        <v>996</v>
      </c>
      <c r="B121" s="8" t="s">
        <v>997</v>
      </c>
      <c r="C121" s="8" t="s">
        <v>998</v>
      </c>
      <c r="D121" s="15">
        <f>SQRT(2)*$D$69</f>
        <v>1.3892016597678365</v>
      </c>
      <c r="E121" s="8" t="s">
        <v>117</v>
      </c>
      <c r="F121" s="8"/>
      <c r="G121" s="8"/>
    </row>
    <row r="122" spans="1:7" x14ac:dyDescent="0.2">
      <c r="A122" s="8" t="s">
        <v>999</v>
      </c>
      <c r="B122" s="8" t="s">
        <v>1000</v>
      </c>
      <c r="C122" s="8" t="s">
        <v>1001</v>
      </c>
      <c r="D122" s="15">
        <f>$D$110*$D$121</f>
        <v>1.039595734978235</v>
      </c>
      <c r="E122" s="8" t="s">
        <v>1002</v>
      </c>
      <c r="F122" s="8"/>
      <c r="G122" s="8"/>
    </row>
    <row r="123" spans="1:7" x14ac:dyDescent="0.2">
      <c r="A123" s="8" t="s">
        <v>1003</v>
      </c>
      <c r="B123" s="8" t="s">
        <v>1004</v>
      </c>
      <c r="C123" s="8" t="s">
        <v>1005</v>
      </c>
      <c r="D123" s="14">
        <f>1.5*GiaDinh_K3!$D$28*$D$110/$D$114*$D$122</f>
        <v>2.9540256503782039</v>
      </c>
      <c r="E123" s="8" t="s">
        <v>1006</v>
      </c>
      <c r="F123" s="8" t="s">
        <v>1007</v>
      </c>
      <c r="G123" s="8" t="s">
        <v>1008</v>
      </c>
    </row>
    <row r="124" spans="1:7" x14ac:dyDescent="0.2">
      <c r="A124" s="8" t="s">
        <v>1009</v>
      </c>
      <c r="B124" s="8" t="s">
        <v>1010</v>
      </c>
      <c r="C124" s="8" t="s">
        <v>1011</v>
      </c>
      <c r="D124" s="14">
        <f>Catalogue!$F$5/$D$123</f>
        <v>1.6756794238960828</v>
      </c>
      <c r="E124" s="8" t="s">
        <v>117</v>
      </c>
      <c r="F124" s="8"/>
      <c r="G124" s="8"/>
    </row>
    <row r="125" spans="1:7" x14ac:dyDescent="0.2">
      <c r="A125" s="8" t="s">
        <v>1012</v>
      </c>
      <c r="B125" s="8" t="s">
        <v>1013</v>
      </c>
      <c r="C125" s="8" t="s">
        <v>1014</v>
      </c>
      <c r="D125" s="14">
        <f>$D$12/1.2*$D$23/Params!$C$16/$D$123</f>
        <v>3.5244363114528006</v>
      </c>
      <c r="E125" s="8" t="s">
        <v>117</v>
      </c>
      <c r="F125" s="8" t="s">
        <v>1015</v>
      </c>
      <c r="G125" s="8" t="s">
        <v>158</v>
      </c>
    </row>
    <row r="126" spans="1:7" ht="15" customHeight="1" x14ac:dyDescent="0.25">
      <c r="A126" s="6" t="s">
        <v>1016</v>
      </c>
      <c r="B126" s="7"/>
      <c r="C126" s="7"/>
      <c r="D126" s="7"/>
      <c r="E126" s="7"/>
      <c r="F126" s="7"/>
      <c r="G126" s="7"/>
    </row>
    <row r="127" spans="1:7" x14ac:dyDescent="0.2">
      <c r="A127" s="8" t="s">
        <v>1017</v>
      </c>
      <c r="B127" s="8" t="s">
        <v>1018</v>
      </c>
      <c r="C127" s="8" t="s">
        <v>1019</v>
      </c>
      <c r="D127" s="14">
        <f>GiaDinh_K3!$D$23/GiaDinh_K3!$D$22</f>
        <v>3.7500000000000001E-4</v>
      </c>
      <c r="E127" s="8" t="s">
        <v>132</v>
      </c>
      <c r="F127" s="8"/>
      <c r="G127" s="8"/>
    </row>
    <row r="128" spans="1:7" x14ac:dyDescent="0.2">
      <c r="A128" s="8" t="s">
        <v>1020</v>
      </c>
      <c r="B128" s="8" t="s">
        <v>1021</v>
      </c>
      <c r="C128" s="8" t="s">
        <v>1022</v>
      </c>
      <c r="D128" s="15">
        <f>$D$119/(2*$D$127)</f>
        <v>108.36366999441275</v>
      </c>
      <c r="E128" s="8" t="s">
        <v>1023</v>
      </c>
      <c r="F128" s="8" t="s">
        <v>1024</v>
      </c>
      <c r="G128" s="8" t="s">
        <v>1008</v>
      </c>
    </row>
    <row r="129" spans="1:7" x14ac:dyDescent="0.2">
      <c r="A129" s="8" t="s">
        <v>1025</v>
      </c>
      <c r="B129" s="8" t="s">
        <v>1026</v>
      </c>
      <c r="C129" s="8" t="s">
        <v>1027</v>
      </c>
      <c r="D129" s="15">
        <f>$D$120</f>
        <v>5.5500424790646029E-3</v>
      </c>
      <c r="E129" s="8" t="s">
        <v>132</v>
      </c>
      <c r="F129" s="8" t="s">
        <v>1028</v>
      </c>
      <c r="G129" s="8" t="s">
        <v>1008</v>
      </c>
    </row>
    <row r="130" spans="1:7" ht="28.5" customHeight="1" x14ac:dyDescent="0.2">
      <c r="A130" s="8" t="s">
        <v>1029</v>
      </c>
      <c r="B130" s="8" t="s">
        <v>1030</v>
      </c>
      <c r="C130" s="8" t="s">
        <v>1031</v>
      </c>
      <c r="D130" s="15">
        <f>$D$128/$D$129</f>
        <v>19524.836143718348</v>
      </c>
      <c r="E130" s="8" t="s">
        <v>1032</v>
      </c>
      <c r="F130" s="8"/>
      <c r="G130" s="8"/>
    </row>
    <row r="131" spans="1:7" x14ac:dyDescent="0.2">
      <c r="A131" s="8" t="s">
        <v>1033</v>
      </c>
      <c r="B131" s="8" t="s">
        <v>1034</v>
      </c>
      <c r="C131" s="8" t="s">
        <v>1035</v>
      </c>
      <c r="D131" s="15">
        <f>4.7*$D$127</f>
        <v>1.7625000000000002E-3</v>
      </c>
      <c r="E131" s="8" t="s">
        <v>132</v>
      </c>
      <c r="F131" s="8" t="s">
        <v>1036</v>
      </c>
      <c r="G131" s="8" t="s">
        <v>1037</v>
      </c>
    </row>
    <row r="132" spans="1:7" ht="15" customHeight="1" x14ac:dyDescent="0.25">
      <c r="A132" s="6" t="s">
        <v>1038</v>
      </c>
      <c r="B132" s="7"/>
      <c r="C132" s="7"/>
      <c r="D132" s="7"/>
      <c r="E132" s="7"/>
      <c r="F132" s="7"/>
      <c r="G132" s="7"/>
    </row>
    <row r="133" spans="1:7" x14ac:dyDescent="0.2">
      <c r="A133" s="8" t="s">
        <v>1039</v>
      </c>
      <c r="B133" s="8" t="s">
        <v>1040</v>
      </c>
      <c r="C133" s="8" t="s">
        <v>1041</v>
      </c>
      <c r="D133" s="14">
        <f>2*$D$127+GiaDinh_K3!$D$24</f>
        <v>1.75E-3</v>
      </c>
      <c r="E133" s="8" t="s">
        <v>132</v>
      </c>
      <c r="F133" s="8" t="s">
        <v>1042</v>
      </c>
      <c r="G133" s="8"/>
    </row>
    <row r="134" spans="1:7" x14ac:dyDescent="0.2">
      <c r="A134" s="8" t="s">
        <v>1043</v>
      </c>
      <c r="B134" s="8" t="s">
        <v>1044</v>
      </c>
      <c r="C134" s="8" t="s">
        <v>1045</v>
      </c>
      <c r="D134" s="15">
        <f>SQRT($D$30*$D$31)</f>
        <v>7.3871114884342358E-3</v>
      </c>
      <c r="E134" s="8" t="s">
        <v>106</v>
      </c>
      <c r="F134" s="8" t="s">
        <v>1046</v>
      </c>
      <c r="G134" s="8" t="s">
        <v>1047</v>
      </c>
    </row>
    <row r="135" spans="1:7" x14ac:dyDescent="0.2">
      <c r="A135" s="8" t="s">
        <v>1048</v>
      </c>
      <c r="B135" s="8" t="s">
        <v>1049</v>
      </c>
      <c r="C135" s="8" t="s">
        <v>1050</v>
      </c>
      <c r="D135" s="15">
        <f>$D$134/(2*$D$123*$D$133)</f>
        <v>0.71448373582658675</v>
      </c>
      <c r="E135" s="8" t="s">
        <v>1051</v>
      </c>
      <c r="F135" s="8" t="s">
        <v>1052</v>
      </c>
      <c r="G135" s="8" t="s">
        <v>1008</v>
      </c>
    </row>
    <row r="136" spans="1:7" x14ac:dyDescent="0.2">
      <c r="A136" s="8" t="s">
        <v>1053</v>
      </c>
      <c r="B136" s="8" t="s">
        <v>1054</v>
      </c>
      <c r="C136" s="8" t="s">
        <v>1055</v>
      </c>
      <c r="D136" s="15">
        <f>4*$D$133</f>
        <v>7.0000000000000001E-3</v>
      </c>
      <c r="E136" s="8" t="s">
        <v>132</v>
      </c>
      <c r="F136" s="8" t="s">
        <v>1056</v>
      </c>
      <c r="G136" s="8" t="s">
        <v>1008</v>
      </c>
    </row>
    <row r="137" spans="1:7" x14ac:dyDescent="0.2">
      <c r="A137" s="8" t="s">
        <v>1057</v>
      </c>
      <c r="B137" s="8" t="s">
        <v>1058</v>
      </c>
      <c r="C137" s="8" t="s">
        <v>1059</v>
      </c>
      <c r="D137" s="15">
        <f>4*$D$133</f>
        <v>7.0000000000000001E-3</v>
      </c>
      <c r="E137" s="8" t="s">
        <v>132</v>
      </c>
      <c r="F137" s="8" t="s">
        <v>1060</v>
      </c>
      <c r="G137" s="8" t="s">
        <v>1061</v>
      </c>
    </row>
    <row r="138" spans="1:7" x14ac:dyDescent="0.2">
      <c r="A138" s="8" t="s">
        <v>1062</v>
      </c>
      <c r="B138" s="8" t="s">
        <v>1063</v>
      </c>
      <c r="C138" s="8" t="s">
        <v>1064</v>
      </c>
      <c r="D138" s="15">
        <f>$D$134/$D$30</f>
        <v>0.5584969287761492</v>
      </c>
      <c r="E138" s="8" t="s">
        <v>65</v>
      </c>
      <c r="F138" s="8"/>
      <c r="G138" s="8"/>
    </row>
    <row r="139" spans="1:7" x14ac:dyDescent="0.2">
      <c r="A139" s="8" t="s">
        <v>1065</v>
      </c>
      <c r="B139" s="8" t="s">
        <v>1066</v>
      </c>
      <c r="C139" s="8" t="s">
        <v>1067</v>
      </c>
      <c r="D139" s="15">
        <f>$D$134/$D$31</f>
        <v>1.7905201416081726</v>
      </c>
      <c r="E139" s="8" t="s">
        <v>65</v>
      </c>
      <c r="F139" s="8"/>
      <c r="G139" s="8"/>
    </row>
    <row r="140" spans="1:7" x14ac:dyDescent="0.2">
      <c r="A140" s="8" t="s">
        <v>1068</v>
      </c>
      <c r="B140" s="8" t="s">
        <v>1069</v>
      </c>
      <c r="C140" s="8" t="s">
        <v>1070</v>
      </c>
      <c r="D140" s="15">
        <f>($D$138)-(64*($D$138)^3+64*($D$138)^2-16*$D$138^2*($D$138)-$D$138^2)/(192*($D$138)^2+128*($D$138)-16*$D$138^2)</f>
        <v>0.33685125384621128</v>
      </c>
      <c r="E140" s="8" t="s">
        <v>65</v>
      </c>
      <c r="F140" s="8" t="s">
        <v>1071</v>
      </c>
      <c r="G140" s="8" t="s">
        <v>695</v>
      </c>
    </row>
    <row r="141" spans="1:7" x14ac:dyDescent="0.2">
      <c r="A141" s="8" t="s">
        <v>1072</v>
      </c>
      <c r="B141" s="8" t="s">
        <v>1073</v>
      </c>
      <c r="C141" s="8" t="s">
        <v>1070</v>
      </c>
      <c r="D141" s="15">
        <f>($D$140)-(64*($D$140)^3+64*($D$140)^2-16*$D$138^2*($D$140)-$D$138^2)/(192*($D$140)^2+128*($D$140)-16*$D$138^2)</f>
        <v>0.20807673947787264</v>
      </c>
      <c r="E141" s="8" t="s">
        <v>65</v>
      </c>
      <c r="F141" s="8" t="s">
        <v>1071</v>
      </c>
      <c r="G141" s="8" t="s">
        <v>695</v>
      </c>
    </row>
    <row r="142" spans="1:7" x14ac:dyDescent="0.2">
      <c r="A142" s="8" t="s">
        <v>1074</v>
      </c>
      <c r="B142" s="8" t="s">
        <v>1075</v>
      </c>
      <c r="C142" s="8" t="s">
        <v>1070</v>
      </c>
      <c r="D142" s="15">
        <f>($D$141)-(64*($D$141)^3+64*($D$141)^2-16*$D$138^2*($D$141)-$D$138^2)/(192*($D$141)^2+128*($D$141)-16*$D$138^2)</f>
        <v>0.14140749431553243</v>
      </c>
      <c r="E142" s="8" t="s">
        <v>65</v>
      </c>
      <c r="F142" s="8" t="s">
        <v>1071</v>
      </c>
      <c r="G142" s="8" t="s">
        <v>695</v>
      </c>
    </row>
    <row r="143" spans="1:7" x14ac:dyDescent="0.2">
      <c r="A143" s="8" t="s">
        <v>1076</v>
      </c>
      <c r="B143" s="8" t="s">
        <v>1077</v>
      </c>
      <c r="C143" s="8" t="s">
        <v>1070</v>
      </c>
      <c r="D143" s="15">
        <f>($D$142)-(64*($D$142)^3+64*($D$142)^2-16*$D$138^2*($D$142)-$D$138^2)/(192*($D$142)^2+128*($D$142)-16*$D$138^2)</f>
        <v>0.11526544825330651</v>
      </c>
      <c r="E143" s="8" t="s">
        <v>65</v>
      </c>
      <c r="F143" s="8" t="s">
        <v>1071</v>
      </c>
      <c r="G143" s="8" t="s">
        <v>695</v>
      </c>
    </row>
    <row r="144" spans="1:7" x14ac:dyDescent="0.2">
      <c r="A144" s="8" t="s">
        <v>1078</v>
      </c>
      <c r="B144" s="8" t="s">
        <v>1079</v>
      </c>
      <c r="C144" s="8" t="s">
        <v>1070</v>
      </c>
      <c r="D144" s="15">
        <f>($D$143)-(64*($D$143)^3+64*($D$143)^2-16*$D$138^2*($D$143)-$D$138^2)/(192*($D$143)^2+128*($D$143)-16*$D$138^2)</f>
        <v>0.11029970046174806</v>
      </c>
      <c r="E144" s="8" t="s">
        <v>65</v>
      </c>
      <c r="F144" s="8" t="s">
        <v>1071</v>
      </c>
      <c r="G144" s="8" t="s">
        <v>695</v>
      </c>
    </row>
    <row r="145" spans="1:7" x14ac:dyDescent="0.2">
      <c r="A145" s="8" t="s">
        <v>1080</v>
      </c>
      <c r="B145" s="8" t="s">
        <v>1081</v>
      </c>
      <c r="C145" s="8" t="s">
        <v>1070</v>
      </c>
      <c r="D145" s="15">
        <f>($D$144)-(64*($D$144)^3+64*($D$144)^2-16*$D$138^2*($D$144)-$D$138^2)/(192*($D$144)^2+128*($D$144)-16*$D$138^2)</f>
        <v>0.11011511199620677</v>
      </c>
      <c r="E145" s="8" t="s">
        <v>65</v>
      </c>
      <c r="F145" s="8" t="s">
        <v>1071</v>
      </c>
      <c r="G145" s="8" t="s">
        <v>695</v>
      </c>
    </row>
    <row r="146" spans="1:7" x14ac:dyDescent="0.2">
      <c r="A146" s="8" t="s">
        <v>1082</v>
      </c>
      <c r="B146" s="8" t="s">
        <v>1083</v>
      </c>
      <c r="C146" s="8" t="s">
        <v>1070</v>
      </c>
      <c r="D146" s="15">
        <f>($D$145)-(64*($D$145)^3+64*($D$145)^2-16*$D$138^2*($D$145)-$D$138^2)/(192*($D$145)^2+128*($D$145)-16*$D$138^2)</f>
        <v>0.11011485816322934</v>
      </c>
      <c r="E146" s="8" t="s">
        <v>65</v>
      </c>
      <c r="F146" s="8" t="s">
        <v>1071</v>
      </c>
      <c r="G146" s="8" t="s">
        <v>695</v>
      </c>
    </row>
    <row r="147" spans="1:7" x14ac:dyDescent="0.2">
      <c r="A147" s="8" t="s">
        <v>1084</v>
      </c>
      <c r="B147" s="8" t="s">
        <v>1085</v>
      </c>
      <c r="C147" s="8" t="s">
        <v>1070</v>
      </c>
      <c r="D147" s="15">
        <f>($D$146)-(64*($D$146)^3+64*($D$146)^2-16*$D$138^2*($D$146)-$D$138^2)/(192*($D$146)^2+128*($D$146)-16*$D$138^2)</f>
        <v>0.11011485816274948</v>
      </c>
      <c r="E147" s="8" t="s">
        <v>65</v>
      </c>
      <c r="F147" s="8" t="s">
        <v>1071</v>
      </c>
      <c r="G147" s="8" t="s">
        <v>695</v>
      </c>
    </row>
    <row r="148" spans="1:7" x14ac:dyDescent="0.2">
      <c r="A148" s="8" t="s">
        <v>1086</v>
      </c>
      <c r="B148" s="8" t="s">
        <v>1087</v>
      </c>
      <c r="C148" s="8" t="s">
        <v>1070</v>
      </c>
      <c r="D148" s="15">
        <f>($D$147)-(64*($D$147)^3+64*($D$147)^2-16*$D$138^2*($D$147)-$D$138^2)/(192*($D$147)^2+128*($D$147)-16*$D$138^2)</f>
        <v>0.11011485816274948</v>
      </c>
      <c r="E148" s="8" t="s">
        <v>65</v>
      </c>
      <c r="F148" s="8" t="s">
        <v>1071</v>
      </c>
      <c r="G148" s="8" t="s">
        <v>695</v>
      </c>
    </row>
    <row r="149" spans="1:7" x14ac:dyDescent="0.2">
      <c r="A149" s="8" t="s">
        <v>1088</v>
      </c>
      <c r="B149" s="8" t="s">
        <v>1089</v>
      </c>
      <c r="C149" s="8" t="s">
        <v>1070</v>
      </c>
      <c r="D149" s="15">
        <f>($D$148)-(64*($D$148)^3+64*($D$148)^2-16*$D$138^2*($D$148)-$D$138^2)/(192*($D$148)^2+128*($D$148)-16*$D$138^2)</f>
        <v>0.11011485816274948</v>
      </c>
      <c r="E149" s="8" t="s">
        <v>65</v>
      </c>
      <c r="F149" s="8" t="s">
        <v>1071</v>
      </c>
      <c r="G149" s="8" t="s">
        <v>695</v>
      </c>
    </row>
    <row r="150" spans="1:7" x14ac:dyDescent="0.2">
      <c r="A150" s="8" t="s">
        <v>1090</v>
      </c>
      <c r="B150" s="8" t="s">
        <v>1091</v>
      </c>
      <c r="C150" s="8" t="s">
        <v>1070</v>
      </c>
      <c r="D150" s="15">
        <f>($D$149)-(64*($D$149)^3+64*($D$149)^2-16*$D$138^2*($D$149)-$D$138^2)/(192*($D$149)^2+128*($D$149)-16*$D$138^2)</f>
        <v>0.11011485816274948</v>
      </c>
      <c r="E150" s="8" t="s">
        <v>65</v>
      </c>
      <c r="F150" s="8" t="s">
        <v>1071</v>
      </c>
      <c r="G150" s="8" t="s">
        <v>695</v>
      </c>
    </row>
    <row r="151" spans="1:7" x14ac:dyDescent="0.2">
      <c r="A151" s="8" t="s">
        <v>1092</v>
      </c>
      <c r="B151" s="8" t="s">
        <v>1093</v>
      </c>
      <c r="C151" s="8" t="s">
        <v>1070</v>
      </c>
      <c r="D151" s="15">
        <f>($D$150)-(64*($D$150)^3+64*($D$150)^2-16*$D$138^2*($D$150)-$D$138^2)/(192*($D$150)^2+128*($D$150)-16*$D$138^2)</f>
        <v>0.11011485816274948</v>
      </c>
      <c r="E151" s="8" t="s">
        <v>65</v>
      </c>
      <c r="F151" s="8" t="s">
        <v>1071</v>
      </c>
      <c r="G151" s="8" t="s">
        <v>695</v>
      </c>
    </row>
    <row r="152" spans="1:7" x14ac:dyDescent="0.2">
      <c r="A152" s="8" t="s">
        <v>1094</v>
      </c>
      <c r="B152" s="8" t="s">
        <v>1095</v>
      </c>
      <c r="C152" s="8" t="s">
        <v>1096</v>
      </c>
      <c r="D152" s="15">
        <f>DEGREES(ATAN(4*SQRT($D$151))-ATAN(SQRT($D$151)))</f>
        <v>34.648492226569779</v>
      </c>
      <c r="E152" s="8" t="s">
        <v>389</v>
      </c>
      <c r="F152" s="8" t="s">
        <v>1097</v>
      </c>
      <c r="G152" s="8" t="s">
        <v>1098</v>
      </c>
    </row>
    <row r="153" spans="1:7" x14ac:dyDescent="0.2">
      <c r="A153" s="8" t="s">
        <v>1099</v>
      </c>
      <c r="B153" s="8" t="s">
        <v>1100</v>
      </c>
      <c r="C153" s="8" t="s">
        <v>1101</v>
      </c>
      <c r="D153" s="15">
        <f>SQRT($D$151)/$D$133</f>
        <v>189.62033660222917</v>
      </c>
      <c r="E153" s="8" t="s">
        <v>185</v>
      </c>
      <c r="F153" s="8"/>
      <c r="G153" s="8"/>
    </row>
    <row r="154" spans="1:7" ht="28.5" customHeight="1" x14ac:dyDescent="0.2">
      <c r="A154" s="8" t="s">
        <v>1102</v>
      </c>
      <c r="B154" s="8" t="s">
        <v>1103</v>
      </c>
      <c r="C154" s="8" t="s">
        <v>1070</v>
      </c>
      <c r="D154" s="15">
        <f>($D$139)-(64*($D$139)^3+64*($D$139)^2-16*$D$139^2*($D$139)-$D$139^2)/(192*($D$139)^2+128*($D$139)-16*$D$139^2)</f>
        <v>1.1886921605109322</v>
      </c>
      <c r="E154" s="8" t="s">
        <v>65</v>
      </c>
      <c r="F154" s="8" t="s">
        <v>1071</v>
      </c>
      <c r="G154" s="8" t="s">
        <v>695</v>
      </c>
    </row>
    <row r="155" spans="1:7" ht="28.5" customHeight="1" x14ac:dyDescent="0.2">
      <c r="A155" s="8" t="s">
        <v>1104</v>
      </c>
      <c r="B155" s="8" t="s">
        <v>1105</v>
      </c>
      <c r="C155" s="8" t="s">
        <v>1070</v>
      </c>
      <c r="D155" s="15">
        <f>($D$154)-(64*($D$154)^3+64*($D$154)^2-16*$D$139^2*($D$154)-$D$139^2)/(192*($D$154)^2+128*($D$154)-16*$D$139^2)</f>
        <v>0.82930620867476779</v>
      </c>
      <c r="E155" s="8" t="s">
        <v>65</v>
      </c>
      <c r="F155" s="8" t="s">
        <v>1071</v>
      </c>
      <c r="G155" s="8" t="s">
        <v>695</v>
      </c>
    </row>
    <row r="156" spans="1:7" ht="28.5" customHeight="1" x14ac:dyDescent="0.2">
      <c r="A156" s="8" t="s">
        <v>1106</v>
      </c>
      <c r="B156" s="8" t="s">
        <v>1107</v>
      </c>
      <c r="C156" s="8" t="s">
        <v>1070</v>
      </c>
      <c r="D156" s="15">
        <f>($D$155)-(64*($D$155)^3+64*($D$155)^2-16*$D$139^2*($D$155)-$D$139^2)/(192*($D$155)^2+128*($D$155)-16*$D$139^2)</f>
        <v>0.64325814742713683</v>
      </c>
      <c r="E156" s="8" t="s">
        <v>65</v>
      </c>
      <c r="F156" s="8" t="s">
        <v>1071</v>
      </c>
      <c r="G156" s="8" t="s">
        <v>695</v>
      </c>
    </row>
    <row r="157" spans="1:7" ht="28.5" customHeight="1" x14ac:dyDescent="0.2">
      <c r="A157" s="8" t="s">
        <v>1108</v>
      </c>
      <c r="B157" s="8" t="s">
        <v>1109</v>
      </c>
      <c r="C157" s="8" t="s">
        <v>1070</v>
      </c>
      <c r="D157" s="15">
        <f>($D$156)-(64*($D$156)^3+64*($D$156)^2-16*$D$139^2*($D$156)-$D$139^2)/(192*($D$156)^2+128*($D$156)-16*$D$139^2)</f>
        <v>0.57705528687911034</v>
      </c>
      <c r="E157" s="8" t="s">
        <v>65</v>
      </c>
      <c r="F157" s="8" t="s">
        <v>1071</v>
      </c>
      <c r="G157" s="8" t="s">
        <v>695</v>
      </c>
    </row>
    <row r="158" spans="1:7" ht="28.5" customHeight="1" x14ac:dyDescent="0.2">
      <c r="A158" s="8" t="s">
        <v>1110</v>
      </c>
      <c r="B158" s="8" t="s">
        <v>1111</v>
      </c>
      <c r="C158" s="8" t="s">
        <v>1070</v>
      </c>
      <c r="D158" s="15">
        <f>($D$157)-(64*($D$157)^3+64*($D$157)^2-16*$D$139^2*($D$157)-$D$139^2)/(192*($D$157)^2+128*($D$157)-16*$D$139^2)</f>
        <v>0.56776960314188041</v>
      </c>
      <c r="E158" s="8" t="s">
        <v>65</v>
      </c>
      <c r="F158" s="8" t="s">
        <v>1071</v>
      </c>
      <c r="G158" s="8" t="s">
        <v>695</v>
      </c>
    </row>
    <row r="159" spans="1:7" ht="28.5" customHeight="1" x14ac:dyDescent="0.2">
      <c r="A159" s="8" t="s">
        <v>1112</v>
      </c>
      <c r="B159" s="8" t="s">
        <v>1113</v>
      </c>
      <c r="C159" s="8" t="s">
        <v>1070</v>
      </c>
      <c r="D159" s="15">
        <f>($D$158)-(64*($D$158)^3+64*($D$158)^2-16*$D$139^2*($D$158)-$D$139^2)/(192*($D$158)^2+128*($D$158)-16*$D$139^2)</f>
        <v>0.56758922902162079</v>
      </c>
      <c r="E159" s="8" t="s">
        <v>65</v>
      </c>
      <c r="F159" s="8" t="s">
        <v>1071</v>
      </c>
      <c r="G159" s="8" t="s">
        <v>695</v>
      </c>
    </row>
    <row r="160" spans="1:7" ht="28.5" customHeight="1" x14ac:dyDescent="0.2">
      <c r="A160" s="8" t="s">
        <v>1114</v>
      </c>
      <c r="B160" s="8" t="s">
        <v>1115</v>
      </c>
      <c r="C160" s="8" t="s">
        <v>1070</v>
      </c>
      <c r="D160" s="15">
        <f>($D$159)-(64*($D$159)^3+64*($D$159)^2-16*$D$139^2*($D$159)-$D$139^2)/(192*($D$159)^2+128*($D$159)-16*$D$139^2)</f>
        <v>0.56758916137935012</v>
      </c>
      <c r="E160" s="8" t="s">
        <v>65</v>
      </c>
      <c r="F160" s="8" t="s">
        <v>1071</v>
      </c>
      <c r="G160" s="8" t="s">
        <v>695</v>
      </c>
    </row>
    <row r="161" spans="1:7" ht="28.5" customHeight="1" x14ac:dyDescent="0.2">
      <c r="A161" s="8" t="s">
        <v>1116</v>
      </c>
      <c r="B161" s="8" t="s">
        <v>1117</v>
      </c>
      <c r="C161" s="8" t="s">
        <v>1070</v>
      </c>
      <c r="D161" s="15">
        <f>($D$160)-(64*($D$160)^3+64*($D$160)^2-16*$D$139^2*($D$160)-$D$139^2)/(192*($D$160)^2+128*($D$160)-16*$D$139^2)</f>
        <v>0.56758916137934068</v>
      </c>
      <c r="E161" s="8" t="s">
        <v>65</v>
      </c>
      <c r="F161" s="8" t="s">
        <v>1071</v>
      </c>
      <c r="G161" s="8" t="s">
        <v>695</v>
      </c>
    </row>
    <row r="162" spans="1:7" ht="28.5" customHeight="1" x14ac:dyDescent="0.2">
      <c r="A162" s="8" t="s">
        <v>1118</v>
      </c>
      <c r="B162" s="8" t="s">
        <v>1119</v>
      </c>
      <c r="C162" s="8" t="s">
        <v>1070</v>
      </c>
      <c r="D162" s="15">
        <f>($D$161)-(64*($D$161)^3+64*($D$161)^2-16*$D$139^2*($D$161)-$D$139^2)/(192*($D$161)^2+128*($D$161)-16*$D$139^2)</f>
        <v>0.56758916137934068</v>
      </c>
      <c r="E162" s="8" t="s">
        <v>65</v>
      </c>
      <c r="F162" s="8" t="s">
        <v>1071</v>
      </c>
      <c r="G162" s="8" t="s">
        <v>695</v>
      </c>
    </row>
    <row r="163" spans="1:7" ht="28.5" customHeight="1" x14ac:dyDescent="0.2">
      <c r="A163" s="8" t="s">
        <v>1120</v>
      </c>
      <c r="B163" s="8" t="s">
        <v>1121</v>
      </c>
      <c r="C163" s="8" t="s">
        <v>1070</v>
      </c>
      <c r="D163" s="15">
        <f>($D$162)-(64*($D$162)^3+64*($D$162)^2-16*$D$139^2*($D$162)-$D$139^2)/(192*($D$162)^2+128*($D$162)-16*$D$139^2)</f>
        <v>0.56758916137934068</v>
      </c>
      <c r="E163" s="8" t="s">
        <v>65</v>
      </c>
      <c r="F163" s="8" t="s">
        <v>1071</v>
      </c>
      <c r="G163" s="8" t="s">
        <v>695</v>
      </c>
    </row>
    <row r="164" spans="1:7" ht="28.5" customHeight="1" x14ac:dyDescent="0.2">
      <c r="A164" s="8" t="s">
        <v>1122</v>
      </c>
      <c r="B164" s="8" t="s">
        <v>1123</v>
      </c>
      <c r="C164" s="8" t="s">
        <v>1070</v>
      </c>
      <c r="D164" s="15">
        <f>($D$163)-(64*($D$163)^3+64*($D$163)^2-16*$D$139^2*($D$163)-$D$139^2)/(192*($D$163)^2+128*($D$163)-16*$D$139^2)</f>
        <v>0.56758916137934068</v>
      </c>
      <c r="E164" s="8" t="s">
        <v>65</v>
      </c>
      <c r="F164" s="8" t="s">
        <v>1071</v>
      </c>
      <c r="G164" s="8" t="s">
        <v>695</v>
      </c>
    </row>
    <row r="165" spans="1:7" ht="28.5" customHeight="1" x14ac:dyDescent="0.2">
      <c r="A165" s="8" t="s">
        <v>1124</v>
      </c>
      <c r="B165" s="8" t="s">
        <v>1125</v>
      </c>
      <c r="C165" s="8" t="s">
        <v>1070</v>
      </c>
      <c r="D165" s="15">
        <f>($D$164)-(64*($D$164)^3+64*($D$164)^2-16*$D$139^2*($D$164)-$D$139^2)/(192*($D$164)^2+128*($D$164)-16*$D$139^2)</f>
        <v>0.56758916137934068</v>
      </c>
      <c r="E165" s="8" t="s">
        <v>65</v>
      </c>
      <c r="F165" s="8" t="s">
        <v>1071</v>
      </c>
      <c r="G165" s="8" t="s">
        <v>695</v>
      </c>
    </row>
    <row r="166" spans="1:7" x14ac:dyDescent="0.2">
      <c r="A166" s="8" t="s">
        <v>1126</v>
      </c>
      <c r="B166" s="8" t="s">
        <v>1127</v>
      </c>
      <c r="C166" s="8" t="s">
        <v>1096</v>
      </c>
      <c r="D166" s="15">
        <f>DEGREES(ATAN(4*SQRT($D$165))-ATAN(SQRT($D$165)))</f>
        <v>34.648492226569779</v>
      </c>
      <c r="E166" s="8" t="s">
        <v>389</v>
      </c>
      <c r="F166" s="8" t="s">
        <v>1097</v>
      </c>
      <c r="G166" s="8" t="s">
        <v>1098</v>
      </c>
    </row>
    <row r="167" spans="1:7" x14ac:dyDescent="0.2">
      <c r="A167" s="8" t="s">
        <v>1128</v>
      </c>
      <c r="B167" s="8" t="s">
        <v>1129</v>
      </c>
      <c r="C167" s="8" t="s">
        <v>1101</v>
      </c>
      <c r="D167" s="15">
        <f>SQRT($D$165)/$D$133</f>
        <v>430.50579133011007</v>
      </c>
      <c r="E167" s="8" t="s">
        <v>185</v>
      </c>
      <c r="F167" s="8"/>
      <c r="G167" s="8"/>
    </row>
    <row r="168" spans="1:7" ht="15" customHeight="1" x14ac:dyDescent="0.25">
      <c r="A168" s="6" t="s">
        <v>1130</v>
      </c>
      <c r="B168" s="7"/>
      <c r="C168" s="7"/>
      <c r="D168" s="7"/>
      <c r="E168" s="7"/>
      <c r="F168" s="7"/>
      <c r="G168" s="7"/>
    </row>
    <row r="169" spans="1:7" x14ac:dyDescent="0.2">
      <c r="A169" s="8" t="s">
        <v>1131</v>
      </c>
      <c r="B169" s="8" t="s">
        <v>1132</v>
      </c>
      <c r="C169" s="8" t="s">
        <v>1133</v>
      </c>
      <c r="D169" s="14">
        <f>2*PI()/(4*GiaDinh_K3!$D$33*GiaDinh_K3!$D$25)</f>
        <v>1.5339807878856411</v>
      </c>
      <c r="E169" s="8" t="s">
        <v>185</v>
      </c>
      <c r="F169" s="8" t="s">
        <v>1134</v>
      </c>
      <c r="G169" s="8"/>
    </row>
    <row r="170" spans="1:7" x14ac:dyDescent="0.2">
      <c r="A170" s="8" t="s">
        <v>1135</v>
      </c>
      <c r="B170" s="8" t="s">
        <v>1136</v>
      </c>
      <c r="C170" s="8" t="s">
        <v>1137</v>
      </c>
      <c r="D170" s="15">
        <f>$D$169*$D$23</f>
        <v>1.234373622284699E-3</v>
      </c>
      <c r="E170" s="8" t="s">
        <v>56</v>
      </c>
      <c r="F170" s="8"/>
      <c r="G170" s="8"/>
    </row>
    <row r="171" spans="1:7" ht="15" customHeight="1" x14ac:dyDescent="0.25">
      <c r="A171" s="6" t="s">
        <v>1138</v>
      </c>
      <c r="B171" s="7"/>
      <c r="C171" s="7"/>
      <c r="D171" s="7"/>
      <c r="E171" s="7"/>
      <c r="F171" s="7"/>
      <c r="G171" s="7"/>
    </row>
    <row r="172" spans="1:7" x14ac:dyDescent="0.2">
      <c r="A172" s="8" t="s">
        <v>1139</v>
      </c>
      <c r="B172" s="8" t="s">
        <v>1140</v>
      </c>
      <c r="C172" s="8" t="s">
        <v>1141</v>
      </c>
      <c r="D172" s="14">
        <f>GiaDinh_K3!$D$30*Params!$C$10</f>
        <v>3.3000000000000002E-2</v>
      </c>
      <c r="E172" s="8" t="s">
        <v>56</v>
      </c>
      <c r="F172" s="8" t="s">
        <v>1142</v>
      </c>
      <c r="G172" s="8" t="s">
        <v>366</v>
      </c>
    </row>
    <row r="173" spans="1:7" x14ac:dyDescent="0.2">
      <c r="A173" s="8" t="s">
        <v>1143</v>
      </c>
      <c r="B173" s="8" t="s">
        <v>1144</v>
      </c>
      <c r="C173" s="8" t="s">
        <v>1145</v>
      </c>
      <c r="D173" s="15">
        <f>$D$172/$D$23</f>
        <v>41.00976</v>
      </c>
      <c r="E173" s="8" t="s">
        <v>185</v>
      </c>
      <c r="F173" s="8"/>
      <c r="G173" s="8"/>
    </row>
    <row r="174" spans="1:7" ht="15" x14ac:dyDescent="0.25">
      <c r="A174" s="6" t="s">
        <v>1146</v>
      </c>
      <c r="B174" s="7"/>
      <c r="C174" s="7"/>
      <c r="D174" s="7"/>
      <c r="E174" s="7"/>
      <c r="F174" s="7"/>
      <c r="G174" s="7"/>
    </row>
    <row r="175" spans="1:7" ht="28.5" x14ac:dyDescent="0.2">
      <c r="A175" s="8" t="s">
        <v>1147</v>
      </c>
      <c r="B175" s="8" t="s">
        <v>1148</v>
      </c>
      <c r="C175" s="8" t="s">
        <v>166</v>
      </c>
      <c r="D175" s="14">
        <f>Params!$C$4</f>
        <v>1800</v>
      </c>
      <c r="E175" s="8" t="s">
        <v>46</v>
      </c>
      <c r="F175" s="8" t="s">
        <v>1149</v>
      </c>
      <c r="G175" s="8" t="s">
        <v>165</v>
      </c>
    </row>
    <row r="176" spans="1:7" x14ac:dyDescent="0.2">
      <c r="A176" s="8" t="s">
        <v>1150</v>
      </c>
      <c r="B176" s="8" t="s">
        <v>1151</v>
      </c>
      <c r="C176" s="8" t="s">
        <v>1152</v>
      </c>
      <c r="D176" s="14">
        <f>Params!$C$2+Params!$C$3</f>
        <v>12444</v>
      </c>
      <c r="E176" s="8" t="s">
        <v>46</v>
      </c>
      <c r="F176" s="8" t="s">
        <v>1153</v>
      </c>
      <c r="G176" s="8" t="s">
        <v>1154</v>
      </c>
    </row>
    <row r="177" spans="1:7" x14ac:dyDescent="0.2">
      <c r="A177" s="8" t="s">
        <v>1155</v>
      </c>
      <c r="B177" s="8" t="s">
        <v>1156</v>
      </c>
      <c r="C177" s="8" t="s">
        <v>1157</v>
      </c>
      <c r="D177" s="14">
        <f>Params!$C$3</f>
        <v>222</v>
      </c>
      <c r="E177" s="8" t="s">
        <v>46</v>
      </c>
      <c r="F177" s="8" t="s">
        <v>1158</v>
      </c>
      <c r="G177" s="8" t="s">
        <v>161</v>
      </c>
    </row>
    <row r="178" spans="1:7" x14ac:dyDescent="0.2">
      <c r="A178" s="8" t="s">
        <v>1159</v>
      </c>
      <c r="B178" s="8" t="s">
        <v>1160</v>
      </c>
      <c r="C178" s="8" t="s">
        <v>1161</v>
      </c>
      <c r="D178" s="14">
        <f>(GiaDinh_K3!$D$8-1)*Params!$C$5*$D$23^2</f>
        <v>1.3834919880452109E-3</v>
      </c>
      <c r="E178" s="8" t="s">
        <v>106</v>
      </c>
      <c r="F178" s="8" t="s">
        <v>1162</v>
      </c>
      <c r="G178" s="8" t="s">
        <v>1163</v>
      </c>
    </row>
    <row r="179" spans="1:7" ht="28.5" x14ac:dyDescent="0.2">
      <c r="A179" s="8" t="s">
        <v>1164</v>
      </c>
      <c r="B179" s="8" t="s">
        <v>1165</v>
      </c>
      <c r="C179" s="8" t="s">
        <v>1166</v>
      </c>
      <c r="D179" s="14">
        <f>Catalogue!$F$15+$D$178+$D$175*$D$23^2</f>
        <v>5.1690286249830479E-3</v>
      </c>
      <c r="E179" s="8" t="s">
        <v>106</v>
      </c>
      <c r="F179" s="8" t="s">
        <v>1167</v>
      </c>
      <c r="G179" s="8" t="s">
        <v>695</v>
      </c>
    </row>
    <row r="180" spans="1:7" ht="28.5" x14ac:dyDescent="0.2">
      <c r="A180" s="8" t="s">
        <v>1168</v>
      </c>
      <c r="B180" s="8" t="s">
        <v>1169</v>
      </c>
      <c r="C180" s="8" t="s">
        <v>1170</v>
      </c>
      <c r="D180" s="14">
        <f>($D$175+$D$176)*Params!$C$19*Params!$C$14</f>
        <v>2096.0046000000002</v>
      </c>
      <c r="E180" s="8" t="s">
        <v>96</v>
      </c>
      <c r="F180" s="8" t="s">
        <v>1171</v>
      </c>
      <c r="G180" s="8" t="s">
        <v>240</v>
      </c>
    </row>
    <row r="181" spans="1:7" x14ac:dyDescent="0.2">
      <c r="A181" s="8" t="s">
        <v>1172</v>
      </c>
      <c r="B181" s="8" t="s">
        <v>1173</v>
      </c>
      <c r="C181" s="8" t="s">
        <v>1174</v>
      </c>
      <c r="D181" s="14">
        <f>($D$175+$D$177)*Params!$C$19*Params!$C$14</f>
        <v>297.53729999999996</v>
      </c>
      <c r="E181" s="8" t="s">
        <v>96</v>
      </c>
      <c r="F181" s="8"/>
      <c r="G181" s="8"/>
    </row>
    <row r="182" spans="1:7" x14ac:dyDescent="0.2">
      <c r="A182" s="8" t="s">
        <v>1175</v>
      </c>
      <c r="B182" s="8" t="s">
        <v>1176</v>
      </c>
      <c r="C182" s="8" t="s">
        <v>308</v>
      </c>
      <c r="D182" s="14">
        <f>$D$176*Params!$C$19/Params!$C$7</f>
        <v>10172.969999999999</v>
      </c>
      <c r="E182" s="8" t="s">
        <v>1177</v>
      </c>
      <c r="F182" s="8" t="s">
        <v>1178</v>
      </c>
      <c r="G182" s="8" t="s">
        <v>695</v>
      </c>
    </row>
    <row r="183" spans="1:7" x14ac:dyDescent="0.2">
      <c r="A183" s="8" t="s">
        <v>1179</v>
      </c>
      <c r="B183" s="8" t="s">
        <v>1180</v>
      </c>
      <c r="C183" s="8" t="s">
        <v>1181</v>
      </c>
      <c r="D183" s="15">
        <f>SQRT($D$182*($D$23^2/$D$179+1/$D$176))</f>
        <v>1.4463265022978167</v>
      </c>
      <c r="E183" s="8" t="s">
        <v>185</v>
      </c>
      <c r="F183" s="8" t="s">
        <v>1182</v>
      </c>
      <c r="G183" s="8" t="s">
        <v>695</v>
      </c>
    </row>
    <row r="184" spans="1:7" x14ac:dyDescent="0.2">
      <c r="A184" s="8" t="s">
        <v>1183</v>
      </c>
      <c r="B184" s="8" t="s">
        <v>1184</v>
      </c>
      <c r="C184" s="8" t="s">
        <v>1185</v>
      </c>
      <c r="D184" s="14">
        <f>Params!$C$10*Params!$C$8/Params!$C$19</f>
        <v>1.106002527218662E-2</v>
      </c>
      <c r="E184" s="8" t="s">
        <v>812</v>
      </c>
      <c r="F184" s="8" t="s">
        <v>1186</v>
      </c>
      <c r="G184" s="8" t="s">
        <v>1187</v>
      </c>
    </row>
    <row r="185" spans="1:7" x14ac:dyDescent="0.2">
      <c r="A185" s="8" t="s">
        <v>1188</v>
      </c>
      <c r="B185" s="8" t="s">
        <v>1189</v>
      </c>
      <c r="C185" s="8" t="s">
        <v>1190</v>
      </c>
      <c r="D185" s="14">
        <f>$D$176*Params!$C$19*$D$184</f>
        <v>1350.1596635183557</v>
      </c>
      <c r="E185" s="8" t="s">
        <v>96</v>
      </c>
      <c r="F185" s="8" t="s">
        <v>1191</v>
      </c>
      <c r="G185" s="8" t="s">
        <v>1192</v>
      </c>
    </row>
    <row r="186" spans="1:7" x14ac:dyDescent="0.2">
      <c r="A186" s="8" t="s">
        <v>1193</v>
      </c>
      <c r="B186" s="8" t="s">
        <v>1194</v>
      </c>
      <c r="C186" s="8" t="s">
        <v>1195</v>
      </c>
      <c r="D186" s="15">
        <f>$D$179*$D$24+$D$25</f>
        <v>4.7646744118655855</v>
      </c>
      <c r="E186" s="8" t="s">
        <v>108</v>
      </c>
      <c r="F186" s="8" t="s">
        <v>1196</v>
      </c>
      <c r="G186" s="8" t="s">
        <v>695</v>
      </c>
    </row>
    <row r="187" spans="1:7" x14ac:dyDescent="0.2">
      <c r="A187" s="8" t="s">
        <v>1197</v>
      </c>
      <c r="B187" s="8" t="s">
        <v>1198</v>
      </c>
      <c r="C187" s="8" t="s">
        <v>1199</v>
      </c>
      <c r="D187" s="14">
        <f>$D$25+$D$185*$D$23/Params!$C$16</f>
        <v>3.0812020438306975</v>
      </c>
      <c r="E187" s="8" t="s">
        <v>108</v>
      </c>
      <c r="F187" s="8" t="s">
        <v>1200</v>
      </c>
      <c r="G187" s="8" t="s">
        <v>695</v>
      </c>
    </row>
    <row r="188" spans="1:7" ht="28.5" x14ac:dyDescent="0.2">
      <c r="A188" s="8" t="s">
        <v>1201</v>
      </c>
      <c r="B188" s="8" t="s">
        <v>1202</v>
      </c>
      <c r="C188" s="8" t="s">
        <v>65</v>
      </c>
      <c r="D188" s="15">
        <f>$D$186/$D$62</f>
        <v>0.47983491199176659</v>
      </c>
      <c r="E188" s="8" t="s">
        <v>65</v>
      </c>
      <c r="F188" s="8" t="s">
        <v>1203</v>
      </c>
      <c r="G188" s="8" t="s">
        <v>695</v>
      </c>
    </row>
    <row r="189" spans="1:7" x14ac:dyDescent="0.2">
      <c r="A189" s="8" t="s">
        <v>1204</v>
      </c>
      <c r="B189" s="8" t="s">
        <v>1205</v>
      </c>
      <c r="C189" s="8" t="s">
        <v>1206</v>
      </c>
      <c r="D189" s="15">
        <f>$D$134/$D$179</f>
        <v>1.4291101915610811</v>
      </c>
      <c r="E189" s="8" t="s">
        <v>65</v>
      </c>
      <c r="F189" s="8" t="s">
        <v>1207</v>
      </c>
      <c r="G189" s="8" t="s">
        <v>695</v>
      </c>
    </row>
    <row r="190" spans="1:7" ht="15" x14ac:dyDescent="0.25">
      <c r="A190" s="6" t="s">
        <v>1208</v>
      </c>
      <c r="B190" s="7"/>
      <c r="C190" s="7"/>
      <c r="D190" s="7"/>
      <c r="E190" s="7"/>
      <c r="F190" s="7"/>
      <c r="G190" s="7"/>
    </row>
    <row r="191" spans="1:7" x14ac:dyDescent="0.2">
      <c r="A191" s="8" t="s">
        <v>1209</v>
      </c>
      <c r="B191" s="8" t="s">
        <v>1210</v>
      </c>
      <c r="C191" s="8" t="s">
        <v>1211</v>
      </c>
      <c r="D191" s="14">
        <f>Params!$C$10/$D$23</f>
        <v>149.12639999999999</v>
      </c>
      <c r="E191" s="8" t="s">
        <v>185</v>
      </c>
      <c r="F191" s="8"/>
      <c r="G191" s="8"/>
    </row>
    <row r="192" spans="1:7" x14ac:dyDescent="0.2">
      <c r="A192" s="8" t="s">
        <v>1212</v>
      </c>
      <c r="B192" s="8" t="s">
        <v>1213</v>
      </c>
      <c r="C192" s="8" t="s">
        <v>1214</v>
      </c>
      <c r="D192" s="14">
        <f>$D$97*$D$99*$D$25/Catalogue!$F$5</f>
        <v>4.7575252209160928</v>
      </c>
      <c r="E192" s="8" t="s">
        <v>185</v>
      </c>
      <c r="F192" s="8" t="s">
        <v>1215</v>
      </c>
      <c r="G192" s="8"/>
    </row>
    <row r="193" spans="1:7" x14ac:dyDescent="0.2">
      <c r="A193" s="8" t="s">
        <v>1216</v>
      </c>
      <c r="B193" s="8" t="s">
        <v>1217</v>
      </c>
      <c r="C193" s="8" t="s">
        <v>1218</v>
      </c>
      <c r="D193" s="14">
        <f>(GiaDinh_K3!$D$28*$D$191+$D$192)/(2*PI())</f>
        <v>48.225591066791594</v>
      </c>
      <c r="E193" s="8" t="s">
        <v>263</v>
      </c>
      <c r="F193" s="8"/>
      <c r="G193" s="8"/>
    </row>
    <row r="194" spans="1:7" x14ac:dyDescent="0.2">
      <c r="A194" s="8" t="s">
        <v>1219</v>
      </c>
      <c r="B194" s="8" t="s">
        <v>1220</v>
      </c>
      <c r="C194" s="8" t="s">
        <v>1221</v>
      </c>
      <c r="D194" s="14">
        <f>GiaDinh_K3!$D$29*$D$193/GiaDinh_K3!$D$6</f>
        <v>385.80472853433275</v>
      </c>
      <c r="E194" s="8" t="s">
        <v>296</v>
      </c>
      <c r="F194" s="8" t="s">
        <v>1222</v>
      </c>
      <c r="G194" s="8" t="s">
        <v>358</v>
      </c>
    </row>
    <row r="195" spans="1:7" x14ac:dyDescent="0.2">
      <c r="A195" s="8" t="s">
        <v>1223</v>
      </c>
      <c r="B195" s="8" t="s">
        <v>1224</v>
      </c>
      <c r="C195" s="8" t="s">
        <v>1225</v>
      </c>
      <c r="D195" s="14">
        <f>1.35*Params!$C$20*(1-GiaDinh_K3!$D$5)</f>
        <v>461.7</v>
      </c>
      <c r="E195" s="8" t="s">
        <v>296</v>
      </c>
      <c r="F195" s="8" t="s">
        <v>1226</v>
      </c>
      <c r="G195" s="8" t="s">
        <v>877</v>
      </c>
    </row>
    <row r="196" spans="1:7" x14ac:dyDescent="0.2">
      <c r="A196" s="8" t="s">
        <v>1227</v>
      </c>
      <c r="B196" s="8" t="s">
        <v>1228</v>
      </c>
      <c r="C196" s="8" t="s">
        <v>1229</v>
      </c>
      <c r="D196" s="14">
        <f>GiaDinh_K3!$D$44*$D$85/SQRT(2)</f>
        <v>344.60848981126389</v>
      </c>
      <c r="E196" s="8" t="s">
        <v>296</v>
      </c>
      <c r="F196" s="8" t="s">
        <v>1230</v>
      </c>
      <c r="G196" s="8" t="s">
        <v>1231</v>
      </c>
    </row>
    <row r="197" spans="1:7" x14ac:dyDescent="0.2">
      <c r="A197" s="8" t="s">
        <v>1232</v>
      </c>
      <c r="B197" s="8" t="s">
        <v>1233</v>
      </c>
      <c r="C197" s="8" t="s">
        <v>1234</v>
      </c>
      <c r="D197" s="14">
        <f>GiaDinh_K3!$D$44*$D$195/SQRT(2)</f>
        <v>310.1476408301375</v>
      </c>
      <c r="E197" s="8" t="s">
        <v>296</v>
      </c>
      <c r="F197" s="8" t="s">
        <v>1230</v>
      </c>
      <c r="G197" s="8" t="s">
        <v>1231</v>
      </c>
    </row>
    <row r="198" spans="1:7" x14ac:dyDescent="0.2">
      <c r="A198" s="8" t="s">
        <v>1235</v>
      </c>
      <c r="B198" s="8" t="s">
        <v>1236</v>
      </c>
      <c r="C198" s="8" t="s">
        <v>1237</v>
      </c>
      <c r="D198" s="15">
        <f>MIN(1,$D$196/$D$194)</f>
        <v>0.89321997457218094</v>
      </c>
      <c r="E198" s="8" t="s">
        <v>65</v>
      </c>
      <c r="F198" s="8" t="s">
        <v>1238</v>
      </c>
      <c r="G198" s="8" t="s">
        <v>695</v>
      </c>
    </row>
    <row r="199" spans="1:7" x14ac:dyDescent="0.2">
      <c r="A199" s="8" t="s">
        <v>1239</v>
      </c>
      <c r="B199" s="8" t="s">
        <v>1240</v>
      </c>
      <c r="C199" s="8" t="s">
        <v>1241</v>
      </c>
      <c r="D199" s="15">
        <f>MIN(1,$D$197/$D$194)</f>
        <v>0.80389797711496291</v>
      </c>
      <c r="E199" s="8" t="s">
        <v>65</v>
      </c>
      <c r="F199" s="8" t="s">
        <v>1242</v>
      </c>
      <c r="G199" s="8" t="s">
        <v>695</v>
      </c>
    </row>
    <row r="200" spans="1:7" x14ac:dyDescent="0.2">
      <c r="A200" s="8" t="s">
        <v>1243</v>
      </c>
      <c r="B200" s="8" t="s">
        <v>1244</v>
      </c>
      <c r="C200" s="8" t="s">
        <v>1245</v>
      </c>
      <c r="D200" s="15">
        <f>$D$198*$D$191</f>
        <v>133.20267921604088</v>
      </c>
      <c r="E200" s="8" t="s">
        <v>185</v>
      </c>
      <c r="F200" s="8" t="s">
        <v>1246</v>
      </c>
      <c r="G200" s="8" t="s">
        <v>695</v>
      </c>
    </row>
    <row r="201" spans="1:7" x14ac:dyDescent="0.2">
      <c r="A201" s="8" t="s">
        <v>1247</v>
      </c>
      <c r="B201" s="8" t="s">
        <v>1248</v>
      </c>
      <c r="C201" s="8" t="s">
        <v>1249</v>
      </c>
      <c r="D201" s="15">
        <f>$D$199*$D$191</f>
        <v>119.88241129443679</v>
      </c>
      <c r="E201" s="8" t="s">
        <v>185</v>
      </c>
      <c r="F201" s="8"/>
      <c r="G201" s="8" t="s">
        <v>695</v>
      </c>
    </row>
    <row r="202" spans="1:7" x14ac:dyDescent="0.2">
      <c r="A202" s="8" t="s">
        <v>1250</v>
      </c>
      <c r="B202" s="8" t="s">
        <v>1251</v>
      </c>
      <c r="C202" s="8" t="s">
        <v>1252</v>
      </c>
      <c r="D202" s="14">
        <f>GiaDinh_K3!$D$11^2/(2*GiaDinh_K3!$D$12)+GiaDinh_K3!$D$11*$D$40</f>
        <v>6.3750000000000001E-2</v>
      </c>
      <c r="E202" s="8" t="s">
        <v>56</v>
      </c>
      <c r="F202" s="8" t="s">
        <v>1253</v>
      </c>
      <c r="G202" s="8" t="s">
        <v>1254</v>
      </c>
    </row>
    <row r="203" spans="1:7" x14ac:dyDescent="0.2">
      <c r="A203" s="8" t="s">
        <v>1255</v>
      </c>
      <c r="B203" s="8" t="s">
        <v>1256</v>
      </c>
      <c r="C203" s="8" t="s">
        <v>1257</v>
      </c>
      <c r="D203" s="15">
        <f>$D$201*$D$23</f>
        <v>9.6467757253795541E-2</v>
      </c>
      <c r="E203" s="8" t="s">
        <v>56</v>
      </c>
      <c r="F203" s="8"/>
      <c r="G203" s="8"/>
    </row>
    <row r="204" spans="1:7" x14ac:dyDescent="0.2">
      <c r="A204" s="8" t="s">
        <v>1258</v>
      </c>
      <c r="B204" s="8" t="s">
        <v>1259</v>
      </c>
      <c r="C204" s="8" t="s">
        <v>1260</v>
      </c>
      <c r="D204" s="14">
        <f>MIN(GiaDinh_K3!$D$11,SQRT(2*GiaDinh_K3!$D$12*MAX(0,Params!$C$10-$D$203)))</f>
        <v>0.2910602581705995</v>
      </c>
      <c r="E204" s="8" t="s">
        <v>59</v>
      </c>
      <c r="F204" s="8" t="s">
        <v>1261</v>
      </c>
      <c r="G204" s="8" t="s">
        <v>1254</v>
      </c>
    </row>
    <row r="205" spans="1:7" x14ac:dyDescent="0.2">
      <c r="A205" s="8" t="s">
        <v>1262</v>
      </c>
      <c r="B205" s="8" t="s">
        <v>1263</v>
      </c>
      <c r="C205" s="8" t="s">
        <v>1264</v>
      </c>
      <c r="D205" s="14">
        <f>$D$25+GiaDinh_K3!$D$8*Params!$C$5*$D$204*$D$23/Params!$C$16+Catalogue!$F$15*$D$204/$D$23</f>
        <v>7.0845195770725784</v>
      </c>
      <c r="E205" s="8" t="s">
        <v>108</v>
      </c>
      <c r="F205" s="8" t="s">
        <v>1265</v>
      </c>
      <c r="G205" s="8" t="s">
        <v>1266</v>
      </c>
    </row>
    <row r="206" spans="1:7" ht="28.5" x14ac:dyDescent="0.2">
      <c r="A206" s="8" t="s">
        <v>1267</v>
      </c>
      <c r="B206" s="8" t="s">
        <v>1268</v>
      </c>
      <c r="C206" s="8" t="s">
        <v>1269</v>
      </c>
      <c r="D206" s="15">
        <f>$D$205/($D$123*$D$199)</f>
        <v>2.9832881761996406</v>
      </c>
      <c r="E206" s="8" t="s">
        <v>117</v>
      </c>
      <c r="F206" s="8" t="s">
        <v>1270</v>
      </c>
      <c r="G206" s="8" t="s">
        <v>695</v>
      </c>
    </row>
    <row r="207" spans="1:7" x14ac:dyDescent="0.2">
      <c r="A207" s="8" t="s">
        <v>1271</v>
      </c>
      <c r="B207" s="8" t="s">
        <v>1272</v>
      </c>
      <c r="C207" s="8" t="s">
        <v>1273</v>
      </c>
      <c r="D207" s="15">
        <f>$D$199*$D$121</f>
        <v>1.1167764040921127</v>
      </c>
      <c r="E207" s="8" t="s">
        <v>117</v>
      </c>
      <c r="F207" s="8" t="s">
        <v>1274</v>
      </c>
      <c r="G207" s="8"/>
    </row>
    <row r="208" spans="1:7" x14ac:dyDescent="0.2">
      <c r="A208" s="8" t="s">
        <v>1275</v>
      </c>
      <c r="B208" s="8" t="s">
        <v>1276</v>
      </c>
      <c r="C208" s="8" t="s">
        <v>1277</v>
      </c>
      <c r="D208" s="15">
        <f>SQRT($D$206^2+$D$207^2)/SQRT(2)</f>
        <v>2.2524650806382644</v>
      </c>
      <c r="E208" s="8" t="s">
        <v>117</v>
      </c>
      <c r="F208" s="8" t="s">
        <v>1278</v>
      </c>
      <c r="G208" s="8"/>
    </row>
    <row r="209" spans="1:7" ht="15" x14ac:dyDescent="0.25">
      <c r="A209" s="6" t="s">
        <v>1279</v>
      </c>
      <c r="B209" s="7"/>
      <c r="C209" s="7"/>
      <c r="D209" s="7"/>
      <c r="E209" s="7"/>
      <c r="F209" s="7"/>
      <c r="G209" s="7"/>
    </row>
    <row r="210" spans="1:7" x14ac:dyDescent="0.2">
      <c r="A210" s="8" t="s">
        <v>1280</v>
      </c>
      <c r="B210" s="8" t="s">
        <v>1281</v>
      </c>
      <c r="C210" s="8" t="s">
        <v>1282</v>
      </c>
      <c r="D210" s="14">
        <f>SQRT(2)*Params!$C$20</f>
        <v>537.40115370177614</v>
      </c>
      <c r="E210" s="8" t="s">
        <v>296</v>
      </c>
      <c r="F210" s="8" t="s">
        <v>1283</v>
      </c>
      <c r="G210" s="8" t="s">
        <v>877</v>
      </c>
    </row>
    <row r="211" spans="1:7" x14ac:dyDescent="0.2">
      <c r="A211" s="8" t="s">
        <v>1284</v>
      </c>
      <c r="B211" s="8" t="s">
        <v>1285</v>
      </c>
      <c r="C211" s="8" t="s">
        <v>1286</v>
      </c>
      <c r="D211" s="14">
        <f>Catalogue!$F$4*1000/(Catalogue!$F$9*GiaDinh_K3!$D$13*$D$85)</f>
        <v>1.8180994417489305</v>
      </c>
      <c r="E211" s="8" t="s">
        <v>117</v>
      </c>
      <c r="F211" s="8" t="s">
        <v>1287</v>
      </c>
      <c r="G211" s="8"/>
    </row>
    <row r="212" spans="1:7" ht="28.5" x14ac:dyDescent="0.2">
      <c r="A212" s="8" t="s">
        <v>1288</v>
      </c>
      <c r="B212" s="8" t="s">
        <v>1289</v>
      </c>
      <c r="C212" s="8" t="s">
        <v>1288</v>
      </c>
      <c r="D212" s="15">
        <f>($D$210-$D$85)/$D$211</f>
        <v>13.421242612727122</v>
      </c>
      <c r="E212" s="8" t="s">
        <v>124</v>
      </c>
      <c r="F212" s="8" t="s">
        <v>1290</v>
      </c>
      <c r="G212" s="8" t="s">
        <v>1291</v>
      </c>
    </row>
    <row r="213" spans="1:7" x14ac:dyDescent="0.2">
      <c r="A213" s="8" t="s">
        <v>1292</v>
      </c>
      <c r="B213" s="8" t="s">
        <v>1293</v>
      </c>
      <c r="C213" s="8" t="s">
        <v>1294</v>
      </c>
      <c r="D213" s="14">
        <f>0.5*GiaDinh_K3!$D$46*(GiaDinh_K3!$D$14^2-$D$84^2)</f>
        <v>15.460719999999988</v>
      </c>
      <c r="E213" s="8" t="s">
        <v>127</v>
      </c>
      <c r="F213" s="8" t="s">
        <v>1295</v>
      </c>
      <c r="G213" s="8" t="s">
        <v>695</v>
      </c>
    </row>
    <row r="214" spans="1:7" ht="42.75" x14ac:dyDescent="0.2">
      <c r="A214" s="8" t="s">
        <v>1296</v>
      </c>
      <c r="B214" s="8" t="s">
        <v>1297</v>
      </c>
      <c r="C214" s="8" t="s">
        <v>65</v>
      </c>
      <c r="D214" s="8" t="str">
        <f>IF($D$82&gt;$D$213,"Có — chopper đóng (DV-04 quan sát được)","Không — tụ tự hấp thụ")</f>
        <v>Có — chopper đóng (DV-04 quan sát được)</v>
      </c>
      <c r="E214" s="8" t="s">
        <v>65</v>
      </c>
      <c r="F214" s="8" t="s">
        <v>1298</v>
      </c>
      <c r="G214" s="8"/>
    </row>
    <row r="215" spans="1:7" x14ac:dyDescent="0.2">
      <c r="A215" s="8" t="s">
        <v>1299</v>
      </c>
      <c r="B215" s="8" t="s">
        <v>1300</v>
      </c>
      <c r="C215" s="8" t="s">
        <v>1301</v>
      </c>
      <c r="D215" s="14">
        <f>GiaDinh_K3!$D$14-GiaDinh_K3!$D$47</f>
        <v>680</v>
      </c>
      <c r="E215" s="8" t="s">
        <v>296</v>
      </c>
      <c r="F215" s="8"/>
      <c r="G215" s="8"/>
    </row>
    <row r="216" spans="1:7" x14ac:dyDescent="0.2">
      <c r="A216" s="8" t="s">
        <v>1302</v>
      </c>
      <c r="B216" s="8" t="s">
        <v>1303</v>
      </c>
      <c r="C216" s="8" t="s">
        <v>1302</v>
      </c>
      <c r="D216" s="14">
        <f>1/(GiaDinh_K3!$D$22*GiaDinh_K3!$D$48)</f>
        <v>5</v>
      </c>
      <c r="E216" s="8" t="s">
        <v>65</v>
      </c>
      <c r="F216" s="8" t="s">
        <v>1304</v>
      </c>
      <c r="G216" s="8"/>
    </row>
    <row r="217" spans="1:7" x14ac:dyDescent="0.2">
      <c r="A217" s="8" t="s">
        <v>1305</v>
      </c>
      <c r="B217" s="8" t="s">
        <v>1306</v>
      </c>
      <c r="C217" s="8" t="s">
        <v>1305</v>
      </c>
      <c r="D217" s="14">
        <f>GiaDinh_K3!$D$25/GiaDinh_K3!$D$48</f>
        <v>20</v>
      </c>
      <c r="E217" s="8" t="s">
        <v>65</v>
      </c>
      <c r="F217" s="8" t="s">
        <v>1304</v>
      </c>
      <c r="G217" s="8"/>
    </row>
    <row r="218" spans="1:7" ht="15" x14ac:dyDescent="0.25">
      <c r="A218" s="6" t="s">
        <v>1307</v>
      </c>
      <c r="B218" s="7"/>
      <c r="C218" s="7"/>
      <c r="D218" s="7"/>
      <c r="E218" s="7"/>
      <c r="F218" s="7"/>
      <c r="G218" s="7"/>
    </row>
    <row r="219" spans="1:7" x14ac:dyDescent="0.2">
      <c r="A219" s="8" t="s">
        <v>1308</v>
      </c>
      <c r="B219" s="8" t="s">
        <v>1309</v>
      </c>
      <c r="C219" s="8" t="s">
        <v>1308</v>
      </c>
      <c r="D219" s="14">
        <f>GiaDinh_K3!$D$54+GiaDinh_K3!$D$50+GiaDinh_K3!$D$51+GiaDinh_K3!$D$52</f>
        <v>1.3</v>
      </c>
      <c r="E219" s="8" t="s">
        <v>132</v>
      </c>
      <c r="F219" s="8" t="s">
        <v>1310</v>
      </c>
      <c r="G219" s="8"/>
    </row>
    <row r="220" spans="1:7" x14ac:dyDescent="0.2">
      <c r="A220" s="8" t="s">
        <v>1311</v>
      </c>
      <c r="B220" s="8" t="s">
        <v>1312</v>
      </c>
      <c r="C220" s="8" t="s">
        <v>1311</v>
      </c>
      <c r="D220" s="15">
        <f>$D$219+$D$41</f>
        <v>1.8166666666666667</v>
      </c>
      <c r="E220" s="8" t="s">
        <v>132</v>
      </c>
      <c r="F220" s="8"/>
      <c r="G220" s="8"/>
    </row>
    <row r="221" spans="1:7" x14ac:dyDescent="0.2">
      <c r="A221" s="8" t="s">
        <v>1313</v>
      </c>
      <c r="B221" s="8" t="s">
        <v>1314</v>
      </c>
      <c r="C221" s="8" t="s">
        <v>1313</v>
      </c>
      <c r="D221" s="14">
        <f>$D$220+GiaDinh_K3!$D$55</f>
        <v>11.816666666666666</v>
      </c>
      <c r="E221" s="8" t="s">
        <v>132</v>
      </c>
      <c r="F221" s="8"/>
      <c r="G221" s="8"/>
    </row>
    <row r="222" spans="1:7" x14ac:dyDescent="0.2">
      <c r="A222" s="8" t="s">
        <v>1315</v>
      </c>
      <c r="B222" s="8" t="s">
        <v>1316</v>
      </c>
      <c r="C222" s="8" t="s">
        <v>1315</v>
      </c>
      <c r="D222" s="15">
        <f>$D$221+$D$41</f>
        <v>12.333333333333332</v>
      </c>
      <c r="E222" s="8" t="s">
        <v>132</v>
      </c>
      <c r="F222" s="8"/>
      <c r="G222" s="8"/>
    </row>
    <row r="223" spans="1:7" x14ac:dyDescent="0.2">
      <c r="A223" s="8" t="s">
        <v>1317</v>
      </c>
      <c r="B223" s="8" t="s">
        <v>1318</v>
      </c>
      <c r="C223" s="8" t="s">
        <v>1317</v>
      </c>
      <c r="D223" s="14">
        <f>$D$222+GiaDinh_K3!$D$21+GiaDinh_K3!$D$53+GiaDinh_K3!$D$56</f>
        <v>22.433333333333334</v>
      </c>
      <c r="E223" s="8" t="s">
        <v>132</v>
      </c>
      <c r="F223" s="8" t="s">
        <v>1319</v>
      </c>
      <c r="G223" s="8"/>
    </row>
    <row r="224" spans="1:7" x14ac:dyDescent="0.2">
      <c r="A224" s="8" t="s">
        <v>1320</v>
      </c>
      <c r="B224" s="8" t="s">
        <v>1321</v>
      </c>
      <c r="C224" s="8" t="s">
        <v>1320</v>
      </c>
      <c r="D224" s="14">
        <f>$D$223+GiaDinh_K3!$D$54</f>
        <v>22.933333333333334</v>
      </c>
      <c r="E224" s="8" t="s">
        <v>132</v>
      </c>
      <c r="F224" s="8"/>
      <c r="G224" s="8"/>
    </row>
    <row r="225" spans="1:7" x14ac:dyDescent="0.2">
      <c r="A225" s="8" t="s">
        <v>1322</v>
      </c>
      <c r="B225" s="8" t="s">
        <v>1323</v>
      </c>
      <c r="C225" s="8" t="s">
        <v>1322</v>
      </c>
      <c r="D225" s="14">
        <f>$D$224+GiaDinh_K3!$D$50+GiaDinh_K3!$D$51+GiaDinh_K3!$D$52</f>
        <v>23.733333333333334</v>
      </c>
      <c r="E225" s="8" t="s">
        <v>132</v>
      </c>
      <c r="F225" s="8"/>
      <c r="G225" s="8"/>
    </row>
    <row r="226" spans="1:7" x14ac:dyDescent="0.2">
      <c r="A226" s="8" t="s">
        <v>1324</v>
      </c>
      <c r="B226" s="8" t="s">
        <v>1325</v>
      </c>
      <c r="C226" s="8" t="s">
        <v>1324</v>
      </c>
      <c r="D226" s="14">
        <f>$D$225+2*$D$41+GiaDinh_K3!$D$55</f>
        <v>34.766666666666666</v>
      </c>
      <c r="E226" s="8" t="s">
        <v>132</v>
      </c>
      <c r="F226" s="8"/>
      <c r="G226" s="8"/>
    </row>
    <row r="227" spans="1:7" x14ac:dyDescent="0.2">
      <c r="A227" s="8" t="s">
        <v>1326</v>
      </c>
      <c r="B227" s="8" t="s">
        <v>1327</v>
      </c>
      <c r="C227" s="8" t="s">
        <v>1326</v>
      </c>
      <c r="D227" s="14">
        <f>$D$226+GiaDinh_K3!$D$21+GiaDinh_K3!$D$53+GiaDinh_K3!$D$56</f>
        <v>44.86666666666666</v>
      </c>
      <c r="E227" s="8" t="s">
        <v>132</v>
      </c>
      <c r="F227" s="8"/>
      <c r="G227" s="8"/>
    </row>
    <row r="228" spans="1:7" x14ac:dyDescent="0.2">
      <c r="A228" s="8" t="s">
        <v>1328</v>
      </c>
      <c r="B228" s="8" t="s">
        <v>1329</v>
      </c>
      <c r="C228" s="8" t="s">
        <v>1330</v>
      </c>
      <c r="D228" s="14">
        <f>Params!$C$10*(GiaDinh_K3!$D$55+$D$41)</f>
        <v>1.2619999999999998</v>
      </c>
      <c r="E228" s="8" t="s">
        <v>53</v>
      </c>
      <c r="F228" s="8"/>
      <c r="G228" s="8"/>
    </row>
    <row r="229" spans="1:7" x14ac:dyDescent="0.2">
      <c r="A229" s="8" t="s">
        <v>1331</v>
      </c>
      <c r="B229" s="8" t="s">
        <v>1332</v>
      </c>
      <c r="C229" s="8" t="s">
        <v>96</v>
      </c>
      <c r="D229" s="14">
        <f>$D$227/GiaDinh_K3!$D$48</f>
        <v>897333.33333333314</v>
      </c>
      <c r="E229" s="8" t="s">
        <v>65</v>
      </c>
      <c r="F229" s="8"/>
      <c r="G229" s="8"/>
    </row>
    <row r="230" spans="1:7" x14ac:dyDescent="0.2">
      <c r="A230" s="8" t="s">
        <v>1333</v>
      </c>
      <c r="B230" s="8" t="s">
        <v>1334</v>
      </c>
      <c r="C230" s="8" t="s">
        <v>1333</v>
      </c>
      <c r="D230" s="14">
        <f>$D$220+GiaDinh_K3!$D$57</f>
        <v>4.8166666666666664</v>
      </c>
      <c r="E230" s="8" t="s">
        <v>132</v>
      </c>
      <c r="F230" s="8" t="s">
        <v>1335</v>
      </c>
      <c r="G230" s="8"/>
    </row>
    <row r="231" spans="1:7" x14ac:dyDescent="0.2">
      <c r="A231" s="8" t="s">
        <v>1336</v>
      </c>
      <c r="B231" s="8" t="s">
        <v>1337</v>
      </c>
      <c r="C231" s="8" t="s">
        <v>1336</v>
      </c>
      <c r="D231" s="14">
        <f>$D$230+$D$41+GiaDinh_K3!$D$21+GiaDinh_K3!$D$53+GiaDinh_K3!$D$56</f>
        <v>15.433333333333334</v>
      </c>
      <c r="E231" s="8" t="s">
        <v>132</v>
      </c>
      <c r="F231" s="8"/>
      <c r="G231" s="8"/>
    </row>
    <row r="232" spans="1:7" ht="15" x14ac:dyDescent="0.25">
      <c r="A232" s="6" t="s">
        <v>1694</v>
      </c>
      <c r="B232" s="26"/>
      <c r="C232" s="26"/>
      <c r="D232" s="26"/>
      <c r="E232" s="26"/>
      <c r="F232" s="26"/>
      <c r="G232" s="26"/>
    </row>
    <row r="233" spans="1:7" ht="28.5" x14ac:dyDescent="0.2">
      <c r="A233" s="28" t="s">
        <v>1338</v>
      </c>
      <c r="B233" s="28" t="s">
        <v>1339</v>
      </c>
      <c r="C233" s="28" t="s">
        <v>1340</v>
      </c>
      <c r="D233" s="34">
        <f>GiaDinh_K3!$D$8*Params!$C$5*Params!$C$11-Params!$C$21</f>
        <v>6094.2953999999991</v>
      </c>
      <c r="E233" s="28" t="s">
        <v>96</v>
      </c>
      <c r="F233" s="28" t="s">
        <v>1341</v>
      </c>
      <c r="G233" s="28" t="s">
        <v>1695</v>
      </c>
    </row>
    <row r="234" spans="1:7" ht="28.5" x14ac:dyDescent="0.2">
      <c r="A234" s="28" t="s">
        <v>1342</v>
      </c>
      <c r="B234" s="28" t="s">
        <v>1343</v>
      </c>
      <c r="C234" s="28" t="s">
        <v>1344</v>
      </c>
      <c r="D234" s="34">
        <f>($D$233*Params!$C$10*Params!$C$16+Catalogue!$F$15*(Params!$C$11/$D$23)*$D$191)*Catalogue!$F$9*GiaDinh_K3!$D$13</f>
        <v>724.48590472226908</v>
      </c>
      <c r="E234" s="28" t="s">
        <v>102</v>
      </c>
      <c r="F234" s="28" t="s">
        <v>1345</v>
      </c>
      <c r="G234" s="28" t="s">
        <v>1695</v>
      </c>
    </row>
    <row r="235" spans="1:7" ht="28.5" x14ac:dyDescent="0.2">
      <c r="A235" s="28" t="s">
        <v>1346</v>
      </c>
      <c r="B235" s="28" t="s">
        <v>1347</v>
      </c>
      <c r="C235" s="28" t="s">
        <v>1348</v>
      </c>
      <c r="D235" s="34">
        <f>Catalogue!$F$27*1000/$D$234</f>
        <v>1.5597266870681001</v>
      </c>
      <c r="E235" s="28" t="s">
        <v>65</v>
      </c>
      <c r="F235" s="28" t="s">
        <v>1349</v>
      </c>
      <c r="G235" s="28" t="s">
        <v>1695</v>
      </c>
    </row>
    <row r="236" spans="1:7" ht="28.5" x14ac:dyDescent="0.2">
      <c r="A236" s="28" t="s">
        <v>1350</v>
      </c>
      <c r="B236" s="28" t="s">
        <v>1351</v>
      </c>
      <c r="C236" s="28" t="s">
        <v>1352</v>
      </c>
      <c r="D236" s="34">
        <f>$D$80/$D$234</f>
        <v>3.2206745750668735</v>
      </c>
      <c r="E236" s="28" t="s">
        <v>65</v>
      </c>
      <c r="F236" s="28" t="s">
        <v>1353</v>
      </c>
      <c r="G236" s="28" t="s">
        <v>1695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" customWidth="1"/>
    <col min="2" max="2" width="56" customWidth="1"/>
    <col min="3" max="4" width="14" customWidth="1"/>
    <col min="5" max="5" width="16" customWidth="1"/>
    <col min="6" max="6" width="30" customWidth="1"/>
    <col min="7" max="7" width="60" customWidth="1"/>
  </cols>
  <sheetData>
    <row r="1" spans="1:7" ht="15" customHeight="1" x14ac:dyDescent="0.2">
      <c r="A1" s="3" t="s">
        <v>94</v>
      </c>
      <c r="B1" s="3" t="s">
        <v>1354</v>
      </c>
      <c r="C1" s="3" t="s">
        <v>1355</v>
      </c>
      <c r="D1" s="3" t="s">
        <v>1356</v>
      </c>
      <c r="E1" s="3" t="s">
        <v>1357</v>
      </c>
      <c r="F1" s="3" t="s">
        <v>1358</v>
      </c>
      <c r="G1" s="3" t="s">
        <v>1359</v>
      </c>
    </row>
    <row r="2" spans="1:7" ht="15" customHeight="1" x14ac:dyDescent="0.2">
      <c r="A2" s="16" t="s">
        <v>97</v>
      </c>
      <c r="B2" s="16" t="s">
        <v>1360</v>
      </c>
      <c r="C2" s="14">
        <f>'Tính chọn'!$D$5</f>
        <v>2096.0046000000002</v>
      </c>
      <c r="D2" s="14">
        <f>Params!$C$21</f>
        <v>2096.0046000000002</v>
      </c>
      <c r="E2" s="17" t="str">
        <f>IF(ABS(C2-D2)&lt;1,"Đạt","Không đạt")</f>
        <v>Đạt</v>
      </c>
      <c r="F2" s="16" t="s">
        <v>1361</v>
      </c>
      <c r="G2" s="16"/>
    </row>
    <row r="3" spans="1:7" ht="15" customHeight="1" x14ac:dyDescent="0.2">
      <c r="A3" s="16" t="s">
        <v>1362</v>
      </c>
      <c r="B3" s="16" t="s">
        <v>1363</v>
      </c>
      <c r="C3" s="14">
        <f>'Tính chọn'!$D$13</f>
        <v>1.5158773081974815</v>
      </c>
      <c r="D3" s="9">
        <v>1.2</v>
      </c>
      <c r="E3" s="17" t="str">
        <f t="shared" ref="E3:E8" si="0">IF(C3&gt;=D3,"Đạt","Không đạt")</f>
        <v>Đạt</v>
      </c>
      <c r="F3" s="16" t="s">
        <v>158</v>
      </c>
      <c r="G3" s="16"/>
    </row>
    <row r="4" spans="1:7" ht="15" customHeight="1" x14ac:dyDescent="0.2">
      <c r="A4" s="16" t="s">
        <v>1364</v>
      </c>
      <c r="B4" s="16" t="s">
        <v>1365</v>
      </c>
      <c r="C4" s="14">
        <f>'Tính chọn'!$D$16</f>
        <v>1.5158773081974817</v>
      </c>
      <c r="D4" s="9">
        <v>1.2</v>
      </c>
      <c r="E4" s="17" t="str">
        <f t="shared" si="0"/>
        <v>Đạt</v>
      </c>
      <c r="F4" s="16" t="s">
        <v>158</v>
      </c>
      <c r="G4" s="16"/>
    </row>
    <row r="5" spans="1:7" ht="15" customHeight="1" x14ac:dyDescent="0.2">
      <c r="A5" s="16" t="s">
        <v>1366</v>
      </c>
      <c r="B5" s="16" t="s">
        <v>1367</v>
      </c>
      <c r="C5" s="14">
        <f>Catalogue!$F$12</f>
        <v>3.4</v>
      </c>
      <c r="D5" s="9">
        <v>2</v>
      </c>
      <c r="E5" s="17" t="str">
        <f t="shared" si="0"/>
        <v>Đạt</v>
      </c>
      <c r="F5" s="16" t="s">
        <v>1368</v>
      </c>
      <c r="G5" s="16" t="s">
        <v>358</v>
      </c>
    </row>
    <row r="6" spans="1:7" ht="15" customHeight="1" x14ac:dyDescent="0.2">
      <c r="A6" s="16" t="s">
        <v>110</v>
      </c>
      <c r="B6" s="16" t="s">
        <v>1369</v>
      </c>
      <c r="C6" s="14">
        <f>'Tính chọn'!$D$36</f>
        <v>2.4854849999999997</v>
      </c>
      <c r="D6" s="14">
        <f>'Tính chọn'!$D$35</f>
        <v>2.1868501158809242</v>
      </c>
      <c r="E6" s="17" t="str">
        <f t="shared" si="0"/>
        <v>Đạt</v>
      </c>
      <c r="F6" s="16" t="s">
        <v>1370</v>
      </c>
      <c r="G6" s="16"/>
    </row>
    <row r="7" spans="1:7" ht="15" customHeight="1" x14ac:dyDescent="0.2">
      <c r="A7" s="16" t="s">
        <v>100</v>
      </c>
      <c r="B7" s="16" t="s">
        <v>1371</v>
      </c>
      <c r="C7" s="14">
        <f>'Tính chọn'!$D$37</f>
        <v>11939.642164922398</v>
      </c>
      <c r="D7" s="14">
        <f>'Tính chọn'!$D$10</f>
        <v>9218.0046000000002</v>
      </c>
      <c r="E7" s="17" t="str">
        <f t="shared" si="0"/>
        <v>Đạt</v>
      </c>
      <c r="F7" s="16" t="s">
        <v>99</v>
      </c>
      <c r="G7" s="16"/>
    </row>
    <row r="8" spans="1:7" ht="15" customHeight="1" x14ac:dyDescent="0.2">
      <c r="A8" s="16" t="s">
        <v>113</v>
      </c>
      <c r="B8" s="16" t="s">
        <v>1372</v>
      </c>
      <c r="C8" s="14">
        <f>'Tính chọn'!$D$60</f>
        <v>3.6088589793413579</v>
      </c>
      <c r="D8" s="9">
        <v>1.2</v>
      </c>
      <c r="E8" s="17" t="str">
        <f t="shared" si="0"/>
        <v>Đạt</v>
      </c>
      <c r="F8" s="16" t="s">
        <v>1373</v>
      </c>
      <c r="G8" s="16"/>
    </row>
    <row r="9" spans="1:7" ht="28.5" customHeight="1" x14ac:dyDescent="0.2">
      <c r="A9" s="16" t="s">
        <v>1374</v>
      </c>
      <c r="B9" s="16" t="s">
        <v>1375</v>
      </c>
      <c r="C9" s="14">
        <f>'Tính chọn'!$D$60</f>
        <v>3.6088589793413579</v>
      </c>
      <c r="D9" s="9">
        <v>1.5</v>
      </c>
      <c r="E9" s="17" t="str">
        <f>"Không áp dụng (SRS A.1 có hiệu lực, CR-01)"</f>
        <v>Không áp dụng (SRS A.1 có hiệu lực, CR-01)</v>
      </c>
      <c r="F9" s="16" t="s">
        <v>1376</v>
      </c>
      <c r="G9" s="16" t="s">
        <v>1377</v>
      </c>
    </row>
    <row r="10" spans="1:7" ht="28.5" customHeight="1" x14ac:dyDescent="0.2">
      <c r="A10" s="16" t="s">
        <v>1378</v>
      </c>
      <c r="B10" s="16" t="s">
        <v>1379</v>
      </c>
      <c r="C10" s="14">
        <f>Catalogue!$F$4</f>
        <v>0.75</v>
      </c>
      <c r="D10" s="14">
        <f>MIN(2.2,1.5*'Tính chọn'!$D$11/1000)</f>
        <v>1.8436009199999999</v>
      </c>
      <c r="E10" s="17" t="str">
        <f>IF(C10&lt;=D10,"Đạt","Không đạt")</f>
        <v>Đạt</v>
      </c>
      <c r="F10" s="16" t="s">
        <v>1380</v>
      </c>
      <c r="G10" s="16" t="s">
        <v>1381</v>
      </c>
    </row>
    <row r="11" spans="1:7" ht="15" customHeight="1" x14ac:dyDescent="0.2">
      <c r="A11" s="16" t="s">
        <v>1382</v>
      </c>
      <c r="B11" s="16" t="s">
        <v>1383</v>
      </c>
      <c r="C11" s="14">
        <f>Catalogue!$F$21</f>
        <v>2.6</v>
      </c>
      <c r="D11" s="14">
        <f>Catalogue!$F$7</f>
        <v>1.75</v>
      </c>
      <c r="E11" s="17" t="str">
        <f>IF(C11&gt;=D11,"Đạt","Không đạt")</f>
        <v>Đạt</v>
      </c>
      <c r="F11" s="16" t="s">
        <v>227</v>
      </c>
      <c r="G11" s="16"/>
    </row>
    <row r="12" spans="1:7" ht="15" customHeight="1" x14ac:dyDescent="0.2">
      <c r="A12" s="16" t="s">
        <v>118</v>
      </c>
      <c r="B12" s="16" t="s">
        <v>1384</v>
      </c>
      <c r="C12" s="14">
        <f>'Tính chọn'!$D$72</f>
        <v>3.9000000000000004</v>
      </c>
      <c r="D12" s="14">
        <f>'Tính chọn'!$D$71</f>
        <v>3.3160408607307961</v>
      </c>
      <c r="E12" s="17" t="str">
        <f>IF(C12&gt;=D12,"Đạt","Không đạt")</f>
        <v>Đạt</v>
      </c>
      <c r="F12" s="16" t="s">
        <v>158</v>
      </c>
      <c r="G12" s="16"/>
    </row>
    <row r="13" spans="1:7" ht="15" customHeight="1" x14ac:dyDescent="0.2">
      <c r="A13" s="16" t="s">
        <v>1385</v>
      </c>
      <c r="B13" s="16" t="s">
        <v>1386</v>
      </c>
      <c r="C13" s="14">
        <f>Catalogue!$F$23</f>
        <v>4.7</v>
      </c>
      <c r="D13" s="14">
        <f>'Tính chọn'!$D$71</f>
        <v>3.3160408607307961</v>
      </c>
      <c r="E13" s="17" t="str">
        <f>IF(C13&gt;=D13,"Đạt","Không đạt")</f>
        <v>Đạt</v>
      </c>
      <c r="F13" s="16" t="s">
        <v>158</v>
      </c>
      <c r="G13" s="16"/>
    </row>
    <row r="14" spans="1:7" ht="15" customHeight="1" x14ac:dyDescent="0.2">
      <c r="A14" s="16" t="s">
        <v>1387</v>
      </c>
      <c r="B14" s="16" t="s">
        <v>1388</v>
      </c>
      <c r="C14" s="14">
        <f>GiaDinh_K3!$D$42</f>
        <v>210</v>
      </c>
      <c r="D14" s="14">
        <f>'Tính chọn'!$D$78</f>
        <v>99</v>
      </c>
      <c r="E14" s="17" t="str">
        <f>IF(C14&gt;=D14,"Đạt","Không đạt")</f>
        <v>Đạt</v>
      </c>
      <c r="F14" s="16" t="s">
        <v>1389</v>
      </c>
      <c r="G14" s="16"/>
    </row>
    <row r="15" spans="1:7" ht="15" customHeight="1" x14ac:dyDescent="0.2">
      <c r="A15" s="16" t="s">
        <v>1390</v>
      </c>
      <c r="B15" s="16" t="s">
        <v>1391</v>
      </c>
      <c r="C15" s="14">
        <f>GiaDinh_K3!$D$42</f>
        <v>210</v>
      </c>
      <c r="D15" s="14">
        <f>'Tính chọn'!$D$77</f>
        <v>428</v>
      </c>
      <c r="E15" s="17" t="str">
        <f>IF(C15&lt;=D15,"Đạt","Không đạt")</f>
        <v>Đạt</v>
      </c>
      <c r="F15" s="16" t="s">
        <v>1392</v>
      </c>
      <c r="G15" s="16"/>
    </row>
    <row r="16" spans="1:7" ht="15" customHeight="1" x14ac:dyDescent="0.2">
      <c r="A16" s="16" t="s">
        <v>120</v>
      </c>
      <c r="B16" s="16" t="s">
        <v>1393</v>
      </c>
      <c r="C16" s="14">
        <f>Catalogue!$F$27</f>
        <v>1.1299999999999999</v>
      </c>
      <c r="D16" s="14">
        <f>'Tính chọn'!$D$75/1000</f>
        <v>0.43648779754821587</v>
      </c>
      <c r="E16" s="17" t="str">
        <f>IF(C16&gt;=D16,"Đạt","Không đạt")</f>
        <v>Đạt</v>
      </c>
      <c r="F16" s="16" t="s">
        <v>1389</v>
      </c>
      <c r="G16" s="16" t="s">
        <v>1394</v>
      </c>
    </row>
    <row r="17" spans="1:7" ht="28.5" customHeight="1" x14ac:dyDescent="0.2">
      <c r="A17" s="16" t="s">
        <v>1395</v>
      </c>
      <c r="B17" s="16" t="s">
        <v>1396</v>
      </c>
      <c r="C17" s="14">
        <f>'Tính chọn'!$D$84</f>
        <v>591.14126907195384</v>
      </c>
      <c r="D17" s="14">
        <f>GiaDinh_K3!$D$14-20</f>
        <v>680</v>
      </c>
      <c r="E17" s="17" t="str">
        <f>IF(C17&lt;D17,"Đạt","Không đạt")</f>
        <v>Đạt</v>
      </c>
      <c r="F17" s="16" t="s">
        <v>302</v>
      </c>
      <c r="G17" s="16" t="s">
        <v>1397</v>
      </c>
    </row>
    <row r="18" spans="1:7" ht="15" customHeight="1" x14ac:dyDescent="0.2">
      <c r="A18" s="16" t="s">
        <v>1398</v>
      </c>
      <c r="B18" s="16" t="s">
        <v>1399</v>
      </c>
      <c r="C18" s="14">
        <f>GiaDinh_K3!$D$15</f>
        <v>780</v>
      </c>
      <c r="D18" s="14">
        <f>GiaDinh_K3!$D$16</f>
        <v>800</v>
      </c>
      <c r="E18" s="17" t="str">
        <f>IF(AND(GiaDinh_K3!$D$14&lt;C18,C18&lt;D18),"Đạt","Không đạt")</f>
        <v>Đạt</v>
      </c>
      <c r="F18" s="16" t="s">
        <v>302</v>
      </c>
      <c r="G18" s="16" t="s">
        <v>1400</v>
      </c>
    </row>
    <row r="19" spans="1:7" ht="15" customHeight="1" x14ac:dyDescent="0.2">
      <c r="A19" s="16" t="s">
        <v>1401</v>
      </c>
      <c r="B19" s="16" t="s">
        <v>1402</v>
      </c>
      <c r="C19" s="14">
        <f>GiaDinh_K3!$D$11</f>
        <v>0.45</v>
      </c>
      <c r="D19" s="14">
        <f>Params!$C$11</f>
        <v>0.5</v>
      </c>
      <c r="E19" s="17" t="str">
        <f>IF(C19&lt;=D19,"Đạt","Không đạt")</f>
        <v>Đạt</v>
      </c>
      <c r="F19" s="16" t="s">
        <v>1403</v>
      </c>
      <c r="G19" s="16"/>
    </row>
    <row r="20" spans="1:7" ht="15" customHeight="1" x14ac:dyDescent="0.2">
      <c r="A20" s="16" t="s">
        <v>1404</v>
      </c>
      <c r="B20" s="16" t="s">
        <v>1405</v>
      </c>
      <c r="C20" s="14">
        <f>GiaDinh_K3!$D$12</f>
        <v>1.8</v>
      </c>
      <c r="D20" s="14">
        <f>Params!$C$12</f>
        <v>2</v>
      </c>
      <c r="E20" s="17" t="str">
        <f>IF(C20&lt;=D20,"Đạt","Không đạt")</f>
        <v>Đạt</v>
      </c>
      <c r="F20" s="16" t="s">
        <v>1403</v>
      </c>
      <c r="G20" s="16"/>
    </row>
    <row r="21" spans="1:7" ht="15" customHeight="1" x14ac:dyDescent="0.2">
      <c r="A21" s="16" t="s">
        <v>1406</v>
      </c>
      <c r="B21" s="16" t="s">
        <v>1407</v>
      </c>
      <c r="C21" s="14">
        <f>'Tính chọn'!$D$43</f>
        <v>0.1125</v>
      </c>
      <c r="D21" s="14">
        <f>Params!$C$10</f>
        <v>0.12</v>
      </c>
      <c r="E21" s="17" t="str">
        <f>IF(C21&lt;D21,"Đạt","Không đạt")</f>
        <v>Đạt</v>
      </c>
      <c r="F21" s="16" t="s">
        <v>1403</v>
      </c>
      <c r="G21" s="16"/>
    </row>
    <row r="22" spans="1:7" ht="15" customHeight="1" x14ac:dyDescent="0.2">
      <c r="A22" s="16" t="s">
        <v>1408</v>
      </c>
      <c r="B22" s="16" t="s">
        <v>1409</v>
      </c>
      <c r="C22" s="14">
        <f>'Tính chọn'!$D$46</f>
        <v>0.63369276940432284</v>
      </c>
      <c r="D22" s="14">
        <f>'Tính chọn'!$D$47</f>
        <v>2.9177493782304493</v>
      </c>
      <c r="E22" s="17" t="str">
        <f>IF(C22&lt;=D22,"Đạt","Không đạt")</f>
        <v>Đạt</v>
      </c>
      <c r="F22" s="16" t="s">
        <v>1410</v>
      </c>
      <c r="G22" s="16" t="s">
        <v>1411</v>
      </c>
    </row>
    <row r="23" spans="1:7" ht="15" customHeight="1" x14ac:dyDescent="0.2">
      <c r="A23" s="16" t="s">
        <v>135</v>
      </c>
      <c r="B23" s="16" t="s">
        <v>1412</v>
      </c>
      <c r="C23" s="14">
        <f>'Tính chọn'!$D$131</f>
        <v>1.7625000000000002E-3</v>
      </c>
      <c r="D23" s="9">
        <v>0.01</v>
      </c>
      <c r="E23" s="17" t="str">
        <f>IF(C23&lt;=D23,"Đạt","Không đạt")</f>
        <v>Đạt</v>
      </c>
      <c r="F23" s="16" t="s">
        <v>1413</v>
      </c>
      <c r="G23" s="16" t="s">
        <v>1414</v>
      </c>
    </row>
    <row r="24" spans="1:7" ht="15" customHeight="1" x14ac:dyDescent="0.2">
      <c r="A24" s="16" t="s">
        <v>1415</v>
      </c>
      <c r="B24" s="16" t="s">
        <v>1416</v>
      </c>
      <c r="C24" s="14">
        <f>'Tính chọn'!$D$152</f>
        <v>34.648492226569779</v>
      </c>
      <c r="D24" s="14">
        <f>GiaDinh_K3!$D$36</f>
        <v>30</v>
      </c>
      <c r="E24" s="17" t="str">
        <f>IF(C24&gt;=D24,"Đạt","Không đạt")</f>
        <v>Đạt</v>
      </c>
      <c r="F24" s="16" t="s">
        <v>1417</v>
      </c>
      <c r="G24" s="16" t="s">
        <v>1418</v>
      </c>
    </row>
    <row r="25" spans="1:7" ht="15" customHeight="1" x14ac:dyDescent="0.2">
      <c r="A25" s="16" t="s">
        <v>1419</v>
      </c>
      <c r="B25" s="16" t="s">
        <v>1420</v>
      </c>
      <c r="C25" s="14">
        <f>'Tính chọn'!$D$166</f>
        <v>34.648492226569779</v>
      </c>
      <c r="D25" s="14">
        <f>GiaDinh_K3!$D$36</f>
        <v>30</v>
      </c>
      <c r="E25" s="17" t="str">
        <f>IF(C25&gt;=D25,"Đạt","Không đạt")</f>
        <v>Đạt</v>
      </c>
      <c r="F25" s="16" t="s">
        <v>1417</v>
      </c>
      <c r="G25" s="16"/>
    </row>
    <row r="26" spans="1:7" ht="15" customHeight="1" x14ac:dyDescent="0.2">
      <c r="A26" s="16" t="s">
        <v>1421</v>
      </c>
      <c r="B26" s="16" t="s">
        <v>1422</v>
      </c>
      <c r="C26" s="14">
        <f>'Tính chọn'!$D$170</f>
        <v>1.234373622284699E-3</v>
      </c>
      <c r="D26" s="14">
        <f>GiaDinh_K3!$D$32</f>
        <v>2E-3</v>
      </c>
      <c r="E26" s="17" t="str">
        <f>IF(C26&lt;=D26,"Đạt","Không đạt")</f>
        <v>Đạt</v>
      </c>
      <c r="F26" s="16" t="s">
        <v>370</v>
      </c>
      <c r="G26" s="16"/>
    </row>
    <row r="27" spans="1:7" ht="15" customHeight="1" x14ac:dyDescent="0.2">
      <c r="A27" s="16" t="s">
        <v>1423</v>
      </c>
      <c r="B27" s="16" t="s">
        <v>1424</v>
      </c>
      <c r="C27" s="14">
        <f>'Tính chọn'!$D$172</f>
        <v>3.3000000000000002E-2</v>
      </c>
      <c r="D27" s="14">
        <f>0.3*Params!$C$10</f>
        <v>3.5999999999999997E-2</v>
      </c>
      <c r="E27" s="17" t="str">
        <f>IF(AND(C27&gt;=0.25*Params!$C$10-0.000000001,C27&lt;=0.3*Params!$C$10+0.000000001),"Đạt","Không đạt")</f>
        <v>Đạt</v>
      </c>
      <c r="F27" s="16" t="s">
        <v>1142</v>
      </c>
      <c r="G27" s="16"/>
    </row>
    <row r="28" spans="1:7" ht="15" customHeight="1" x14ac:dyDescent="0.2">
      <c r="A28" s="16" t="s">
        <v>1425</v>
      </c>
      <c r="B28" s="16" t="s">
        <v>1426</v>
      </c>
      <c r="C28" s="14">
        <f>GiaDinh_K3!$D$20</f>
        <v>7</v>
      </c>
      <c r="D28" s="14">
        <f>'Tính chọn'!$D$88</f>
        <v>5.94</v>
      </c>
      <c r="E28" s="17" t="str">
        <f>IF(C28&gt;=D28,"Đạt","Không đạt")</f>
        <v>Đạt</v>
      </c>
      <c r="F28" s="16" t="s">
        <v>913</v>
      </c>
      <c r="G28" s="16" t="s">
        <v>1427</v>
      </c>
    </row>
    <row r="29" spans="1:7" ht="15" customHeight="1" x14ac:dyDescent="0.2">
      <c r="A29" s="16" t="s">
        <v>1428</v>
      </c>
      <c r="B29" s="16" t="s">
        <v>1429</v>
      </c>
      <c r="C29" s="14">
        <f>GiaDinh_K3!$D$20</f>
        <v>7</v>
      </c>
      <c r="D29" s="14">
        <f>'Tính chọn'!$D$89</f>
        <v>10.119759559675552</v>
      </c>
      <c r="E29" s="17" t="str">
        <f>IF(C29&lt;=D29,"Đạt","Không đạt")</f>
        <v>Đạt</v>
      </c>
      <c r="F29" s="16" t="s">
        <v>158</v>
      </c>
      <c r="G29" s="16"/>
    </row>
    <row r="30" spans="1:7" ht="28.5" customHeight="1" x14ac:dyDescent="0.2">
      <c r="A30" s="16" t="s">
        <v>1430</v>
      </c>
      <c r="B30" s="16" t="s">
        <v>1431</v>
      </c>
      <c r="C30" s="14">
        <f>GiaDinh_K3!$D$20</f>
        <v>7</v>
      </c>
      <c r="D30" s="14">
        <f>'Tính chọn'!$D$90</f>
        <v>1.4365454808806493</v>
      </c>
      <c r="E30" s="17" t="str">
        <f>"Không áp dụng (QĐ-07: vận hành lý tưởng, không dừng khẩn/mất điện)"</f>
        <v>Không áp dụng (QĐ-07: vận hành lý tưởng, không dừng khẩn/mất điện)</v>
      </c>
      <c r="F30" s="16" t="s">
        <v>913</v>
      </c>
      <c r="G30" s="16" t="s">
        <v>1432</v>
      </c>
    </row>
    <row r="31" spans="1:7" ht="15" customHeight="1" x14ac:dyDescent="0.2">
      <c r="A31" s="16" t="s">
        <v>1433</v>
      </c>
      <c r="B31" s="16" t="s">
        <v>1434</v>
      </c>
      <c r="C31" s="14">
        <f>'Tính chọn'!$D$94</f>
        <v>0.25</v>
      </c>
      <c r="D31" s="9">
        <v>10</v>
      </c>
      <c r="E31" s="17" t="str">
        <f>IF(C31&lt;=D31,"Đạt","Không đạt")</f>
        <v>Đạt</v>
      </c>
      <c r="F31" s="16" t="s">
        <v>913</v>
      </c>
      <c r="G31" s="16" t="s">
        <v>1435</v>
      </c>
    </row>
    <row r="32" spans="1:7" ht="28.5" customHeight="1" x14ac:dyDescent="0.2">
      <c r="A32" s="16" t="s">
        <v>104</v>
      </c>
      <c r="B32" s="16" t="s">
        <v>1436</v>
      </c>
      <c r="C32" s="14">
        <f>'Tính chọn'!$D$21</f>
        <v>1.1198871375625474E-2</v>
      </c>
      <c r="D32" s="9">
        <v>0.05</v>
      </c>
      <c r="E32" s="17" t="str">
        <f>IF(ISBLANK(GiaDinh_K3!$D$39),"TBD (chưa có i_thực)",IF(ABS(C32)&lt;=D32,"Đạt","Không đạt — bù bằng tần số"))</f>
        <v>Đạt</v>
      </c>
      <c r="F32" s="16" t="s">
        <v>194</v>
      </c>
      <c r="G32" s="16"/>
    </row>
    <row r="33" spans="1:7" ht="28.5" customHeight="1" x14ac:dyDescent="0.2">
      <c r="A33" s="16" t="s">
        <v>1437</v>
      </c>
      <c r="B33" s="16" t="s">
        <v>1438</v>
      </c>
      <c r="C33" s="14">
        <f>(Params!$C$21+GiaDinh_K3!$D$8*Params!$C$5*Params!$C$11)*Params!$C$13/2</f>
        <v>1285.7880749999999</v>
      </c>
      <c r="D33" s="14">
        <f>GiaDinh_K3!$D$40</f>
        <v>1550</v>
      </c>
      <c r="E33" s="17" t="str">
        <f>IF(C33&lt;=D33,"Đạt","Không đạt")</f>
        <v>Đạt</v>
      </c>
      <c r="F33" s="16" t="s">
        <v>158</v>
      </c>
      <c r="G33" s="16" t="s">
        <v>75</v>
      </c>
    </row>
    <row r="34" spans="1:7" ht="15" customHeight="1" x14ac:dyDescent="0.2">
      <c r="A34" s="16" t="s">
        <v>1439</v>
      </c>
      <c r="B34" s="16" t="s">
        <v>1440</v>
      </c>
      <c r="C34" s="18"/>
      <c r="D34" s="18"/>
      <c r="E34" s="17" t="str">
        <f>"TBD — Report: chưa chạy"</f>
        <v>TBD — Report: chưa chạy</v>
      </c>
      <c r="F34" s="16" t="s">
        <v>1441</v>
      </c>
      <c r="G34" s="16" t="s">
        <v>1442</v>
      </c>
    </row>
    <row r="35" spans="1:7" ht="15" x14ac:dyDescent="0.2">
      <c r="A35" s="16" t="s">
        <v>1443</v>
      </c>
      <c r="B35" s="16" t="s">
        <v>1444</v>
      </c>
      <c r="C35" s="14">
        <f>'Tính chọn'!$D$180</f>
        <v>2096.0046000000002</v>
      </c>
      <c r="D35" s="14">
        <f>Params!$C$21</f>
        <v>2096.0046000000002</v>
      </c>
      <c r="E35" s="17" t="str">
        <f>IF(ABS(C35-D35)&lt;1,"Đạt","Không đạt")</f>
        <v>Đạt</v>
      </c>
      <c r="F35" s="16" t="s">
        <v>1361</v>
      </c>
      <c r="G35" s="16" t="s">
        <v>1445</v>
      </c>
    </row>
    <row r="36" spans="1:7" ht="15" x14ac:dyDescent="0.2">
      <c r="A36" s="16" t="s">
        <v>1446</v>
      </c>
      <c r="B36" s="16" t="s">
        <v>1447</v>
      </c>
      <c r="C36" s="14">
        <f>'Tính chọn'!$D$153/'Tính chọn'!$D$183</f>
        <v>131.10479293643198</v>
      </c>
      <c r="D36" s="9">
        <v>10</v>
      </c>
      <c r="E36" s="17" t="str">
        <f>IF(C36&gt;=D36,"Đạt","Không đạt")</f>
        <v>Đạt</v>
      </c>
      <c r="F36" s="16" t="s">
        <v>194</v>
      </c>
      <c r="G36" s="16" t="s">
        <v>1448</v>
      </c>
    </row>
    <row r="37" spans="1:7" ht="28.5" x14ac:dyDescent="0.2">
      <c r="A37" s="16" t="s">
        <v>1449</v>
      </c>
      <c r="B37" s="16" t="s">
        <v>1450</v>
      </c>
      <c r="C37" s="14">
        <f>'Tính chọn'!$D$189</f>
        <v>1.4291101915610811</v>
      </c>
      <c r="D37" s="14">
        <f>'Tính chọn'!$D$139</f>
        <v>1.7905201416081726</v>
      </c>
      <c r="E37" s="17" t="str">
        <f>IF(AND(C37&gt;='Tính chọn'!$D$138,C37&lt;=D37),"Đạt","Không đạt")</f>
        <v>Đạt</v>
      </c>
      <c r="F37" s="16" t="s">
        <v>1417</v>
      </c>
      <c r="G37" s="16" t="s">
        <v>1451</v>
      </c>
    </row>
    <row r="38" spans="1:7" ht="15" x14ac:dyDescent="0.2">
      <c r="A38" s="16" t="s">
        <v>1452</v>
      </c>
      <c r="B38" s="16" t="s">
        <v>1453</v>
      </c>
      <c r="C38" s="14">
        <f>'Tính chọn'!$D$206</f>
        <v>2.9832881761996406</v>
      </c>
      <c r="D38" s="14">
        <f>'Tính chọn'!$D$125</f>
        <v>3.5244363114528006</v>
      </c>
      <c r="E38" s="17" t="str">
        <f>IF(C38&lt;=D38,"Đạt","Không đạt")</f>
        <v>Đạt</v>
      </c>
      <c r="F38" s="16" t="s">
        <v>1454</v>
      </c>
      <c r="G38" s="16" t="s">
        <v>1455</v>
      </c>
    </row>
    <row r="39" spans="1:7" ht="15" x14ac:dyDescent="0.2">
      <c r="A39" s="16" t="s">
        <v>1456</v>
      </c>
      <c r="B39" s="16" t="s">
        <v>1457</v>
      </c>
      <c r="C39" s="14">
        <f>'Tính chọn'!$D$208</f>
        <v>2.2524650806382644</v>
      </c>
      <c r="D39" s="14">
        <f>'Tính chọn'!$D$72</f>
        <v>3.9000000000000004</v>
      </c>
      <c r="E39" s="17" t="str">
        <f>IF(C39&lt;=D39,"Đạt","Không đạt")</f>
        <v>Đạt</v>
      </c>
      <c r="F39" s="16" t="s">
        <v>227</v>
      </c>
      <c r="G39" s="16" t="s">
        <v>82</v>
      </c>
    </row>
    <row r="40" spans="1:7" ht="28.5" x14ac:dyDescent="0.2">
      <c r="A40" s="16" t="s">
        <v>128</v>
      </c>
      <c r="B40" s="16" t="s">
        <v>1458</v>
      </c>
      <c r="C40" s="14">
        <f>'Tính chọn'!$D$82</f>
        <v>59.41488770073753</v>
      </c>
      <c r="D40" s="14">
        <f>'Tính chọn'!$D$213</f>
        <v>15.460719999999988</v>
      </c>
      <c r="E40" s="17" t="str">
        <f>IF(C40&gt;D40,"Đạt","Không đạt")</f>
        <v>Đạt</v>
      </c>
      <c r="F40" s="16" t="s">
        <v>1389</v>
      </c>
      <c r="G40" s="16" t="s">
        <v>1459</v>
      </c>
    </row>
    <row r="41" spans="1:7" ht="15" x14ac:dyDescent="0.2">
      <c r="A41" s="16" t="s">
        <v>1460</v>
      </c>
      <c r="B41" s="16" t="s">
        <v>1461</v>
      </c>
      <c r="C41" s="23">
        <f>GiaDinh_K3!$D$48</f>
        <v>5.0000000000000002E-5</v>
      </c>
      <c r="D41" s="22">
        <v>1E-4</v>
      </c>
      <c r="E41" s="17" t="str">
        <f>IF(AND(C41&lt;=D41,ABS('Tính chọn'!$D$216-ROUND('Tính chọn'!$D$216,0))&lt;0.000000001,ABS('Tính chọn'!$D$217-ROUND('Tính chọn'!$D$217,0))&lt;0.000000001),"Đạt","Không đạt")</f>
        <v>Đạt</v>
      </c>
      <c r="F41" s="16" t="s">
        <v>1462</v>
      </c>
      <c r="G41" s="16"/>
    </row>
    <row r="42" spans="1:7" ht="15" x14ac:dyDescent="0.2">
      <c r="A42" s="16" t="s">
        <v>1463</v>
      </c>
      <c r="B42" s="16" t="s">
        <v>1464</v>
      </c>
      <c r="C42" s="14">
        <f>GiaDinh_K3!$D$55</f>
        <v>10</v>
      </c>
      <c r="D42" s="14">
        <f>Params!$C$9</f>
        <v>6.9492188287237875</v>
      </c>
      <c r="E42" s="17" t="str">
        <f>IF(C42&gt;=D42,"Đạt","Không đạt")</f>
        <v>Đạt</v>
      </c>
      <c r="F42" s="16" t="s">
        <v>1465</v>
      </c>
      <c r="G42" s="16"/>
    </row>
    <row r="43" spans="1:7" ht="28.5" x14ac:dyDescent="0.2">
      <c r="A43" s="28" t="s">
        <v>1466</v>
      </c>
      <c r="B43" s="28" t="s">
        <v>1467</v>
      </c>
      <c r="C43" s="34">
        <f>GiaDinh_K3!$D$60</f>
        <v>200</v>
      </c>
      <c r="D43" s="34">
        <f>'Tính chọn'!$D$83</f>
        <v>0.1980496256691251</v>
      </c>
      <c r="E43" s="32" t="str">
        <f>IF(C43&gt;=D43,"Đạt","Không đạt")</f>
        <v>Đạt</v>
      </c>
      <c r="F43" s="28" t="s">
        <v>1389</v>
      </c>
      <c r="G43" s="28" t="s">
        <v>1696</v>
      </c>
    </row>
    <row r="44" spans="1:7" ht="15" x14ac:dyDescent="0.2">
      <c r="A44" s="28" t="s">
        <v>1468</v>
      </c>
      <c r="B44" s="28" t="s">
        <v>1469</v>
      </c>
      <c r="C44" s="34">
        <f>'Tính chọn'!$D$25</f>
        <v>1.8740295480880651</v>
      </c>
      <c r="D44" s="34">
        <f>Catalogue!$F$5</f>
        <v>4.95</v>
      </c>
      <c r="E44" s="32" t="str">
        <f>IF(C44&lt;=D44,"Đạt","Không đạt")</f>
        <v>Đạt</v>
      </c>
      <c r="F44" s="28" t="s">
        <v>227</v>
      </c>
      <c r="G44" s="28" t="s">
        <v>1470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workbookViewId="0">
      <pane ySplit="1" topLeftCell="A2" activePane="bottomLeft" state="frozen"/>
      <selection pane="bottomLeft" activeCell="A24" sqref="A24:XFD24"/>
    </sheetView>
  </sheetViews>
  <sheetFormatPr defaultRowHeight="14.25" x14ac:dyDescent="0.2"/>
  <cols>
    <col min="1" max="1" width="12" customWidth="1"/>
    <col min="2" max="2" width="60" customWidth="1"/>
    <col min="3" max="3" width="14" customWidth="1"/>
    <col min="4" max="4" width="10" customWidth="1"/>
    <col min="5" max="5" width="22" customWidth="1"/>
    <col min="6" max="6" width="34" customWidth="1"/>
    <col min="7" max="8" width="10" customWidth="1"/>
  </cols>
  <sheetData>
    <row r="1" spans="1:8" ht="30" customHeight="1" x14ac:dyDescent="0.2">
      <c r="A1" s="3" t="s">
        <v>1471</v>
      </c>
      <c r="B1" s="3" t="s">
        <v>1472</v>
      </c>
      <c r="C1" s="3" t="s">
        <v>42</v>
      </c>
      <c r="D1" s="3" t="s">
        <v>43</v>
      </c>
      <c r="E1" s="3" t="s">
        <v>1473</v>
      </c>
      <c r="F1" s="3" t="s">
        <v>1474</v>
      </c>
      <c r="G1" s="3" t="s">
        <v>1475</v>
      </c>
      <c r="H1" s="3" t="s">
        <v>1476</v>
      </c>
    </row>
    <row r="2" spans="1:8" x14ac:dyDescent="0.2">
      <c r="A2" s="8" t="s">
        <v>1477</v>
      </c>
      <c r="B2" s="8" t="s">
        <v>1478</v>
      </c>
      <c r="C2" s="14">
        <f>'Tính chọn'!$D$10</f>
        <v>9218.0046000000002</v>
      </c>
      <c r="D2" s="8" t="s">
        <v>96</v>
      </c>
      <c r="E2" s="8" t="s">
        <v>158</v>
      </c>
      <c r="F2" s="8" t="s">
        <v>1479</v>
      </c>
      <c r="G2" s="8" t="s">
        <v>117</v>
      </c>
      <c r="H2" s="8" t="s">
        <v>1480</v>
      </c>
    </row>
    <row r="3" spans="1:8" ht="28.5" customHeight="1" x14ac:dyDescent="0.2">
      <c r="A3" s="8" t="s">
        <v>1481</v>
      </c>
      <c r="B3" s="8" t="s">
        <v>1482</v>
      </c>
      <c r="C3" s="14">
        <f>'Tính chọn'!$D$35</f>
        <v>2.1868501158809242</v>
      </c>
      <c r="D3" s="8" t="s">
        <v>65</v>
      </c>
      <c r="E3" s="8" t="s">
        <v>1483</v>
      </c>
      <c r="F3" s="8" t="s">
        <v>1484</v>
      </c>
      <c r="G3" s="8" t="s">
        <v>1485</v>
      </c>
      <c r="H3" s="8" t="s">
        <v>1486</v>
      </c>
    </row>
    <row r="4" spans="1:8" x14ac:dyDescent="0.2">
      <c r="A4" s="8" t="s">
        <v>627</v>
      </c>
      <c r="B4" s="8" t="s">
        <v>1487</v>
      </c>
      <c r="C4" s="14">
        <f>'Tính chọn'!$D$20</f>
        <v>155.34</v>
      </c>
      <c r="D4" s="8" t="s">
        <v>65</v>
      </c>
      <c r="E4" s="8" t="s">
        <v>194</v>
      </c>
      <c r="F4" s="8" t="s">
        <v>1488</v>
      </c>
      <c r="G4" s="8" t="s">
        <v>1489</v>
      </c>
      <c r="H4" s="8" t="s">
        <v>1490</v>
      </c>
    </row>
    <row r="5" spans="1:8" x14ac:dyDescent="0.2">
      <c r="A5" s="8" t="s">
        <v>1491</v>
      </c>
      <c r="B5" s="8" t="s">
        <v>1492</v>
      </c>
      <c r="C5" s="14">
        <f>Catalogue!$F$4</f>
        <v>0.75</v>
      </c>
      <c r="D5" s="8" t="s">
        <v>485</v>
      </c>
      <c r="E5" s="8" t="s">
        <v>227</v>
      </c>
      <c r="F5" s="8" t="s">
        <v>1493</v>
      </c>
      <c r="G5" s="8" t="s">
        <v>1485</v>
      </c>
      <c r="H5" s="8" t="s">
        <v>1486</v>
      </c>
    </row>
    <row r="6" spans="1:8" x14ac:dyDescent="0.2">
      <c r="A6" s="8" t="s">
        <v>1494</v>
      </c>
      <c r="B6" s="8" t="s">
        <v>1495</v>
      </c>
      <c r="C6" s="14">
        <f>Catalogue!$F$21</f>
        <v>2.6</v>
      </c>
      <c r="D6" s="8" t="s">
        <v>117</v>
      </c>
      <c r="E6" s="8" t="s">
        <v>227</v>
      </c>
      <c r="F6" s="8" t="s">
        <v>1496</v>
      </c>
      <c r="G6" s="8" t="s">
        <v>1489</v>
      </c>
      <c r="H6" s="8" t="s">
        <v>1486</v>
      </c>
    </row>
    <row r="7" spans="1:8" x14ac:dyDescent="0.2">
      <c r="A7" s="8" t="s">
        <v>1497</v>
      </c>
      <c r="B7" s="8" t="s">
        <v>1498</v>
      </c>
      <c r="C7" s="14">
        <f>GiaDinh_K3!$D$42</f>
        <v>210</v>
      </c>
      <c r="D7" s="8" t="s">
        <v>124</v>
      </c>
      <c r="E7" s="8" t="s">
        <v>1389</v>
      </c>
      <c r="F7" s="8" t="s">
        <v>1499</v>
      </c>
      <c r="G7" s="8" t="s">
        <v>1500</v>
      </c>
      <c r="H7" s="8" t="s">
        <v>1501</v>
      </c>
    </row>
    <row r="8" spans="1:8" x14ac:dyDescent="0.2">
      <c r="A8" s="8" t="s">
        <v>1502</v>
      </c>
      <c r="B8" s="8" t="s">
        <v>1503</v>
      </c>
      <c r="C8" s="14">
        <f>'Tính chọn'!$D$75</f>
        <v>436.48779754821589</v>
      </c>
      <c r="D8" s="8" t="s">
        <v>102</v>
      </c>
      <c r="E8" s="8" t="s">
        <v>1389</v>
      </c>
      <c r="F8" s="8" t="s">
        <v>1499</v>
      </c>
      <c r="G8" s="8" t="s">
        <v>1500</v>
      </c>
      <c r="H8" s="8" t="s">
        <v>1501</v>
      </c>
    </row>
    <row r="9" spans="1:8" x14ac:dyDescent="0.2">
      <c r="A9" s="8" t="s">
        <v>1504</v>
      </c>
      <c r="B9" s="8" t="s">
        <v>1505</v>
      </c>
      <c r="C9" s="14">
        <f>GiaDinh_K3!$D$14</f>
        <v>700</v>
      </c>
      <c r="D9" s="8" t="s">
        <v>296</v>
      </c>
      <c r="E9" s="8" t="s">
        <v>1389</v>
      </c>
      <c r="F9" s="8" t="s">
        <v>302</v>
      </c>
      <c r="G9" s="8" t="s">
        <v>1506</v>
      </c>
      <c r="H9" s="8" t="s">
        <v>1501</v>
      </c>
    </row>
    <row r="10" spans="1:8" ht="28.5" customHeight="1" x14ac:dyDescent="0.2">
      <c r="A10" s="8" t="s">
        <v>1507</v>
      </c>
      <c r="B10" s="8" t="s">
        <v>1508</v>
      </c>
      <c r="C10" s="14">
        <f>GiaDinh_K3!$D$11</f>
        <v>0.45</v>
      </c>
      <c r="D10" s="8" t="s">
        <v>59</v>
      </c>
      <c r="E10" s="8" t="s">
        <v>198</v>
      </c>
      <c r="F10" s="8" t="s">
        <v>1509</v>
      </c>
      <c r="G10" s="8" t="s">
        <v>1500</v>
      </c>
      <c r="H10" s="8" t="s">
        <v>1510</v>
      </c>
    </row>
    <row r="11" spans="1:8" ht="28.5" customHeight="1" x14ac:dyDescent="0.2">
      <c r="A11" s="8" t="s">
        <v>1511</v>
      </c>
      <c r="B11" s="8" t="s">
        <v>1512</v>
      </c>
      <c r="C11" s="14">
        <f>GiaDinh_K3!$D$12</f>
        <v>1.8</v>
      </c>
      <c r="D11" s="8" t="s">
        <v>62</v>
      </c>
      <c r="E11" s="8" t="s">
        <v>198</v>
      </c>
      <c r="F11" s="8" t="s">
        <v>1509</v>
      </c>
      <c r="G11" s="8" t="s">
        <v>1500</v>
      </c>
      <c r="H11" s="8" t="s">
        <v>1510</v>
      </c>
    </row>
    <row r="12" spans="1:8" ht="28.5" customHeight="1" x14ac:dyDescent="0.2">
      <c r="A12" s="8" t="s">
        <v>1513</v>
      </c>
      <c r="B12" s="8" t="s">
        <v>1514</v>
      </c>
      <c r="C12" s="14">
        <f>'Tính chọn'!$D$135</f>
        <v>0.71448373582658675</v>
      </c>
      <c r="D12" s="8" t="s">
        <v>1051</v>
      </c>
      <c r="E12" s="8" t="s">
        <v>1515</v>
      </c>
      <c r="F12" s="8" t="s">
        <v>1516</v>
      </c>
      <c r="G12" s="8" t="s">
        <v>1506</v>
      </c>
      <c r="H12" s="8" t="s">
        <v>1490</v>
      </c>
    </row>
    <row r="13" spans="1:8" ht="28.5" customHeight="1" x14ac:dyDescent="0.2">
      <c r="A13" s="8" t="s">
        <v>1517</v>
      </c>
      <c r="B13" s="8" t="s">
        <v>1518</v>
      </c>
      <c r="C13" s="14">
        <f>'Tính chọn'!$D$136</f>
        <v>7.0000000000000001E-3</v>
      </c>
      <c r="D13" s="8" t="s">
        <v>132</v>
      </c>
      <c r="E13" s="8" t="s">
        <v>1515</v>
      </c>
      <c r="F13" s="8" t="s">
        <v>1516</v>
      </c>
      <c r="G13" s="8" t="s">
        <v>1506</v>
      </c>
      <c r="H13" s="8" t="s">
        <v>1490</v>
      </c>
    </row>
    <row r="14" spans="1:8" ht="28.5" customHeight="1" x14ac:dyDescent="0.2">
      <c r="A14" s="8" t="s">
        <v>1519</v>
      </c>
      <c r="B14" s="8" t="s">
        <v>1520</v>
      </c>
      <c r="C14" s="14">
        <f>GiaDinh_K3!$D$35</f>
        <v>0.05</v>
      </c>
      <c r="D14" s="8" t="s">
        <v>65</v>
      </c>
      <c r="E14" s="8" t="s">
        <v>1521</v>
      </c>
      <c r="F14" s="8" t="s">
        <v>1522</v>
      </c>
      <c r="G14" s="8" t="s">
        <v>1506</v>
      </c>
      <c r="H14" s="8" t="s">
        <v>1490</v>
      </c>
    </row>
    <row r="15" spans="1:8" ht="28.5" customHeight="1" x14ac:dyDescent="0.2">
      <c r="A15" s="8" t="s">
        <v>1523</v>
      </c>
      <c r="B15" s="8" t="s">
        <v>1524</v>
      </c>
      <c r="C15" s="14">
        <f>'Tính chọn'!$D$128</f>
        <v>108.36366999441275</v>
      </c>
      <c r="D15" s="8" t="s">
        <v>1023</v>
      </c>
      <c r="E15" s="8" t="s">
        <v>1525</v>
      </c>
      <c r="F15" s="8" t="s">
        <v>1526</v>
      </c>
      <c r="G15" s="8" t="s">
        <v>1506</v>
      </c>
      <c r="H15" s="8" t="s">
        <v>1527</v>
      </c>
    </row>
    <row r="16" spans="1:8" ht="28.5" customHeight="1" x14ac:dyDescent="0.2">
      <c r="A16" s="8" t="s">
        <v>1528</v>
      </c>
      <c r="B16" s="8" t="s">
        <v>1529</v>
      </c>
      <c r="C16" s="14">
        <f>'Tính chọn'!$D$129</f>
        <v>5.5500424790646029E-3</v>
      </c>
      <c r="D16" s="8" t="s">
        <v>132</v>
      </c>
      <c r="E16" s="8" t="s">
        <v>1525</v>
      </c>
      <c r="F16" s="8" t="s">
        <v>1526</v>
      </c>
      <c r="G16" s="8" t="s">
        <v>1506</v>
      </c>
      <c r="H16" s="8" t="s">
        <v>1527</v>
      </c>
    </row>
    <row r="17" spans="1:8" ht="28.5" customHeight="1" x14ac:dyDescent="0.2">
      <c r="A17" s="8" t="s">
        <v>885</v>
      </c>
      <c r="B17" s="8" t="s">
        <v>1530</v>
      </c>
      <c r="C17" s="14">
        <f>'Tính chọn'!$D$87</f>
        <v>4.95</v>
      </c>
      <c r="D17" s="8" t="s">
        <v>108</v>
      </c>
      <c r="E17" s="8" t="s">
        <v>1531</v>
      </c>
      <c r="F17" s="8" t="s">
        <v>1532</v>
      </c>
      <c r="G17" s="8" t="s">
        <v>1506</v>
      </c>
      <c r="H17" s="8" t="s">
        <v>1533</v>
      </c>
    </row>
    <row r="18" spans="1:8" ht="28.5" customHeight="1" x14ac:dyDescent="0.2">
      <c r="A18" s="8" t="s">
        <v>1534</v>
      </c>
      <c r="B18" s="8" t="s">
        <v>1535</v>
      </c>
      <c r="C18" s="14">
        <f>GiaDinh_K3!$D$31</f>
        <v>5.0000000000000001E-3</v>
      </c>
      <c r="D18" s="8" t="s">
        <v>56</v>
      </c>
      <c r="E18" s="8" t="s">
        <v>1531</v>
      </c>
      <c r="F18" s="8" t="s">
        <v>1536</v>
      </c>
      <c r="G18" s="8" t="s">
        <v>1506</v>
      </c>
      <c r="H18" s="8" t="s">
        <v>1533</v>
      </c>
    </row>
    <row r="19" spans="1:8" ht="28.5" customHeight="1" x14ac:dyDescent="0.2">
      <c r="A19" s="8" t="s">
        <v>1537</v>
      </c>
      <c r="B19" s="8" t="s">
        <v>1538</v>
      </c>
      <c r="C19" s="14">
        <f>GiaDinh_K3!$D$32</f>
        <v>2E-3</v>
      </c>
      <c r="D19" s="8" t="s">
        <v>56</v>
      </c>
      <c r="E19" s="8" t="s">
        <v>1531</v>
      </c>
      <c r="F19" s="8" t="s">
        <v>1536</v>
      </c>
      <c r="G19" s="8" t="s">
        <v>1506</v>
      </c>
      <c r="H19" s="8" t="s">
        <v>1533</v>
      </c>
    </row>
    <row r="20" spans="1:8" ht="28.5" customHeight="1" x14ac:dyDescent="0.2">
      <c r="A20" s="8" t="s">
        <v>1539</v>
      </c>
      <c r="B20" s="8" t="s">
        <v>1540</v>
      </c>
      <c r="C20" s="14">
        <f>'Tính chọn'!$D$172</f>
        <v>3.3000000000000002E-2</v>
      </c>
      <c r="D20" s="8" t="s">
        <v>56</v>
      </c>
      <c r="E20" s="8" t="s">
        <v>1541</v>
      </c>
      <c r="F20" s="8" t="s">
        <v>1542</v>
      </c>
      <c r="G20" s="8" t="s">
        <v>1506</v>
      </c>
      <c r="H20" s="8" t="s">
        <v>1490</v>
      </c>
    </row>
    <row r="21" spans="1:8" ht="28.5" customHeight="1" x14ac:dyDescent="0.2">
      <c r="A21" s="8" t="s">
        <v>1543</v>
      </c>
      <c r="B21" s="8" t="s">
        <v>1544</v>
      </c>
      <c r="C21" s="14">
        <f>GiaDinh_K3!$D$20</f>
        <v>7</v>
      </c>
      <c r="D21" s="8" t="s">
        <v>108</v>
      </c>
      <c r="E21" s="8" t="s">
        <v>913</v>
      </c>
      <c r="F21" s="8" t="s">
        <v>1545</v>
      </c>
      <c r="G21" s="8" t="s">
        <v>1485</v>
      </c>
      <c r="H21" s="8" t="s">
        <v>1533</v>
      </c>
    </row>
    <row r="22" spans="1:8" ht="28.5" x14ac:dyDescent="0.2">
      <c r="A22" s="8" t="s">
        <v>1546</v>
      </c>
      <c r="B22" s="8" t="s">
        <v>1547</v>
      </c>
      <c r="C22" s="14">
        <f>'Tính chọn'!$D$199</f>
        <v>0.80389797711496291</v>
      </c>
      <c r="D22" s="8" t="s">
        <v>65</v>
      </c>
      <c r="E22" s="8" t="s">
        <v>194</v>
      </c>
      <c r="F22" s="8" t="s">
        <v>1548</v>
      </c>
      <c r="G22" s="8" t="s">
        <v>1506</v>
      </c>
      <c r="H22" s="8" t="s">
        <v>1490</v>
      </c>
    </row>
    <row r="23" spans="1:8" ht="28.5" x14ac:dyDescent="0.2">
      <c r="A23" s="8" t="s">
        <v>1549</v>
      </c>
      <c r="B23" s="8" t="s">
        <v>1550</v>
      </c>
      <c r="C23" s="14">
        <f>'Tính chọn'!$D$200</f>
        <v>133.20267921604088</v>
      </c>
      <c r="D23" s="8" t="s">
        <v>185</v>
      </c>
      <c r="E23" s="8" t="s">
        <v>194</v>
      </c>
      <c r="F23" s="8" t="s">
        <v>1548</v>
      </c>
      <c r="G23" s="8" t="s">
        <v>1506</v>
      </c>
      <c r="H23" s="8" t="s">
        <v>1490</v>
      </c>
    </row>
    <row r="24" spans="1:8" ht="28.5" x14ac:dyDescent="0.2">
      <c r="A24" s="8" t="s">
        <v>1697</v>
      </c>
      <c r="B24" s="8" t="s">
        <v>1698</v>
      </c>
      <c r="C24" s="14">
        <f>GiaDinh_K3!$D$60</f>
        <v>200</v>
      </c>
      <c r="D24" s="8" t="s">
        <v>102</v>
      </c>
      <c r="E24" s="8" t="s">
        <v>1389</v>
      </c>
      <c r="F24" s="8" t="s">
        <v>1699</v>
      </c>
      <c r="G24" s="8" t="s">
        <v>1700</v>
      </c>
      <c r="H24" s="8" t="s">
        <v>1501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6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" customWidth="1"/>
    <col min="2" max="2" width="26" customWidth="1"/>
    <col min="3" max="3" width="14" customWidth="1"/>
    <col min="4" max="4" width="10" customWidth="1"/>
    <col min="5" max="5" width="18" customWidth="1"/>
    <col min="6" max="6" width="60" customWidth="1"/>
    <col min="7" max="7" width="90" customWidth="1"/>
  </cols>
  <sheetData>
    <row r="1" spans="1:7" ht="15" x14ac:dyDescent="0.2">
      <c r="A1" s="3" t="s">
        <v>1551</v>
      </c>
      <c r="B1" s="3" t="s">
        <v>1552</v>
      </c>
      <c r="C1" s="3" t="s">
        <v>42</v>
      </c>
      <c r="D1" s="3" t="s">
        <v>43</v>
      </c>
      <c r="E1" s="3" t="s">
        <v>1553</v>
      </c>
      <c r="F1" s="3" t="s">
        <v>1359</v>
      </c>
      <c r="G1" s="27" t="s">
        <v>1701</v>
      </c>
    </row>
    <row r="2" spans="1:7" x14ac:dyDescent="0.2">
      <c r="A2" s="8" t="s">
        <v>1554</v>
      </c>
      <c r="B2" s="8" t="s">
        <v>1555</v>
      </c>
      <c r="C2" s="14">
        <f>Params!$C$5</f>
        <v>14244</v>
      </c>
      <c r="D2" s="8" t="s">
        <v>46</v>
      </c>
      <c r="E2" s="8" t="s">
        <v>1556</v>
      </c>
      <c r="F2" s="8" t="s">
        <v>1557</v>
      </c>
      <c r="G2" s="35" t="str">
        <f t="shared" ref="G2:G33" si="0">B2&amp;" = "&amp;C2&amp;";   % "&amp;D2&amp;IF(F2="",""," — "&amp;F2)</f>
        <v>M_full = 14244;   % kg — Chỉ dùng cho tính lực cản F_c</v>
      </c>
    </row>
    <row r="3" spans="1:7" x14ac:dyDescent="0.2">
      <c r="A3" s="8" t="s">
        <v>1554</v>
      </c>
      <c r="B3" s="8" t="s">
        <v>1558</v>
      </c>
      <c r="C3" s="14">
        <f>Params!$C$6</f>
        <v>2022</v>
      </c>
      <c r="D3" s="8" t="s">
        <v>46</v>
      </c>
      <c r="E3" s="8" t="s">
        <v>1559</v>
      </c>
      <c r="F3" s="8" t="s">
        <v>1560</v>
      </c>
      <c r="G3" s="35" t="str">
        <f t="shared" si="0"/>
        <v>M_empty = 2022;   % kg — Chỉ dùng cho tính lực cản F_c,0</v>
      </c>
    </row>
    <row r="4" spans="1:7" x14ac:dyDescent="0.2">
      <c r="A4" s="8" t="s">
        <v>1554</v>
      </c>
      <c r="B4" s="8" t="s">
        <v>1561</v>
      </c>
      <c r="C4" s="14">
        <f>'Tính chọn'!$D$175</f>
        <v>1800</v>
      </c>
      <c r="D4" s="8" t="s">
        <v>46</v>
      </c>
      <c r="E4" s="8" t="s">
        <v>1562</v>
      </c>
      <c r="F4" s="8" t="s">
        <v>1563</v>
      </c>
      <c r="G4" s="35" t="str">
        <f t="shared" si="0"/>
        <v>m_trolley = 1800;   % kg — Khối lượng cứng của mô hình 2 khối</v>
      </c>
    </row>
    <row r="5" spans="1:7" x14ac:dyDescent="0.2">
      <c r="A5" s="8" t="s">
        <v>1554</v>
      </c>
      <c r="B5" s="8" t="s">
        <v>1564</v>
      </c>
      <c r="C5" s="14">
        <f>'Tính chọn'!$D$176</f>
        <v>12444</v>
      </c>
      <c r="D5" s="8" t="s">
        <v>46</v>
      </c>
      <c r="E5" s="8" t="s">
        <v>1562</v>
      </c>
      <c r="F5" s="8" t="s">
        <v>1153</v>
      </c>
      <c r="G5" s="35" t="str">
        <f t="shared" si="0"/>
        <v>m_pend_full = 12444;   % kg — Q + m_nh</v>
      </c>
    </row>
    <row r="6" spans="1:7" x14ac:dyDescent="0.2">
      <c r="A6" s="8" t="s">
        <v>1554</v>
      </c>
      <c r="B6" s="8" t="s">
        <v>1565</v>
      </c>
      <c r="C6" s="14">
        <f>'Tính chọn'!$D$177</f>
        <v>222</v>
      </c>
      <c r="D6" s="8" t="s">
        <v>46</v>
      </c>
      <c r="E6" s="8" t="s">
        <v>1562</v>
      </c>
      <c r="F6" s="8" t="s">
        <v>162</v>
      </c>
      <c r="G6" s="35" t="str">
        <f t="shared" si="0"/>
        <v>m_pend_empty = 222;   % kg — m_nh</v>
      </c>
    </row>
    <row r="7" spans="1:7" x14ac:dyDescent="0.2">
      <c r="A7" s="8" t="s">
        <v>1554</v>
      </c>
      <c r="B7" s="8" t="s">
        <v>205</v>
      </c>
      <c r="C7" s="14">
        <f>Params!$C$13</f>
        <v>0.25</v>
      </c>
      <c r="D7" s="8" t="s">
        <v>53</v>
      </c>
      <c r="E7" s="8" t="s">
        <v>1566</v>
      </c>
      <c r="F7" s="8"/>
      <c r="G7" s="35" t="str">
        <f t="shared" si="0"/>
        <v>D_bx = 0.25;   % m</v>
      </c>
    </row>
    <row r="8" spans="1:7" x14ac:dyDescent="0.2">
      <c r="A8" s="8" t="s">
        <v>1554</v>
      </c>
      <c r="B8" s="8" t="s">
        <v>1567</v>
      </c>
      <c r="C8" s="14">
        <f>Params!$C$14</f>
        <v>1.4999999999999999E-2</v>
      </c>
      <c r="D8" s="8" t="s">
        <v>65</v>
      </c>
      <c r="E8" s="8" t="s">
        <v>1568</v>
      </c>
      <c r="F8" s="8"/>
      <c r="G8" s="35" t="str">
        <f t="shared" si="0"/>
        <v>w0 = 0.015;   % -</v>
      </c>
    </row>
    <row r="9" spans="1:7" x14ac:dyDescent="0.2">
      <c r="A9" s="8" t="s">
        <v>1554</v>
      </c>
      <c r="B9" s="8" t="s">
        <v>1569</v>
      </c>
      <c r="C9" s="14">
        <f>Params!$C$15</f>
        <v>0.2</v>
      </c>
      <c r="D9" s="8" t="s">
        <v>65</v>
      </c>
      <c r="E9" s="8" t="s">
        <v>1570</v>
      </c>
      <c r="F9" s="8"/>
      <c r="G9" s="35" t="str">
        <f t="shared" si="0"/>
        <v>phi = 0.2;   % -</v>
      </c>
    </row>
    <row r="10" spans="1:7" x14ac:dyDescent="0.2">
      <c r="A10" s="8" t="s">
        <v>1554</v>
      </c>
      <c r="B10" s="8" t="s">
        <v>1571</v>
      </c>
      <c r="C10" s="14">
        <f>Params!$C$16</f>
        <v>0.9</v>
      </c>
      <c r="D10" s="8" t="s">
        <v>65</v>
      </c>
      <c r="E10" s="8" t="s">
        <v>1572</v>
      </c>
      <c r="F10" s="8"/>
      <c r="G10" s="35" t="str">
        <f t="shared" si="0"/>
        <v>eta = 0.9;   % -</v>
      </c>
    </row>
    <row r="11" spans="1:7" x14ac:dyDescent="0.2">
      <c r="A11" s="8" t="s">
        <v>1554</v>
      </c>
      <c r="B11" s="8" t="s">
        <v>231</v>
      </c>
      <c r="C11" s="14">
        <f>Params!$C$19</f>
        <v>9.81</v>
      </c>
      <c r="D11" s="8" t="s">
        <v>59</v>
      </c>
      <c r="E11" s="8" t="s">
        <v>1573</v>
      </c>
      <c r="F11" s="8"/>
      <c r="G11" s="35" t="str">
        <f t="shared" si="0"/>
        <v>g = 9.81;   % m/s²</v>
      </c>
    </row>
    <row r="12" spans="1:7" x14ac:dyDescent="0.2">
      <c r="A12" s="8" t="s">
        <v>1554</v>
      </c>
      <c r="B12" s="8" t="s">
        <v>180</v>
      </c>
      <c r="C12" s="14">
        <f>Params!$C$7</f>
        <v>12</v>
      </c>
      <c r="D12" s="8" t="s">
        <v>53</v>
      </c>
      <c r="E12" s="8" t="s">
        <v>1574</v>
      </c>
      <c r="F12" s="8"/>
      <c r="G12" s="35" t="str">
        <f t="shared" si="0"/>
        <v>h = 12;   % m</v>
      </c>
    </row>
    <row r="13" spans="1:7" x14ac:dyDescent="0.2">
      <c r="A13" s="8" t="s">
        <v>1554</v>
      </c>
      <c r="B13" s="8" t="s">
        <v>636</v>
      </c>
      <c r="C13" s="24">
        <f>'Tính chọn'!$D$23</f>
        <v>8.0468649414188235E-4</v>
      </c>
      <c r="D13" s="8" t="s">
        <v>639</v>
      </c>
      <c r="E13" s="8" t="s">
        <v>1488</v>
      </c>
      <c r="F13" s="8"/>
      <c r="G13" s="35" t="str">
        <f t="shared" si="0"/>
        <v>k_qd = 0.000804686494141882;   % m/rad</v>
      </c>
    </row>
    <row r="14" spans="1:7" x14ac:dyDescent="0.2">
      <c r="A14" s="8" t="s">
        <v>1554</v>
      </c>
      <c r="B14" s="8" t="s">
        <v>1575</v>
      </c>
      <c r="C14" s="14">
        <f>'Tính chọn'!$D$20</f>
        <v>155.34</v>
      </c>
      <c r="D14" s="8" t="s">
        <v>65</v>
      </c>
      <c r="E14" s="8" t="s">
        <v>1488</v>
      </c>
      <c r="F14" s="8" t="s">
        <v>1576</v>
      </c>
      <c r="G14" s="35" t="str">
        <f t="shared" si="0"/>
        <v>i_gear = 155.34;   % - — SEW R87</v>
      </c>
    </row>
    <row r="15" spans="1:7" x14ac:dyDescent="0.2">
      <c r="A15" s="8" t="s">
        <v>1554</v>
      </c>
      <c r="B15" s="8" t="s">
        <v>265</v>
      </c>
      <c r="C15" s="14">
        <f>GiaDinh_K3!$D$8</f>
        <v>1.1499999999999999</v>
      </c>
      <c r="D15" s="8" t="s">
        <v>65</v>
      </c>
      <c r="E15" s="8" t="s">
        <v>1577</v>
      </c>
      <c r="F15" s="8" t="s">
        <v>1578</v>
      </c>
      <c r="G15" s="35" t="str">
        <f t="shared" si="0"/>
        <v>delta = 1.15;   % - — Chỉ cho tính khối cứng (Excel)</v>
      </c>
    </row>
    <row r="16" spans="1:7" x14ac:dyDescent="0.2">
      <c r="A16" s="8" t="s">
        <v>1554</v>
      </c>
      <c r="B16" s="8" t="s">
        <v>1161</v>
      </c>
      <c r="C16" s="24">
        <f>'Tính chọn'!$D$178</f>
        <v>1.3834919880452109E-3</v>
      </c>
      <c r="D16" s="8" t="s">
        <v>106</v>
      </c>
      <c r="E16" s="8" t="s">
        <v>1562</v>
      </c>
      <c r="F16" s="8" t="s">
        <v>1579</v>
      </c>
      <c r="G16" s="35" t="str">
        <f t="shared" si="0"/>
        <v>J_gear = 0.00138349198804521;   % kg·m² — (δ−1)·M_Σ·k²</v>
      </c>
    </row>
    <row r="17" spans="1:7" x14ac:dyDescent="0.2">
      <c r="A17" s="8" t="s">
        <v>1554</v>
      </c>
      <c r="B17" s="8" t="s">
        <v>1166</v>
      </c>
      <c r="C17" s="24">
        <f>'Tính chọn'!$D$179</f>
        <v>5.1690286249830479E-3</v>
      </c>
      <c r="D17" s="8" t="s">
        <v>106</v>
      </c>
      <c r="E17" s="8" t="s">
        <v>1562</v>
      </c>
      <c r="F17" s="8" t="s">
        <v>1580</v>
      </c>
      <c r="G17" s="35" t="str">
        <f t="shared" si="0"/>
        <v>J_rig = 0.00516902862498305;   % kg·m² — Quán tính cứng trên trục ĐC</v>
      </c>
    </row>
    <row r="18" spans="1:7" x14ac:dyDescent="0.2">
      <c r="A18" s="8" t="s">
        <v>1554</v>
      </c>
      <c r="B18" s="8" t="s">
        <v>417</v>
      </c>
      <c r="C18" s="14">
        <f>GiaDinh_K3!$D$45</f>
        <v>0</v>
      </c>
      <c r="D18" s="8" t="s">
        <v>65</v>
      </c>
      <c r="E18" s="8" t="s">
        <v>1577</v>
      </c>
      <c r="F18" s="8"/>
      <c r="G18" s="35" t="str">
        <f t="shared" si="0"/>
        <v>zeta = 0;   % -</v>
      </c>
    </row>
    <row r="19" spans="1:7" x14ac:dyDescent="0.2">
      <c r="A19" s="8" t="s">
        <v>1554</v>
      </c>
      <c r="B19" s="8" t="s">
        <v>465</v>
      </c>
      <c r="C19" s="14">
        <f>GiaDinh_K3!$D$58</f>
        <v>0</v>
      </c>
      <c r="D19" s="8" t="s">
        <v>65</v>
      </c>
      <c r="E19" s="8" t="s">
        <v>1577</v>
      </c>
      <c r="F19" s="8" t="s">
        <v>1581</v>
      </c>
      <c r="G19" s="35" t="str">
        <f t="shared" si="0"/>
        <v>mech_model = 0;   % - — 0 = 2 khối lượng; 1 = khối cứng (DV-04 bảo thủ)</v>
      </c>
    </row>
    <row r="20" spans="1:7" x14ac:dyDescent="0.2">
      <c r="A20" s="8" t="s">
        <v>71</v>
      </c>
      <c r="B20" s="8" t="s">
        <v>956</v>
      </c>
      <c r="C20" s="14">
        <f>'Tính chọn'!$D$109</f>
        <v>8.3856461764440411</v>
      </c>
      <c r="D20" s="8" t="s">
        <v>124</v>
      </c>
      <c r="E20" s="8" t="s">
        <v>1582</v>
      </c>
      <c r="F20" s="8"/>
      <c r="G20" s="35" t="str">
        <f t="shared" si="0"/>
        <v>Rs = 8.38564617644404;   % Ω</v>
      </c>
    </row>
    <row r="21" spans="1:7" x14ac:dyDescent="0.2">
      <c r="A21" s="8" t="s">
        <v>71</v>
      </c>
      <c r="B21" s="8" t="s">
        <v>941</v>
      </c>
      <c r="C21" s="14">
        <f>'Tính chọn'!$D$104</f>
        <v>6.975529809991551</v>
      </c>
      <c r="D21" s="8" t="s">
        <v>124</v>
      </c>
      <c r="E21" s="8" t="s">
        <v>1582</v>
      </c>
      <c r="F21" s="8"/>
      <c r="G21" s="35" t="str">
        <f t="shared" si="0"/>
        <v>Rr = 6.97552980999155;   % Ω</v>
      </c>
    </row>
    <row r="22" spans="1:7" x14ac:dyDescent="0.2">
      <c r="A22" s="8" t="s">
        <v>71</v>
      </c>
      <c r="B22" s="8" t="s">
        <v>1583</v>
      </c>
      <c r="C22" s="24">
        <f>'Tính chọn'!$D$111</f>
        <v>4.1738882233461477E-2</v>
      </c>
      <c r="D22" s="8" t="s">
        <v>962</v>
      </c>
      <c r="E22" s="8" t="s">
        <v>1582</v>
      </c>
      <c r="F22" s="8"/>
      <c r="G22" s="35" t="str">
        <f t="shared" si="0"/>
        <v>Lls = 0.0417388822334615;   % H</v>
      </c>
    </row>
    <row r="23" spans="1:7" x14ac:dyDescent="0.2">
      <c r="A23" s="8" t="s">
        <v>71</v>
      </c>
      <c r="B23" s="8" t="s">
        <v>1584</v>
      </c>
      <c r="C23" s="24">
        <f>'Tính chọn'!$D$112</f>
        <v>4.1738882233461477E-2</v>
      </c>
      <c r="D23" s="8" t="s">
        <v>962</v>
      </c>
      <c r="E23" s="8" t="s">
        <v>1582</v>
      </c>
      <c r="F23" s="8"/>
      <c r="G23" s="35" t="str">
        <f t="shared" si="0"/>
        <v>Llr = 0.0417388822334615;   % H</v>
      </c>
    </row>
    <row r="24" spans="1:7" x14ac:dyDescent="0.2">
      <c r="A24" s="8" t="s">
        <v>71</v>
      </c>
      <c r="B24" s="8" t="s">
        <v>959</v>
      </c>
      <c r="C24" s="14">
        <f>'Tính chọn'!$D$110</f>
        <v>0.74834040664187829</v>
      </c>
      <c r="D24" s="8" t="s">
        <v>962</v>
      </c>
      <c r="E24" s="8" t="s">
        <v>1582</v>
      </c>
      <c r="F24" s="8"/>
      <c r="G24" s="35" t="str">
        <f t="shared" si="0"/>
        <v>Lm = 0.748340406641878;   % H</v>
      </c>
    </row>
    <row r="25" spans="1:7" x14ac:dyDescent="0.2">
      <c r="A25" s="8" t="s">
        <v>71</v>
      </c>
      <c r="B25" s="8" t="s">
        <v>354</v>
      </c>
      <c r="C25" s="14">
        <f>GiaDinh_K3!$D$28</f>
        <v>2</v>
      </c>
      <c r="D25" s="8" t="s">
        <v>65</v>
      </c>
      <c r="E25" s="8" t="s">
        <v>1577</v>
      </c>
      <c r="F25" s="8"/>
      <c r="G25" s="35" t="str">
        <f t="shared" si="0"/>
        <v>pp = 2;   % -</v>
      </c>
    </row>
    <row r="26" spans="1:7" x14ac:dyDescent="0.2">
      <c r="A26" s="8" t="s">
        <v>71</v>
      </c>
      <c r="B26" s="8" t="s">
        <v>1585</v>
      </c>
      <c r="C26" s="24">
        <f>Catalogue!$F$15</f>
        <v>2.6199999999999999E-3</v>
      </c>
      <c r="D26" s="8" t="s">
        <v>106</v>
      </c>
      <c r="E26" s="8" t="s">
        <v>1586</v>
      </c>
      <c r="F26" s="8" t="s">
        <v>1587</v>
      </c>
      <c r="G26" s="35" t="str">
        <f t="shared" si="0"/>
        <v>J_Bmot = 0.00262;   % kg·m² — Rotor kèm phanh</v>
      </c>
    </row>
    <row r="27" spans="1:7" x14ac:dyDescent="0.2">
      <c r="A27" s="8" t="s">
        <v>71</v>
      </c>
      <c r="B27" s="8" t="s">
        <v>1588</v>
      </c>
      <c r="C27" s="14">
        <f>'Tính chọn'!$D$122</f>
        <v>1.039595734978235</v>
      </c>
      <c r="D27" s="8" t="s">
        <v>1002</v>
      </c>
      <c r="E27" s="8" t="s">
        <v>1582</v>
      </c>
      <c r="F27" s="8"/>
      <c r="G27" s="35" t="str">
        <f t="shared" si="0"/>
        <v>psi_rN = 1.03959573497823;   % Wb</v>
      </c>
    </row>
    <row r="28" spans="1:7" x14ac:dyDescent="0.2">
      <c r="A28" s="8" t="s">
        <v>71</v>
      </c>
      <c r="B28" s="8" t="s">
        <v>359</v>
      </c>
      <c r="C28" s="14">
        <f>GiaDinh_K3!$D$29</f>
        <v>400</v>
      </c>
      <c r="D28" s="8" t="s">
        <v>296</v>
      </c>
      <c r="E28" s="8" t="s">
        <v>1577</v>
      </c>
      <c r="F28" s="8"/>
      <c r="G28" s="35" t="str">
        <f t="shared" si="0"/>
        <v>U_N = 400;   % V</v>
      </c>
    </row>
    <row r="29" spans="1:7" x14ac:dyDescent="0.2">
      <c r="A29" s="8" t="s">
        <v>71</v>
      </c>
      <c r="B29" s="8" t="s">
        <v>1589</v>
      </c>
      <c r="C29" s="14">
        <f>GiaDinh_K3!$D$6</f>
        <v>50</v>
      </c>
      <c r="D29" s="8" t="s">
        <v>263</v>
      </c>
      <c r="E29" s="8" t="s">
        <v>1577</v>
      </c>
      <c r="F29" s="8"/>
      <c r="G29" s="35" t="str">
        <f t="shared" si="0"/>
        <v>f_N = 50;   % Hz</v>
      </c>
    </row>
    <row r="30" spans="1:7" x14ac:dyDescent="0.2">
      <c r="A30" s="8" t="s">
        <v>81</v>
      </c>
      <c r="B30" s="8" t="s">
        <v>1590</v>
      </c>
      <c r="C30" s="14">
        <f>Params!$C$20</f>
        <v>380</v>
      </c>
      <c r="D30" s="8" t="s">
        <v>296</v>
      </c>
      <c r="E30" s="8" t="s">
        <v>1591</v>
      </c>
      <c r="F30" s="8" t="s">
        <v>1592</v>
      </c>
      <c r="G30" s="35" t="str">
        <f t="shared" si="0"/>
        <v>U_grid = 380;   % V — Chạy thêm U_grid·(1 ± dU_grid)</v>
      </c>
    </row>
    <row r="31" spans="1:7" x14ac:dyDescent="0.2">
      <c r="A31" s="8" t="s">
        <v>81</v>
      </c>
      <c r="B31" s="8" t="s">
        <v>1593</v>
      </c>
      <c r="C31" s="14">
        <f>GiaDinh_K3!$D$5</f>
        <v>0.1</v>
      </c>
      <c r="D31" s="8" t="s">
        <v>65</v>
      </c>
      <c r="E31" s="8" t="s">
        <v>1577</v>
      </c>
      <c r="F31" s="8"/>
      <c r="G31" s="35" t="str">
        <f t="shared" si="0"/>
        <v>dU_grid = 0.1;   % -</v>
      </c>
    </row>
    <row r="32" spans="1:7" x14ac:dyDescent="0.2">
      <c r="A32" s="8" t="s">
        <v>81</v>
      </c>
      <c r="B32" s="8" t="s">
        <v>329</v>
      </c>
      <c r="C32" s="14">
        <f>GiaDinh_K3!$D$22</f>
        <v>4000</v>
      </c>
      <c r="D32" s="8" t="s">
        <v>263</v>
      </c>
      <c r="E32" s="8" t="s">
        <v>1577</v>
      </c>
      <c r="F32" s="8" t="s">
        <v>1594</v>
      </c>
      <c r="G32" s="35" t="str">
        <f t="shared" si="0"/>
        <v>f_sw = 4000;   % Hz — Chỉ để tính Ts_I (mô hình trung bình)</v>
      </c>
    </row>
    <row r="33" spans="1:7" x14ac:dyDescent="0.2">
      <c r="A33" s="8" t="s">
        <v>81</v>
      </c>
      <c r="B33" s="8" t="s">
        <v>414</v>
      </c>
      <c r="C33" s="14">
        <f>GiaDinh_K3!$D$44</f>
        <v>0.95</v>
      </c>
      <c r="D33" s="8" t="s">
        <v>65</v>
      </c>
      <c r="E33" s="8" t="s">
        <v>1577</v>
      </c>
      <c r="F33" s="8" t="s">
        <v>1595</v>
      </c>
      <c r="G33" s="35" t="str">
        <f t="shared" si="0"/>
        <v>k_u = 0.95;   % - — |u_s| ≤ k_u·U_dc/√3 (biên độ pha)</v>
      </c>
    </row>
    <row r="34" spans="1:7" x14ac:dyDescent="0.2">
      <c r="A34" s="8" t="s">
        <v>81</v>
      </c>
      <c r="B34" s="8" t="s">
        <v>421</v>
      </c>
      <c r="C34" s="24">
        <f>GiaDinh_K3!$D$46</f>
        <v>2.2000000000000001E-4</v>
      </c>
      <c r="D34" s="8" t="s">
        <v>423</v>
      </c>
      <c r="E34" s="8" t="s">
        <v>1577</v>
      </c>
      <c r="F34" s="8" t="s">
        <v>1596</v>
      </c>
      <c r="G34" s="35" t="str">
        <f t="shared" ref="G34:G65" si="1">B34&amp;" = "&amp;C34&amp;";   % "&amp;D34&amp;IF(F34="",""," — "&amp;F34)</f>
        <v>C_dc = 0.00022;   % F — Chưa xác minh</v>
      </c>
    </row>
    <row r="35" spans="1:7" x14ac:dyDescent="0.2">
      <c r="A35" s="8" t="s">
        <v>81</v>
      </c>
      <c r="B35" s="8" t="s">
        <v>1288</v>
      </c>
      <c r="C35" s="14">
        <f>'Tính chọn'!$D$212</f>
        <v>13.421242612727122</v>
      </c>
      <c r="D35" s="8" t="s">
        <v>124</v>
      </c>
      <c r="E35" s="8" t="s">
        <v>1597</v>
      </c>
      <c r="F35" s="8"/>
      <c r="G35" s="35" t="str">
        <f t="shared" si="1"/>
        <v>R_src = 13.4212426127271;   % Ω</v>
      </c>
    </row>
    <row r="36" spans="1:7" x14ac:dyDescent="0.2">
      <c r="A36" s="8" t="s">
        <v>81</v>
      </c>
      <c r="B36" s="8" t="s">
        <v>1598</v>
      </c>
      <c r="C36" s="14">
        <f>GiaDinh_K3!$D$14</f>
        <v>700</v>
      </c>
      <c r="D36" s="8" t="s">
        <v>296</v>
      </c>
      <c r="E36" s="8" t="s">
        <v>1577</v>
      </c>
      <c r="F36" s="8"/>
      <c r="G36" s="35" t="str">
        <f t="shared" si="1"/>
        <v>Udc_chop_on = 700;   % V</v>
      </c>
    </row>
    <row r="37" spans="1:7" x14ac:dyDescent="0.2">
      <c r="A37" s="8" t="s">
        <v>81</v>
      </c>
      <c r="B37" s="8" t="s">
        <v>1599</v>
      </c>
      <c r="C37" s="14">
        <f>'Tính chọn'!$D$215</f>
        <v>680</v>
      </c>
      <c r="D37" s="8" t="s">
        <v>296</v>
      </c>
      <c r="E37" s="8" t="s">
        <v>1597</v>
      </c>
      <c r="F37" s="8"/>
      <c r="G37" s="35" t="str">
        <f t="shared" si="1"/>
        <v>Udc_chop_off = 680;   % V</v>
      </c>
    </row>
    <row r="38" spans="1:7" x14ac:dyDescent="0.2">
      <c r="A38" s="8" t="s">
        <v>81</v>
      </c>
      <c r="B38" s="8" t="s">
        <v>1600</v>
      </c>
      <c r="C38" s="14">
        <f>GiaDinh_K3!$D$15</f>
        <v>780</v>
      </c>
      <c r="D38" s="8" t="s">
        <v>296</v>
      </c>
      <c r="E38" s="8" t="s">
        <v>1577</v>
      </c>
      <c r="F38" s="8"/>
      <c r="G38" s="35" t="str">
        <f t="shared" si="1"/>
        <v>Udc_max = 780;   % V</v>
      </c>
    </row>
    <row r="39" spans="1:7" x14ac:dyDescent="0.2">
      <c r="A39" s="8" t="s">
        <v>81</v>
      </c>
      <c r="B39" s="8" t="s">
        <v>1601</v>
      </c>
      <c r="C39" s="14">
        <f>GiaDinh_K3!$D$16</f>
        <v>800</v>
      </c>
      <c r="D39" s="8" t="s">
        <v>296</v>
      </c>
      <c r="E39" s="8" t="s">
        <v>1577</v>
      </c>
      <c r="F39" s="8"/>
      <c r="G39" s="35" t="str">
        <f t="shared" si="1"/>
        <v>Udc_trip = 800;   % V</v>
      </c>
    </row>
    <row r="40" spans="1:7" x14ac:dyDescent="0.2">
      <c r="A40" s="8" t="s">
        <v>81</v>
      </c>
      <c r="B40" s="8" t="s">
        <v>1602</v>
      </c>
      <c r="C40" s="14">
        <f>GiaDinh_K3!$D$42</f>
        <v>210</v>
      </c>
      <c r="D40" s="8" t="s">
        <v>124</v>
      </c>
      <c r="E40" s="8" t="s">
        <v>1577</v>
      </c>
      <c r="F40" s="8"/>
      <c r="G40" s="35" t="str">
        <f t="shared" si="1"/>
        <v>Rh = 210;   % Ω</v>
      </c>
    </row>
    <row r="41" spans="1:7" x14ac:dyDescent="0.2">
      <c r="A41" s="8" t="s">
        <v>1603</v>
      </c>
      <c r="B41" s="8" t="s">
        <v>1604</v>
      </c>
      <c r="C41" s="14">
        <f>'Tính chọn'!$D$200</f>
        <v>133.20267921604088</v>
      </c>
      <c r="D41" s="8" t="s">
        <v>185</v>
      </c>
      <c r="E41" s="8" t="s">
        <v>1548</v>
      </c>
      <c r="F41" s="8" t="s">
        <v>1605</v>
      </c>
      <c r="G41" s="35" t="str">
        <f t="shared" si="1"/>
        <v>w_fw = 133.202679216041;   % rad/s — Lưới danh định (tham khảo; mô phỏng tính trực tuyến)</v>
      </c>
    </row>
    <row r="42" spans="1:7" x14ac:dyDescent="0.2">
      <c r="A42" s="8" t="s">
        <v>1603</v>
      </c>
      <c r="B42" s="8" t="s">
        <v>1606</v>
      </c>
      <c r="C42" s="14">
        <f>'Tính chọn'!$D$201</f>
        <v>119.88241129443679</v>
      </c>
      <c r="D42" s="8" t="s">
        <v>185</v>
      </c>
      <c r="E42" s="8" t="s">
        <v>1548</v>
      </c>
      <c r="F42" s="8" t="s">
        <v>1607</v>
      </c>
      <c r="G42" s="35" t="str">
        <f t="shared" si="1"/>
        <v>w_fw_min = 119.882411294437;   % rad/s — Lưới −10%</v>
      </c>
    </row>
    <row r="43" spans="1:7" x14ac:dyDescent="0.2">
      <c r="A43" s="8" t="s">
        <v>1608</v>
      </c>
      <c r="B43" s="8" t="s">
        <v>280</v>
      </c>
      <c r="C43" s="14">
        <f>GiaDinh_K3!$D$11</f>
        <v>0.45</v>
      </c>
      <c r="D43" s="8" t="s">
        <v>59</v>
      </c>
      <c r="E43" s="8" t="s">
        <v>1577</v>
      </c>
      <c r="F43" s="8"/>
      <c r="G43" s="35" t="str">
        <f t="shared" si="1"/>
        <v>a_set = 0.45;   % m/s²</v>
      </c>
    </row>
    <row r="44" spans="1:7" x14ac:dyDescent="0.2">
      <c r="A44" s="8" t="s">
        <v>1608</v>
      </c>
      <c r="B44" s="8" t="s">
        <v>285</v>
      </c>
      <c r="C44" s="14">
        <f>GiaDinh_K3!$D$12</f>
        <v>1.8</v>
      </c>
      <c r="D44" s="8" t="s">
        <v>62</v>
      </c>
      <c r="E44" s="8" t="s">
        <v>1577</v>
      </c>
      <c r="F44" s="8"/>
      <c r="G44" s="35" t="str">
        <f t="shared" si="1"/>
        <v>rho_set = 1.8;   % m/s³</v>
      </c>
    </row>
    <row r="45" spans="1:7" x14ac:dyDescent="0.2">
      <c r="A45" s="8" t="s">
        <v>1608</v>
      </c>
      <c r="B45" s="8" t="s">
        <v>193</v>
      </c>
      <c r="C45" s="14">
        <f>Params!$C$10</f>
        <v>0.12</v>
      </c>
      <c r="D45" s="8" t="s">
        <v>56</v>
      </c>
      <c r="E45" s="8" t="s">
        <v>1609</v>
      </c>
      <c r="F45" s="8"/>
      <c r="G45" s="35" t="str">
        <f t="shared" si="1"/>
        <v>v_max = 0.12;   % m/s</v>
      </c>
    </row>
    <row r="46" spans="1:7" x14ac:dyDescent="0.2">
      <c r="A46" s="8" t="s">
        <v>1608</v>
      </c>
      <c r="B46" s="8" t="s">
        <v>1139</v>
      </c>
      <c r="C46" s="14">
        <f>'Tính chọn'!$D$172</f>
        <v>3.3000000000000002E-2</v>
      </c>
      <c r="D46" s="8" t="s">
        <v>56</v>
      </c>
      <c r="E46" s="8" t="s">
        <v>1542</v>
      </c>
      <c r="F46" s="8"/>
      <c r="G46" s="35" t="str">
        <f t="shared" si="1"/>
        <v>v_creep = 0.033;   % m/s</v>
      </c>
    </row>
    <row r="47" spans="1:7" x14ac:dyDescent="0.2">
      <c r="A47" s="8" t="s">
        <v>1610</v>
      </c>
      <c r="B47" s="8" t="s">
        <v>1611</v>
      </c>
      <c r="C47" s="14">
        <f>'Tính chọn'!$D$128</f>
        <v>108.36366999441275</v>
      </c>
      <c r="D47" s="8" t="s">
        <v>1023</v>
      </c>
      <c r="E47" s="8" t="s">
        <v>1526</v>
      </c>
      <c r="F47" s="8"/>
      <c r="G47" s="35" t="str">
        <f t="shared" si="1"/>
        <v>Kp_i = 108.363669994413;   % V/A</v>
      </c>
    </row>
    <row r="48" spans="1:7" x14ac:dyDescent="0.2">
      <c r="A48" s="8" t="s">
        <v>1610</v>
      </c>
      <c r="B48" s="8" t="s">
        <v>1612</v>
      </c>
      <c r="C48" s="24">
        <f>'Tính chọn'!$D$129</f>
        <v>5.5500424790646029E-3</v>
      </c>
      <c r="D48" s="8" t="s">
        <v>132</v>
      </c>
      <c r="E48" s="8" t="s">
        <v>1526</v>
      </c>
      <c r="F48" s="8"/>
      <c r="G48" s="35" t="str">
        <f t="shared" si="1"/>
        <v>Ti_i = 0.0055500424790646;   % s</v>
      </c>
    </row>
    <row r="49" spans="1:7" x14ac:dyDescent="0.2">
      <c r="A49" s="8" t="s">
        <v>1610</v>
      </c>
      <c r="B49" s="8" t="s">
        <v>1613</v>
      </c>
      <c r="C49" s="14">
        <f>'Tính chọn'!$D$135</f>
        <v>0.71448373582658675</v>
      </c>
      <c r="D49" s="8" t="s">
        <v>1051</v>
      </c>
      <c r="E49" s="8" t="s">
        <v>1516</v>
      </c>
      <c r="F49" s="8"/>
      <c r="G49" s="35" t="str">
        <f t="shared" si="1"/>
        <v>Kp_w = 0.714483735826587;   % A·s/rad</v>
      </c>
    </row>
    <row r="50" spans="1:7" x14ac:dyDescent="0.2">
      <c r="A50" s="8" t="s">
        <v>1610</v>
      </c>
      <c r="B50" s="8" t="s">
        <v>1614</v>
      </c>
      <c r="C50" s="14">
        <f>'Tính chọn'!$D$136</f>
        <v>7.0000000000000001E-3</v>
      </c>
      <c r="D50" s="8" t="s">
        <v>132</v>
      </c>
      <c r="E50" s="8" t="s">
        <v>1516</v>
      </c>
      <c r="F50" s="8"/>
      <c r="G50" s="35" t="str">
        <f t="shared" si="1"/>
        <v>Ti_w = 0.007;   % s</v>
      </c>
    </row>
    <row r="51" spans="1:7" x14ac:dyDescent="0.2">
      <c r="A51" s="8" t="s">
        <v>1610</v>
      </c>
      <c r="B51" s="8" t="s">
        <v>1059</v>
      </c>
      <c r="C51" s="14">
        <f>'Tính chọn'!$D$137</f>
        <v>7.0000000000000001E-3</v>
      </c>
      <c r="D51" s="8" t="s">
        <v>132</v>
      </c>
      <c r="E51" s="8" t="s">
        <v>1516</v>
      </c>
      <c r="F51" s="8"/>
      <c r="G51" s="35" t="str">
        <f t="shared" si="1"/>
        <v>T_pre = 0.007;   % s</v>
      </c>
    </row>
    <row r="52" spans="1:7" x14ac:dyDescent="0.2">
      <c r="A52" s="8" t="s">
        <v>1610</v>
      </c>
      <c r="B52" s="8" t="s">
        <v>1615</v>
      </c>
      <c r="C52" s="14">
        <f>'Tính chọn'!$D$125</f>
        <v>3.5244363114528006</v>
      </c>
      <c r="D52" s="8" t="s">
        <v>117</v>
      </c>
      <c r="E52" s="8" t="s">
        <v>1582</v>
      </c>
      <c r="F52" s="8"/>
      <c r="G52" s="35" t="str">
        <f t="shared" si="1"/>
        <v>isq_lim = 3.5244363114528;   % A</v>
      </c>
    </row>
    <row r="53" spans="1:7" x14ac:dyDescent="0.2">
      <c r="A53" s="8" t="s">
        <v>1616</v>
      </c>
      <c r="B53" s="8" t="s">
        <v>367</v>
      </c>
      <c r="C53" s="14">
        <f>GiaDinh_K3!$D$31</f>
        <v>5.0000000000000001E-3</v>
      </c>
      <c r="D53" s="8" t="s">
        <v>56</v>
      </c>
      <c r="E53" s="8" t="s">
        <v>1577</v>
      </c>
      <c r="F53" s="8"/>
      <c r="G53" s="35" t="str">
        <f t="shared" si="1"/>
        <v>v_stop = 0.005;   % m/s</v>
      </c>
    </row>
    <row r="54" spans="1:7" x14ac:dyDescent="0.2">
      <c r="A54" s="8" t="s">
        <v>1616</v>
      </c>
      <c r="B54" s="8" t="s">
        <v>371</v>
      </c>
      <c r="C54" s="14">
        <f>GiaDinh_K3!$D$32</f>
        <v>2E-3</v>
      </c>
      <c r="D54" s="8" t="s">
        <v>56</v>
      </c>
      <c r="E54" s="8" t="s">
        <v>1577</v>
      </c>
      <c r="F54" s="8"/>
      <c r="G54" s="35" t="str">
        <f t="shared" si="1"/>
        <v>v_rev = 0.002;   % m/s</v>
      </c>
    </row>
    <row r="55" spans="1:7" x14ac:dyDescent="0.2">
      <c r="A55" s="8" t="s">
        <v>1616</v>
      </c>
      <c r="B55" s="8" t="s">
        <v>883</v>
      </c>
      <c r="C55" s="14">
        <f>'Tính chọn'!$D$87</f>
        <v>4.95</v>
      </c>
      <c r="D55" s="8" t="s">
        <v>108</v>
      </c>
      <c r="E55" s="8" t="s">
        <v>1545</v>
      </c>
      <c r="F55" s="8"/>
      <c r="G55" s="35" t="str">
        <f t="shared" si="1"/>
        <v>M_hold = 4.95;   % N·m</v>
      </c>
    </row>
    <row r="56" spans="1:7" x14ac:dyDescent="0.2">
      <c r="A56" s="8" t="s">
        <v>1616</v>
      </c>
      <c r="B56" s="8" t="s">
        <v>442</v>
      </c>
      <c r="C56" s="14">
        <f>GiaDinh_K3!$D$51</f>
        <v>0.2</v>
      </c>
      <c r="D56" s="8" t="s">
        <v>132</v>
      </c>
      <c r="E56" s="8" t="s">
        <v>1577</v>
      </c>
      <c r="F56" s="8"/>
      <c r="G56" s="35" t="str">
        <f t="shared" si="1"/>
        <v>t_test = 0.2;   % s</v>
      </c>
    </row>
    <row r="57" spans="1:7" x14ac:dyDescent="0.2">
      <c r="A57" s="8" t="s">
        <v>1616</v>
      </c>
      <c r="B57" s="8" t="s">
        <v>438</v>
      </c>
      <c r="C57" s="14">
        <f>GiaDinh_K3!$D$50</f>
        <v>0.5</v>
      </c>
      <c r="D57" s="8" t="s">
        <v>132</v>
      </c>
      <c r="E57" s="8" t="s">
        <v>1577</v>
      </c>
      <c r="F57" s="8"/>
      <c r="G57" s="35" t="str">
        <f t="shared" si="1"/>
        <v>t_mag = 0.5;   % s</v>
      </c>
    </row>
    <row r="58" spans="1:7" x14ac:dyDescent="0.2">
      <c r="A58" s="8" t="s">
        <v>1616</v>
      </c>
      <c r="B58" s="8" t="s">
        <v>445</v>
      </c>
      <c r="C58" s="14">
        <f>GiaDinh_K3!$D$52</f>
        <v>0.1</v>
      </c>
      <c r="D58" s="8" t="s">
        <v>132</v>
      </c>
      <c r="E58" s="8" t="s">
        <v>1577</v>
      </c>
      <c r="F58" s="8"/>
      <c r="G58" s="35" t="str">
        <f t="shared" si="1"/>
        <v>t_open = 0.1;   % s</v>
      </c>
    </row>
    <row r="59" spans="1:7" x14ac:dyDescent="0.2">
      <c r="A59" s="8" t="s">
        <v>1616</v>
      </c>
      <c r="B59" s="8" t="s">
        <v>325</v>
      </c>
      <c r="C59" s="14">
        <f>GiaDinh_K3!$D$21</f>
        <v>0.05</v>
      </c>
      <c r="D59" s="8" t="s">
        <v>132</v>
      </c>
      <c r="E59" s="8" t="s">
        <v>1577</v>
      </c>
      <c r="F59" s="8"/>
      <c r="G59" s="35" t="str">
        <f t="shared" si="1"/>
        <v>t_close = 0.05;   % s</v>
      </c>
    </row>
    <row r="60" spans="1:7" x14ac:dyDescent="0.2">
      <c r="A60" s="8" t="s">
        <v>1616</v>
      </c>
      <c r="B60" s="8" t="s">
        <v>448</v>
      </c>
      <c r="C60" s="14">
        <f>GiaDinh_K3!$D$53</f>
        <v>0.05</v>
      </c>
      <c r="D60" s="8" t="s">
        <v>132</v>
      </c>
      <c r="E60" s="8" t="s">
        <v>1577</v>
      </c>
      <c r="F60" s="8"/>
      <c r="G60" s="35" t="str">
        <f t="shared" si="1"/>
        <v>t_hx = 0.05;   % s</v>
      </c>
    </row>
    <row r="61" spans="1:7" x14ac:dyDescent="0.2">
      <c r="A61" s="8" t="s">
        <v>1616</v>
      </c>
      <c r="B61" s="8" t="s">
        <v>322</v>
      </c>
      <c r="C61" s="14">
        <f>GiaDinh_K3!$D$20</f>
        <v>7</v>
      </c>
      <c r="D61" s="8" t="s">
        <v>108</v>
      </c>
      <c r="E61" s="8" t="s">
        <v>1577</v>
      </c>
      <c r="F61" s="8"/>
      <c r="G61" s="35" t="str">
        <f t="shared" si="1"/>
        <v>M_B = 7;   % N·m</v>
      </c>
    </row>
    <row r="62" spans="1:7" x14ac:dyDescent="0.2">
      <c r="A62" s="8" t="s">
        <v>1617</v>
      </c>
      <c r="B62" s="8" t="s">
        <v>429</v>
      </c>
      <c r="C62" s="24">
        <f>GiaDinh_K3!$D$48</f>
        <v>5.0000000000000002E-5</v>
      </c>
      <c r="D62" s="8" t="s">
        <v>132</v>
      </c>
      <c r="E62" s="8" t="s">
        <v>1577</v>
      </c>
      <c r="F62" s="8"/>
      <c r="G62" s="35" t="str">
        <f t="shared" si="1"/>
        <v>Ts_sim = 0.00005;   % s</v>
      </c>
    </row>
    <row r="63" spans="1:7" x14ac:dyDescent="0.2">
      <c r="A63" s="8" t="s">
        <v>1617</v>
      </c>
      <c r="B63" s="8" t="s">
        <v>1618</v>
      </c>
      <c r="C63" s="24">
        <f>1/GiaDinh_K3!$D$22</f>
        <v>2.5000000000000001E-4</v>
      </c>
      <c r="D63" s="8" t="s">
        <v>132</v>
      </c>
      <c r="E63" s="8" t="s">
        <v>1577</v>
      </c>
      <c r="F63" s="8" t="s">
        <v>1619</v>
      </c>
      <c r="G63" s="35" t="str">
        <f t="shared" si="1"/>
        <v>Ts_I = 0.00025;   % s — 1/f_sw</v>
      </c>
    </row>
    <row r="64" spans="1:7" x14ac:dyDescent="0.2">
      <c r="A64" s="8" t="s">
        <v>1617</v>
      </c>
      <c r="B64" s="8" t="s">
        <v>342</v>
      </c>
      <c r="C64" s="14">
        <f>GiaDinh_K3!$D$25</f>
        <v>1E-3</v>
      </c>
      <c r="D64" s="8" t="s">
        <v>132</v>
      </c>
      <c r="E64" s="8" t="s">
        <v>1577</v>
      </c>
      <c r="F64" s="8"/>
      <c r="G64" s="35" t="str">
        <f t="shared" si="1"/>
        <v>Ts_w = 0.001;   % s</v>
      </c>
    </row>
    <row r="65" spans="1:7" x14ac:dyDescent="0.2">
      <c r="A65" s="8" t="s">
        <v>1617</v>
      </c>
      <c r="B65" s="8" t="s">
        <v>338</v>
      </c>
      <c r="C65" s="14">
        <f>GiaDinh_K3!$D$24</f>
        <v>1E-3</v>
      </c>
      <c r="D65" s="8" t="s">
        <v>132</v>
      </c>
      <c r="E65" s="8" t="s">
        <v>1577</v>
      </c>
      <c r="F65" s="8" t="s">
        <v>1620</v>
      </c>
      <c r="G65" s="35" t="str">
        <f t="shared" si="1"/>
        <v>Tf_w = 0.001;   % s — Lọc đo tốc độ</v>
      </c>
    </row>
    <row r="66" spans="1:7" x14ac:dyDescent="0.2">
      <c r="A66" s="8" t="s">
        <v>1617</v>
      </c>
      <c r="B66" s="8" t="s">
        <v>377</v>
      </c>
      <c r="C66" s="14">
        <f>GiaDinh_K3!$D$34</f>
        <v>5.0000000000000001E-3</v>
      </c>
      <c r="D66" s="8" t="s">
        <v>132</v>
      </c>
      <c r="E66" s="8" t="s">
        <v>1577</v>
      </c>
      <c r="F66" s="8"/>
      <c r="G66" s="35" t="str">
        <f t="shared" ref="G66:G76" si="2">B66&amp;" = "&amp;C66&amp;";   % "&amp;D66&amp;IF(F66="",""," — "&amp;F66)</f>
        <v>Tf_jerk = 0.005;   % s</v>
      </c>
    </row>
    <row r="67" spans="1:7" x14ac:dyDescent="0.2">
      <c r="A67" s="8" t="s">
        <v>1617</v>
      </c>
      <c r="B67" s="8" t="s">
        <v>374</v>
      </c>
      <c r="C67" s="14">
        <f>GiaDinh_K3!$D$33</f>
        <v>1024</v>
      </c>
      <c r="D67" s="8" t="s">
        <v>376</v>
      </c>
      <c r="E67" s="8" t="s">
        <v>1577</v>
      </c>
      <c r="F67" s="8"/>
      <c r="G67" s="35" t="str">
        <f t="shared" si="2"/>
        <v>N_enc = 1024;   % xung/vg</v>
      </c>
    </row>
    <row r="68" spans="1:7" x14ac:dyDescent="0.2">
      <c r="A68" s="8" t="s">
        <v>1617</v>
      </c>
      <c r="B68" s="8" t="s">
        <v>436</v>
      </c>
      <c r="C68" s="14">
        <f>GiaDinh_K3!$D$49</f>
        <v>0</v>
      </c>
      <c r="D68" s="8" t="s">
        <v>65</v>
      </c>
      <c r="E68" s="8" t="s">
        <v>1577</v>
      </c>
      <c r="F68" s="8" t="s">
        <v>1621</v>
      </c>
      <c r="G68" s="35" t="str">
        <f t="shared" si="2"/>
        <v>enc_model = 0;   % - — 0 = lý tưởng + lọc</v>
      </c>
    </row>
    <row r="69" spans="1:7" x14ac:dyDescent="0.2">
      <c r="A69" s="8" t="s">
        <v>1622</v>
      </c>
      <c r="B69" s="8" t="s">
        <v>451</v>
      </c>
      <c r="C69" s="14">
        <f>GiaDinh_K3!$D$54</f>
        <v>0.5</v>
      </c>
      <c r="D69" s="8" t="s">
        <v>132</v>
      </c>
      <c r="E69" s="8" t="s">
        <v>1577</v>
      </c>
      <c r="F69" s="8"/>
      <c r="G69" s="35" t="str">
        <f t="shared" si="2"/>
        <v>t_cmd = 0.5;   % s</v>
      </c>
    </row>
    <row r="70" spans="1:7" x14ac:dyDescent="0.2">
      <c r="A70" s="8" t="s">
        <v>1622</v>
      </c>
      <c r="B70" s="8" t="s">
        <v>454</v>
      </c>
      <c r="C70" s="14">
        <f>GiaDinh_K3!$D$55</f>
        <v>10</v>
      </c>
      <c r="D70" s="8" t="s">
        <v>132</v>
      </c>
      <c r="E70" s="8" t="s">
        <v>1577</v>
      </c>
      <c r="F70" s="8"/>
      <c r="G70" s="35" t="str">
        <f t="shared" si="2"/>
        <v>T_run = 10;   % s</v>
      </c>
    </row>
    <row r="71" spans="1:7" x14ac:dyDescent="0.2">
      <c r="A71" s="8" t="s">
        <v>1622</v>
      </c>
      <c r="B71" s="8" t="s">
        <v>457</v>
      </c>
      <c r="C71" s="14">
        <f>GiaDinh_K3!$D$56</f>
        <v>10</v>
      </c>
      <c r="D71" s="8" t="s">
        <v>132</v>
      </c>
      <c r="E71" s="8" t="s">
        <v>1577</v>
      </c>
      <c r="F71" s="8"/>
      <c r="G71" s="35" t="str">
        <f t="shared" si="2"/>
        <v>T_dwell = 10;   % s</v>
      </c>
    </row>
    <row r="72" spans="1:7" x14ac:dyDescent="0.2">
      <c r="A72" s="8" t="s">
        <v>1622</v>
      </c>
      <c r="B72" s="8" t="s">
        <v>1317</v>
      </c>
      <c r="C72" s="14">
        <f>'Tính chọn'!$D$223</f>
        <v>22.433333333333334</v>
      </c>
      <c r="D72" s="8" t="s">
        <v>132</v>
      </c>
      <c r="E72" s="8" t="s">
        <v>1623</v>
      </c>
      <c r="F72" s="8" t="s">
        <v>1624</v>
      </c>
      <c r="G72" s="35" t="str">
        <f t="shared" si="2"/>
        <v>t_unl = 22.4333333333333;   % s — TS-01: dỡ tải</v>
      </c>
    </row>
    <row r="73" spans="1:7" x14ac:dyDescent="0.2">
      <c r="A73" s="8" t="s">
        <v>1622</v>
      </c>
      <c r="B73" s="8" t="s">
        <v>1320</v>
      </c>
      <c r="C73" s="14">
        <f>'Tính chọn'!$D$224</f>
        <v>22.933333333333334</v>
      </c>
      <c r="D73" s="8" t="s">
        <v>132</v>
      </c>
      <c r="E73" s="8" t="s">
        <v>1623</v>
      </c>
      <c r="F73" s="8" t="s">
        <v>1321</v>
      </c>
      <c r="G73" s="35" t="str">
        <f t="shared" si="2"/>
        <v>t_cmd2 = 22.9333333333333;   % s — TS-01: nhấn REV</v>
      </c>
    </row>
    <row r="74" spans="1:7" x14ac:dyDescent="0.2">
      <c r="A74" s="8" t="s">
        <v>1622</v>
      </c>
      <c r="B74" s="8" t="s">
        <v>1326</v>
      </c>
      <c r="C74" s="14">
        <f>'Tính chọn'!$D$227</f>
        <v>44.86666666666666</v>
      </c>
      <c r="D74" s="8" t="s">
        <v>132</v>
      </c>
      <c r="E74" s="8" t="s">
        <v>1623</v>
      </c>
      <c r="F74" s="8" t="s">
        <v>1625</v>
      </c>
      <c r="G74" s="35" t="str">
        <f t="shared" si="2"/>
        <v>T_end = 44.8666666666667;   % s — TS-01</v>
      </c>
    </row>
    <row r="75" spans="1:7" x14ac:dyDescent="0.2">
      <c r="A75" s="8" t="s">
        <v>1622</v>
      </c>
      <c r="B75" s="8" t="s">
        <v>1333</v>
      </c>
      <c r="C75" s="14">
        <f>'Tính chọn'!$D$230</f>
        <v>4.8166666666666664</v>
      </c>
      <c r="D75" s="8" t="s">
        <v>132</v>
      </c>
      <c r="E75" s="8" t="s">
        <v>1623</v>
      </c>
      <c r="F75" s="8" t="s">
        <v>1626</v>
      </c>
      <c r="G75" s="35" t="str">
        <f t="shared" si="2"/>
        <v>t_rev2 = 4.81666666666667;   % s — TS-02: nhấn REV khi đang chạy</v>
      </c>
    </row>
    <row r="76" spans="1:7" x14ac:dyDescent="0.2">
      <c r="A76" s="8" t="s">
        <v>1622</v>
      </c>
      <c r="B76" s="8" t="s">
        <v>1336</v>
      </c>
      <c r="C76" s="14">
        <f>'Tính chọn'!$D$231</f>
        <v>15.433333333333334</v>
      </c>
      <c r="D76" s="8" t="s">
        <v>132</v>
      </c>
      <c r="E76" s="8" t="s">
        <v>1623</v>
      </c>
      <c r="F76" s="8" t="s">
        <v>1627</v>
      </c>
      <c r="G76" s="35" t="str">
        <f t="shared" si="2"/>
        <v>T_end2 = 15.4333333333333;   % s — TS-02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44" customWidth="1"/>
    <col min="2" max="9" width="15" customWidth="1"/>
    <col min="10" max="10" width="60" customWidth="1"/>
  </cols>
  <sheetData>
    <row r="1" spans="1:10" ht="15" customHeight="1" x14ac:dyDescent="0.25">
      <c r="A1" s="19" t="s">
        <v>41</v>
      </c>
      <c r="B1" s="19" t="s">
        <v>1628</v>
      </c>
      <c r="C1" s="19" t="s">
        <v>1629</v>
      </c>
      <c r="D1" s="19" t="s">
        <v>1630</v>
      </c>
      <c r="E1" s="19" t="s">
        <v>1631</v>
      </c>
      <c r="F1" s="19" t="s">
        <v>1632</v>
      </c>
      <c r="G1" s="19" t="s">
        <v>1633</v>
      </c>
      <c r="H1" s="19" t="s">
        <v>1634</v>
      </c>
      <c r="I1" s="19" t="s">
        <v>1635</v>
      </c>
      <c r="J1" s="19" t="s">
        <v>245</v>
      </c>
    </row>
    <row r="2" spans="1:10" x14ac:dyDescent="0.2">
      <c r="A2" s="4" t="s">
        <v>1636</v>
      </c>
      <c r="B2" s="5">
        <v>1800</v>
      </c>
      <c r="C2" s="5">
        <v>1800</v>
      </c>
      <c r="D2" s="5">
        <v>1800</v>
      </c>
      <c r="E2" s="5">
        <v>2160</v>
      </c>
      <c r="F2" s="5">
        <v>1800</v>
      </c>
      <c r="G2" s="5">
        <v>2160</v>
      </c>
      <c r="H2" s="5">
        <v>1800</v>
      </c>
      <c r="I2" s="5">
        <v>1800</v>
      </c>
      <c r="J2" s="4" t="s">
        <v>1637</v>
      </c>
    </row>
    <row r="3" spans="1:10" x14ac:dyDescent="0.2">
      <c r="A3" s="4" t="s">
        <v>1638</v>
      </c>
      <c r="B3" s="5">
        <v>1.4999999999999999E-2</v>
      </c>
      <c r="C3" s="5">
        <v>1.4999999999999999E-2</v>
      </c>
      <c r="D3" s="5">
        <v>1.7999999999999999E-2</v>
      </c>
      <c r="E3" s="5">
        <v>1.4999999999999999E-2</v>
      </c>
      <c r="F3" s="5">
        <v>1.4999999999999999E-2</v>
      </c>
      <c r="G3" s="5">
        <v>1.7999999999999999E-2</v>
      </c>
      <c r="H3" s="5">
        <v>1.4999999999999999E-2</v>
      </c>
      <c r="I3" s="5">
        <v>1.2E-2</v>
      </c>
      <c r="J3" s="4" t="s">
        <v>1639</v>
      </c>
    </row>
    <row r="4" spans="1:10" x14ac:dyDescent="0.2">
      <c r="A4" s="4" t="s">
        <v>1640</v>
      </c>
      <c r="B4" s="5">
        <v>0.9</v>
      </c>
      <c r="C4" s="5">
        <v>0.9</v>
      </c>
      <c r="D4" s="5">
        <v>0.9</v>
      </c>
      <c r="E4" s="5">
        <v>0.9</v>
      </c>
      <c r="F4" s="5">
        <v>0.85</v>
      </c>
      <c r="G4" s="5">
        <v>0.85</v>
      </c>
      <c r="H4" s="5">
        <v>0.9</v>
      </c>
      <c r="I4" s="5">
        <v>0.95</v>
      </c>
      <c r="J4" s="4" t="s">
        <v>1641</v>
      </c>
    </row>
    <row r="5" spans="1:10" x14ac:dyDescent="0.2">
      <c r="A5" s="4" t="s">
        <v>1642</v>
      </c>
      <c r="B5" s="5">
        <v>0</v>
      </c>
      <c r="C5" s="5">
        <v>-0.1</v>
      </c>
      <c r="D5" s="5">
        <v>0</v>
      </c>
      <c r="E5" s="5">
        <v>0</v>
      </c>
      <c r="F5" s="5">
        <v>0</v>
      </c>
      <c r="G5" s="5">
        <v>-0.1</v>
      </c>
      <c r="H5" s="5">
        <v>0</v>
      </c>
      <c r="I5" s="5">
        <v>0.1</v>
      </c>
      <c r="J5" s="4" t="s">
        <v>1643</v>
      </c>
    </row>
    <row r="6" spans="1:10" x14ac:dyDescent="0.2">
      <c r="A6" s="4" t="s">
        <v>1644</v>
      </c>
      <c r="B6" s="5">
        <v>0.2</v>
      </c>
      <c r="C6" s="5">
        <v>0.2</v>
      </c>
      <c r="D6" s="5">
        <v>0.2</v>
      </c>
      <c r="E6" s="5">
        <v>0.2</v>
      </c>
      <c r="F6" s="5">
        <v>0.2</v>
      </c>
      <c r="G6" s="5">
        <v>0.2</v>
      </c>
      <c r="H6" s="5">
        <v>0.15</v>
      </c>
      <c r="I6" s="5">
        <v>0.2</v>
      </c>
      <c r="J6" s="4" t="s">
        <v>1645</v>
      </c>
    </row>
    <row r="7" spans="1:10" x14ac:dyDescent="0.2">
      <c r="A7" s="4" t="s">
        <v>1646</v>
      </c>
      <c r="B7" s="20">
        <f>Params!$C$2+Params!$C$3+B2</f>
        <v>14244</v>
      </c>
      <c r="C7" s="20">
        <f>Params!$C$2+Params!$C$3+C2</f>
        <v>14244</v>
      </c>
      <c r="D7" s="20">
        <f>Params!$C$2+Params!$C$3+D2</f>
        <v>14244</v>
      </c>
      <c r="E7" s="20">
        <f>Params!$C$2+Params!$C$3+E2</f>
        <v>14604</v>
      </c>
      <c r="F7" s="20">
        <f>Params!$C$2+Params!$C$3+F2</f>
        <v>14244</v>
      </c>
      <c r="G7" s="20">
        <f>Params!$C$2+Params!$C$3+G2</f>
        <v>14604</v>
      </c>
      <c r="H7" s="20">
        <f>Params!$C$2+Params!$C$3+H2</f>
        <v>14244</v>
      </c>
      <c r="I7" s="20">
        <f>Params!$C$2+Params!$C$3+I2</f>
        <v>14244</v>
      </c>
      <c r="J7" s="4" t="s">
        <v>1647</v>
      </c>
    </row>
    <row r="8" spans="1:10" x14ac:dyDescent="0.2">
      <c r="A8" s="4" t="s">
        <v>1648</v>
      </c>
      <c r="B8" s="20">
        <f>B7*Params!$C$19*B3</f>
        <v>2096.0046000000002</v>
      </c>
      <c r="C8" s="20">
        <f>C7*Params!$C$19*C3</f>
        <v>2096.0046000000002</v>
      </c>
      <c r="D8" s="20">
        <f>D7*Params!$C$19*D3</f>
        <v>2515.20552</v>
      </c>
      <c r="E8" s="20">
        <f>E7*Params!$C$19*E3</f>
        <v>2148.9786000000004</v>
      </c>
      <c r="F8" s="20">
        <f>F7*Params!$C$19*F3</f>
        <v>2096.0046000000002</v>
      </c>
      <c r="G8" s="20">
        <f>G7*Params!$C$19*G3</f>
        <v>2578.77432</v>
      </c>
      <c r="H8" s="20">
        <f>H7*Params!$C$19*H3</f>
        <v>2096.0046000000002</v>
      </c>
      <c r="I8" s="20">
        <f>I7*Params!$C$19*I3</f>
        <v>1676.8036800000002</v>
      </c>
      <c r="J8" s="4" t="s">
        <v>242</v>
      </c>
    </row>
    <row r="9" spans="1:10" x14ac:dyDescent="0.2">
      <c r="A9" s="4" t="s">
        <v>1649</v>
      </c>
      <c r="B9" s="20">
        <f>(B8+GiaDinh_K3!$D$8*B7*Params!$C$11)*'Tính chọn'!$D$23/B4+Catalogue!$F$15*Params!$C$11/'Tính chọn'!$D$23</f>
        <v>10.824908073610574</v>
      </c>
      <c r="C9" s="20">
        <f>(C8+GiaDinh_K3!$D$8*C7*Params!$C$11)*'Tính chọn'!$D$23/C4+Catalogue!$F$15*Params!$C$11/'Tính chọn'!$D$23</f>
        <v>10.824908073610574</v>
      </c>
      <c r="D9" s="20">
        <f>(D8+GiaDinh_K3!$D$8*D7*Params!$C$11)*'Tính chọn'!$D$23/D4+Catalogue!$F$15*Params!$C$11/'Tính chọn'!$D$23</f>
        <v>11.199713983228186</v>
      </c>
      <c r="E9" s="20">
        <f>(E8+GiaDinh_K3!$D$8*E7*Params!$C$11)*'Tính chọn'!$D$23/E4+Catalogue!$F$15*Params!$C$11/'Tính chọn'!$D$23</f>
        <v>11.057349814308397</v>
      </c>
      <c r="F9" s="20">
        <f>(F8+GiaDinh_K3!$D$8*F7*Params!$C$11)*'Tính chọn'!$D$23/F4+Catalogue!$F$15*Params!$C$11/'Tính chọn'!$D$23</f>
        <v>11.365904830881783</v>
      </c>
      <c r="G9" s="20">
        <f>(G8+GiaDinh_K3!$D$8*G7*Params!$C$11)*'Tính chọn'!$D$23/G4+Catalogue!$F$15*Params!$C$11/'Tính chọn'!$D$23</f>
        <v>12.018902922354759</v>
      </c>
      <c r="H9" s="20">
        <f>(H8+GiaDinh_K3!$D$8*H7*Params!$C$11)*'Tính chọn'!$D$23/H4+Catalogue!$F$15*Params!$C$11/'Tính chọn'!$D$23</f>
        <v>10.824908073610574</v>
      </c>
      <c r="I9" s="20">
        <f>(I8+GiaDinh_K3!$D$8*I7*Params!$C$11)*'Tính chọn'!$D$23/I4+Catalogue!$F$15*Params!$C$11/'Tính chọn'!$D$23</f>
        <v>9.9857790606249122</v>
      </c>
      <c r="J9" s="4" t="s">
        <v>1650</v>
      </c>
    </row>
    <row r="10" spans="1:10" x14ac:dyDescent="0.2">
      <c r="A10" s="4" t="s">
        <v>685</v>
      </c>
      <c r="B10" s="20">
        <f>B9/Catalogue!$F$5</f>
        <v>2.1868501158809242</v>
      </c>
      <c r="C10" s="20">
        <f>C9/Catalogue!$F$5</f>
        <v>2.1868501158809242</v>
      </c>
      <c r="D10" s="20">
        <f>D9/Catalogue!$F$5</f>
        <v>2.2625684814602396</v>
      </c>
      <c r="E10" s="20">
        <f>E9/Catalogue!$F$5</f>
        <v>2.2338080432946255</v>
      </c>
      <c r="F10" s="20">
        <f>F9/Catalogue!$F$5</f>
        <v>2.2961423900771281</v>
      </c>
      <c r="G10" s="20">
        <f>G9/Catalogue!$F$5</f>
        <v>2.4280611964353045</v>
      </c>
      <c r="H10" s="20">
        <f>H9/Catalogue!$F$5</f>
        <v>2.1868501158809242</v>
      </c>
      <c r="I10" s="20">
        <f>I9/Catalogue!$F$5</f>
        <v>2.0173291031565479</v>
      </c>
      <c r="J10" s="4"/>
    </row>
    <row r="11" spans="1:10" x14ac:dyDescent="0.2">
      <c r="A11" s="4" t="s">
        <v>1651</v>
      </c>
      <c r="B11" s="20">
        <f>Catalogue!$F$12*(Params!$C$20*(1+B5)/GiaDinh_K3!$D$29)^2</f>
        <v>3.0684999999999998</v>
      </c>
      <c r="C11" s="20">
        <f>Catalogue!$F$12*(Params!$C$20*(1+C5)/GiaDinh_K3!$D$29)^2</f>
        <v>2.4854849999999997</v>
      </c>
      <c r="D11" s="20">
        <f>Catalogue!$F$12*(Params!$C$20*(1+D5)/GiaDinh_K3!$D$29)^2</f>
        <v>3.0684999999999998</v>
      </c>
      <c r="E11" s="20">
        <f>Catalogue!$F$12*(Params!$C$20*(1+E5)/GiaDinh_K3!$D$29)^2</f>
        <v>3.0684999999999998</v>
      </c>
      <c r="F11" s="20">
        <f>Catalogue!$F$12*(Params!$C$20*(1+F5)/GiaDinh_K3!$D$29)^2</f>
        <v>3.0684999999999998</v>
      </c>
      <c r="G11" s="20">
        <f>Catalogue!$F$12*(Params!$C$20*(1+G5)/GiaDinh_K3!$D$29)^2</f>
        <v>2.4854849999999997</v>
      </c>
      <c r="H11" s="20">
        <f>Catalogue!$F$12*(Params!$C$20*(1+H5)/GiaDinh_K3!$D$29)^2</f>
        <v>3.0684999999999998</v>
      </c>
      <c r="I11" s="20">
        <f>Catalogue!$F$12*(Params!$C$20*(1+I5)/GiaDinh_K3!$D$29)^2</f>
        <v>3.7128850000000009</v>
      </c>
      <c r="J11" s="4" t="s">
        <v>1652</v>
      </c>
    </row>
    <row r="12" spans="1:10" x14ac:dyDescent="0.2">
      <c r="A12" s="4" t="s">
        <v>1653</v>
      </c>
      <c r="B12" s="20">
        <f t="shared" ref="B12:I12" si="0">B11/B10</f>
        <v>1.4031597217004159</v>
      </c>
      <c r="C12" s="20">
        <f t="shared" si="0"/>
        <v>1.1365593745773368</v>
      </c>
      <c r="D12" s="20">
        <f t="shared" si="0"/>
        <v>1.3562020443330935</v>
      </c>
      <c r="E12" s="20">
        <f t="shared" si="0"/>
        <v>1.3736632425561033</v>
      </c>
      <c r="F12" s="20">
        <f t="shared" si="0"/>
        <v>1.3363718266169582</v>
      </c>
      <c r="G12" s="20">
        <f t="shared" si="0"/>
        <v>1.0236500643595805</v>
      </c>
      <c r="H12" s="20">
        <f t="shared" si="0"/>
        <v>1.4031597217004159</v>
      </c>
      <c r="I12" s="20">
        <f t="shared" si="0"/>
        <v>1.840495432396424</v>
      </c>
      <c r="J12" s="4" t="s">
        <v>1654</v>
      </c>
    </row>
    <row r="13" spans="1:10" x14ac:dyDescent="0.2">
      <c r="A13" s="4" t="s">
        <v>1655</v>
      </c>
      <c r="B13" s="20">
        <f>B6*GiaDinh_K3!$D$9*B7*Params!$C$19/(B8+B7*Params!$C$11)</f>
        <v>1.5158773081974815</v>
      </c>
      <c r="C13" s="20">
        <f>C6*GiaDinh_K3!$D$9*C7*Params!$C$19/(C8+C7*Params!$C$11)</f>
        <v>1.5158773081974815</v>
      </c>
      <c r="D13" s="20">
        <f>D6*GiaDinh_K3!$D$9*D7*Params!$C$19/(D8+D7*Params!$C$11)</f>
        <v>1.4499394011055606</v>
      </c>
      <c r="E13" s="20">
        <f>E6*GiaDinh_K3!$D$9*E7*Params!$C$19/(E8+E7*Params!$C$11)</f>
        <v>1.5158773081974812</v>
      </c>
      <c r="F13" s="20">
        <f>F6*GiaDinh_K3!$D$9*F7*Params!$C$19/(F8+F7*Params!$C$11)</f>
        <v>1.5158773081974815</v>
      </c>
      <c r="G13" s="20">
        <f>G6*GiaDinh_K3!$D$9*G7*Params!$C$19/(G8+G7*Params!$C$11)</f>
        <v>1.4499394011055604</v>
      </c>
      <c r="H13" s="20">
        <f>H6*GiaDinh_K3!$D$9*H7*Params!$C$19/(H8+H7*Params!$C$11)</f>
        <v>1.1369079811481109</v>
      </c>
      <c r="I13" s="20">
        <f>I6*GiaDinh_K3!$D$9*I7*Params!$C$19/(I8+I7*Params!$C$11)</f>
        <v>1.58809816745451</v>
      </c>
      <c r="J13" s="4" t="s">
        <v>1656</v>
      </c>
    </row>
    <row r="14" spans="1:10" x14ac:dyDescent="0.2">
      <c r="A14" s="4" t="s">
        <v>1657</v>
      </c>
      <c r="B14" s="20">
        <f>B6*GiaDinh_K3!$D$9*B7*Params!$C$19/(B8+B7*GiaDinh_K3!$D$11)</f>
        <v>1.6428033157498119</v>
      </c>
      <c r="C14" s="20">
        <f>C6*GiaDinh_K3!$D$9*C7*Params!$C$19/(C8+C7*GiaDinh_K3!$D$11)</f>
        <v>1.6428033157498119</v>
      </c>
      <c r="D14" s="20">
        <f>D6*GiaDinh_K3!$D$9*D7*Params!$C$19/(D8+D7*GiaDinh_K3!$D$11)</f>
        <v>1.565642056880207</v>
      </c>
      <c r="E14" s="20">
        <f>E6*GiaDinh_K3!$D$9*E7*Params!$C$19/(E8+E7*GiaDinh_K3!$D$11)</f>
        <v>1.6428033157498114</v>
      </c>
      <c r="F14" s="20">
        <f>F6*GiaDinh_K3!$D$9*F7*Params!$C$19/(F8+F7*GiaDinh_K3!$D$11)</f>
        <v>1.6428033157498119</v>
      </c>
      <c r="G14" s="20">
        <f>G6*GiaDinh_K3!$D$9*G7*Params!$C$19/(G8+G7*GiaDinh_K3!$D$11)</f>
        <v>1.565642056880207</v>
      </c>
      <c r="H14" s="20">
        <f>H6*GiaDinh_K3!$D$9*H7*Params!$C$19/(H8+H7*GiaDinh_K3!$D$11)</f>
        <v>1.2321024868123587</v>
      </c>
      <c r="I14" s="20">
        <f>I6*GiaDinh_K3!$D$9*I7*Params!$C$19/(I8+I7*GiaDinh_K3!$D$11)</f>
        <v>1.7279644895370958</v>
      </c>
      <c r="J14" s="4" t="s">
        <v>1658</v>
      </c>
    </row>
    <row r="15" spans="1:10" x14ac:dyDescent="0.2">
      <c r="A15" s="4" t="s">
        <v>1659</v>
      </c>
      <c r="B15" s="20">
        <f>MAX(0,(B7*Params!$C$11-B8)*Params!$C$10*B4*Catalogue!$F$9*GiaDinh_K3!$D$13)</f>
        <v>436.48779754821589</v>
      </c>
      <c r="C15" s="20">
        <f>MAX(0,(C7*Params!$C$11-C8)*Params!$C$10*C4*Catalogue!$F$9*GiaDinh_K3!$D$13)</f>
        <v>436.48779754821589</v>
      </c>
      <c r="D15" s="20">
        <f>MAX(0,(D7*Params!$C$11-D8)*Params!$C$10*D4*Catalogue!$F$9*GiaDinh_K3!$D$13)</f>
        <v>400.08185768185922</v>
      </c>
      <c r="E15" s="20">
        <f>MAX(0,(E7*Params!$C$11-E8)*Params!$C$10*E4*Catalogue!$F$9*GiaDinh_K3!$D$13)</f>
        <v>447.51950262525588</v>
      </c>
      <c r="F15" s="20">
        <f>MAX(0,(F7*Params!$C$11-F8)*Params!$C$10*F4*Catalogue!$F$9*GiaDinh_K3!$D$13)</f>
        <v>412.23847546220395</v>
      </c>
      <c r="G15" s="20">
        <f>MAX(0,(G7*Params!$C$11-G8)*Params!$C$10*G4*Catalogue!$F$9*GiaDinh_K3!$D$13)</f>
        <v>387.40492153795674</v>
      </c>
      <c r="H15" s="20">
        <f>MAX(0,(H7*Params!$C$11-H8)*Params!$C$10*H4*Catalogue!$F$9*GiaDinh_K3!$D$13)</f>
        <v>436.48779754821589</v>
      </c>
      <c r="I15" s="20">
        <f>MAX(0,(I7*Params!$C$11-I8)*Params!$C$10*I4*Catalogue!$F$9*GiaDinh_K3!$D$13)</f>
        <v>499.16561171538228</v>
      </c>
      <c r="J15" s="4" t="s">
        <v>1660</v>
      </c>
    </row>
    <row r="16" spans="1:10" x14ac:dyDescent="0.2">
      <c r="A16" s="4" t="s">
        <v>1661</v>
      </c>
      <c r="B16" s="20">
        <f>SQRT(2)*Params!$C$20*(1+B5)</f>
        <v>537.40115370177614</v>
      </c>
      <c r="C16" s="20">
        <f>SQRT(2)*Params!$C$20*(1+C5)</f>
        <v>483.66103833159855</v>
      </c>
      <c r="D16" s="20">
        <f>SQRT(2)*Params!$C$20*(1+D5)</f>
        <v>537.40115370177614</v>
      </c>
      <c r="E16" s="20">
        <f>SQRT(2)*Params!$C$20*(1+E5)</f>
        <v>537.40115370177614</v>
      </c>
      <c r="F16" s="20">
        <f>SQRT(2)*Params!$C$20*(1+F5)</f>
        <v>537.40115370177614</v>
      </c>
      <c r="G16" s="20">
        <f>SQRT(2)*Params!$C$20*(1+G5)</f>
        <v>483.66103833159855</v>
      </c>
      <c r="H16" s="20">
        <f>SQRT(2)*Params!$C$20*(1+H5)</f>
        <v>537.40115370177614</v>
      </c>
      <c r="I16" s="20">
        <f>SQRT(2)*Params!$C$20*(1+I5)</f>
        <v>591.14126907195384</v>
      </c>
      <c r="J16" s="4" t="s">
        <v>1662</v>
      </c>
    </row>
    <row r="17" spans="1:10" x14ac:dyDescent="0.2">
      <c r="A17" s="4" t="s">
        <v>1663</v>
      </c>
      <c r="B17" s="20">
        <f>'Tính chọn'!$D$60*Params!$C$21/B8*MIN(1,Params!$C$20*(1+B5)/GiaDinh_K3!$D$29)</f>
        <v>3.4284160303742897</v>
      </c>
      <c r="C17" s="20">
        <f>'Tính chọn'!$D$60*Params!$C$21/C8*MIN(1,Params!$C$20*(1+C5)/GiaDinh_K3!$D$29)</f>
        <v>3.0855744273368608</v>
      </c>
      <c r="D17" s="20">
        <f>'Tính chọn'!$D$60*Params!$C$21/D8*MIN(1,Params!$C$20*(1+D5)/GiaDinh_K3!$D$29)</f>
        <v>2.8570133586452422</v>
      </c>
      <c r="E17" s="20">
        <f>'Tính chọn'!$D$60*Params!$C$21/E8*MIN(1,Params!$C$20*(1+E5)/GiaDinh_K3!$D$29)</f>
        <v>3.3439028989764026</v>
      </c>
      <c r="F17" s="20">
        <f>'Tính chọn'!$D$60*Params!$C$21/F8*MIN(1,Params!$C$20*(1+F5)/GiaDinh_K3!$D$29)</f>
        <v>3.4284160303742897</v>
      </c>
      <c r="G17" s="20">
        <f>'Tính chọn'!$D$60*Params!$C$21/G8*MIN(1,Params!$C$20*(1+G5)/GiaDinh_K3!$D$29)</f>
        <v>2.5079271742323024</v>
      </c>
      <c r="H17" s="20">
        <f>'Tính chọn'!$D$60*Params!$C$21/H8*MIN(1,Params!$C$20*(1+H5)/GiaDinh_K3!$D$29)</f>
        <v>3.4284160303742897</v>
      </c>
      <c r="I17" s="20">
        <f>'Tính chọn'!$D$60*Params!$C$21/I8*MIN(1,Params!$C$20*(1+I5)/GiaDinh_K3!$D$29)</f>
        <v>4.5110737241766978</v>
      </c>
      <c r="J17" s="4" t="s">
        <v>1664</v>
      </c>
    </row>
    <row r="18" spans="1:10" ht="15" customHeight="1" x14ac:dyDescent="0.25">
      <c r="A18" s="21" t="s">
        <v>1665</v>
      </c>
      <c r="B18" s="20" t="str">
        <f>IF(AND(B12&gt;=1,B14&gt;=1.2,B15/1000&lt;=Catalogue!$F$27,B16&lt;GiaDinh_K3!$D$14-20,B17&gt;=1.2),"Đạt","Xem lại")</f>
        <v>Đạt</v>
      </c>
      <c r="C18" s="20" t="str">
        <f>IF(AND(C12&gt;=1,C14&gt;=1.2,C15/1000&lt;=Catalogue!$F$27,C16&lt;GiaDinh_K3!$D$14-20,C17&gt;=1.2),"Đạt","Xem lại")</f>
        <v>Đạt</v>
      </c>
      <c r="D18" s="20" t="str">
        <f>IF(AND(D12&gt;=1,D14&gt;=1.2,D15/1000&lt;=Catalogue!$F$27,D16&lt;GiaDinh_K3!$D$14-20,D17&gt;=1.2),"Đạt","Xem lại")</f>
        <v>Đạt</v>
      </c>
      <c r="E18" s="20" t="str">
        <f>IF(AND(E12&gt;=1,E14&gt;=1.2,E15/1000&lt;=Catalogue!$F$27,E16&lt;GiaDinh_K3!$D$14-20,E17&gt;=1.2),"Đạt","Xem lại")</f>
        <v>Đạt</v>
      </c>
      <c r="F18" s="20" t="str">
        <f>IF(AND(F12&gt;=1,F14&gt;=1.2,F15/1000&lt;=Catalogue!$F$27,F16&lt;GiaDinh_K3!$D$14-20,F17&gt;=1.2),"Đạt","Xem lại")</f>
        <v>Đạt</v>
      </c>
      <c r="G18" s="20" t="str">
        <f>IF(AND(G12&gt;=1,G14&gt;=1.2,G15/1000&lt;=Catalogue!$F$27,G16&lt;GiaDinh_K3!$D$14-20,G17&gt;=1.2),"Đạt","Xem lại")</f>
        <v>Đạt</v>
      </c>
      <c r="H18" s="20" t="str">
        <f>IF(AND(H12&gt;=1,H14&gt;=1.2,H15/1000&lt;=Catalogue!$F$27,H16&lt;GiaDinh_K3!$D$14-20,H17&gt;=1.2),"Đạt","Xem lại")</f>
        <v>Đạt</v>
      </c>
      <c r="I18" s="20" t="str">
        <f>IF(AND(I12&gt;=1,I14&gt;=1.2,I15/1000&lt;=Catalogue!$F$27,I16&lt;GiaDinh_K3!$D$14-20,I17&gt;=1.2),"Đạt","Xem lại")</f>
        <v>Đạt</v>
      </c>
      <c r="J18" s="4" t="s">
        <v>1666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54"/>
  <sheetViews>
    <sheetView workbookViewId="0">
      <pane ySplit="13" topLeftCell="A14" activePane="bottomLeft" state="frozen"/>
      <selection pane="bottomLeft"/>
    </sheetView>
  </sheetViews>
  <sheetFormatPr defaultRowHeight="14.25" x14ac:dyDescent="0.2"/>
  <cols>
    <col min="1" max="5" width="12" customWidth="1"/>
    <col min="6" max="7" width="16" customWidth="1"/>
    <col min="8" max="8" width="14" customWidth="1"/>
    <col min="9" max="9" width="4" customWidth="1"/>
  </cols>
  <sheetData>
    <row r="1" spans="1:8" ht="16.5" x14ac:dyDescent="0.25">
      <c r="A1" s="25" t="s">
        <v>1667</v>
      </c>
    </row>
    <row r="2" spans="1:8" x14ac:dyDescent="0.2">
      <c r="A2" s="2" t="s">
        <v>1668</v>
      </c>
    </row>
    <row r="4" spans="1:8" ht="28.5" x14ac:dyDescent="0.2">
      <c r="A4" s="28" t="s">
        <v>1669</v>
      </c>
      <c r="B4" s="36">
        <v>1</v>
      </c>
      <c r="C4" s="28" t="s">
        <v>1702</v>
      </c>
      <c r="E4" s="28" t="s">
        <v>1670</v>
      </c>
      <c r="F4" s="34">
        <f>'Tính chọn'!$D$39</f>
        <v>0.25</v>
      </c>
      <c r="G4" s="28" t="s">
        <v>1671</v>
      </c>
      <c r="H4" s="37">
        <f>MAX(D14:D254)</f>
        <v>0.11999999999999995</v>
      </c>
    </row>
    <row r="5" spans="1:8" ht="28.5" x14ac:dyDescent="0.2">
      <c r="A5" s="28" t="s">
        <v>1672</v>
      </c>
      <c r="B5" s="38">
        <v>0.01</v>
      </c>
      <c r="C5" s="28" t="s">
        <v>1702</v>
      </c>
      <c r="E5" s="28" t="s">
        <v>1673</v>
      </c>
      <c r="F5" s="34">
        <f>'Tính chọn'!$D$39+'Tính chọn'!$D$40</f>
        <v>0.26666666666666666</v>
      </c>
      <c r="G5" s="28" t="s">
        <v>1674</v>
      </c>
      <c r="H5" s="37">
        <f>MAX(MAX(C14:C254),-MIN(C14:C254))</f>
        <v>0.45</v>
      </c>
    </row>
    <row r="6" spans="1:8" x14ac:dyDescent="0.2">
      <c r="E6" s="28" t="s">
        <v>1675</v>
      </c>
      <c r="F6" s="34">
        <f>'Tính chọn'!$D$41</f>
        <v>0.51666666666666661</v>
      </c>
      <c r="G6" s="28" t="s">
        <v>1676</v>
      </c>
      <c r="H6" s="37">
        <f>MAX(MAX(B14:B254),-MIN(B14:B254))</f>
        <v>1.8</v>
      </c>
    </row>
    <row r="7" spans="1:8" ht="28.5" x14ac:dyDescent="0.2">
      <c r="E7" s="28" t="s">
        <v>1677</v>
      </c>
      <c r="F7" s="34">
        <f>$F$6+$B$4</f>
        <v>1.5166666666666666</v>
      </c>
      <c r="G7" s="28" t="s">
        <v>1678</v>
      </c>
      <c r="H7" s="37">
        <f>MAX(F14:F254)</f>
        <v>9.9298202210583248</v>
      </c>
    </row>
    <row r="8" spans="1:8" ht="28.5" x14ac:dyDescent="0.2">
      <c r="E8" s="28" t="s">
        <v>1679</v>
      </c>
      <c r="F8" s="34">
        <f>$F$7+'Tính chọn'!$D$39</f>
        <v>1.7666666666666666</v>
      </c>
      <c r="G8" s="28" t="s">
        <v>1680</v>
      </c>
      <c r="H8" s="37">
        <f>MIN(F14:F254)</f>
        <v>-5.2856082183545769</v>
      </c>
    </row>
    <row r="9" spans="1:8" x14ac:dyDescent="0.2">
      <c r="E9" s="28" t="s">
        <v>1681</v>
      </c>
      <c r="F9" s="34">
        <f>$F$8+'Tính chọn'!$D$40</f>
        <v>1.7833333333333332</v>
      </c>
      <c r="G9" s="28" t="s">
        <v>1682</v>
      </c>
      <c r="H9" s="37">
        <f>MAX(E14:E254)</f>
        <v>0.18199499999999974</v>
      </c>
    </row>
    <row r="10" spans="1:8" ht="28.5" x14ac:dyDescent="0.2">
      <c r="E10" s="28" t="s">
        <v>1683</v>
      </c>
      <c r="F10" s="34">
        <f>$F$7+'Tính chọn'!$D$41</f>
        <v>2.0333333333333332</v>
      </c>
    </row>
    <row r="13" spans="1:8" ht="30" x14ac:dyDescent="0.2">
      <c r="A13" s="27" t="s">
        <v>1684</v>
      </c>
      <c r="B13" s="27" t="s">
        <v>1685</v>
      </c>
      <c r="C13" s="27" t="s">
        <v>1686</v>
      </c>
      <c r="D13" s="27" t="s">
        <v>1687</v>
      </c>
      <c r="E13" s="27" t="s">
        <v>1688</v>
      </c>
      <c r="F13" s="27" t="s">
        <v>1689</v>
      </c>
      <c r="G13" s="27" t="s">
        <v>1690</v>
      </c>
      <c r="H13" s="27" t="s">
        <v>1691</v>
      </c>
    </row>
    <row r="14" spans="1:8" x14ac:dyDescent="0.2">
      <c r="A14" s="39">
        <f>0*$B$5</f>
        <v>0</v>
      </c>
      <c r="B14" s="40">
        <f>IF(A14&lt;$F$4,GiaDinh_K3!$D$12,IF(A14&lt;$F$5,0,IF(A14&lt;$F$6,-GiaDinh_K3!$D$12,IF(A14&lt;$F$7,0,IF(A14&lt;$F$8,-GiaDinh_K3!$D$12,IF(A14&lt;$F$9,0,IF(A14&lt;$F$10,GiaDinh_K3!$D$12,0)))))))</f>
        <v>1.8</v>
      </c>
      <c r="C14" s="41">
        <f>IF(A14&lt;$F$4,GiaDinh_K3!$D$12*A14,IF(A14&lt;$F$5,GiaDinh_K3!$D$11,IF(A14&lt;$F$6,GiaDinh_K3!$D$11-GiaDinh_K3!$D$12*(A14-$F$5),IF(A14&lt;$F$7,0,IF(A14&lt;$F$8,-GiaDinh_K3!$D$12*(A14-$F$7),IF(A14&lt;$F$9,-GiaDinh_K3!$D$11,IF(A14&lt;$F$10,-GiaDinh_K3!$D$11+GiaDinh_K3!$D$12*(A14-$F$9),0)))))))</f>
        <v>0</v>
      </c>
      <c r="D14" s="42">
        <v>0</v>
      </c>
      <c r="E14" s="42">
        <v>0</v>
      </c>
      <c r="F14" s="40">
        <f>IF(A14&gt;$F$10,0,IF((Params!$C$21+GiaDinh_K3!$D$8*Params!$C$5*C14)&gt;=0,(Params!$C$21+GiaDinh_K3!$D$8*Params!$C$5*C14)*'Tính chọn'!$D$23/Params!$C$16,(Params!$C$21+GiaDinh_K3!$D$8*Params!$C$5*C14)*'Tính chọn'!$D$23*Params!$C$16)+Catalogue!$F$15*C14/'Tính chọn'!$D$23)</f>
        <v>1.8740295480880651</v>
      </c>
      <c r="G14" s="40">
        <f>IF(A14&gt;$F$10,0,IF(('Tính chọn'!$D$6+GiaDinh_K3!$D$8*Params!$C$6*C14)&gt;=0,('Tính chọn'!$D$6+GiaDinh_K3!$D$8*Params!$C$6*C14)*'Tính chọn'!$D$23/Params!$C$16,('Tính chọn'!$D$6+GiaDinh_K3!$D$8*Params!$C$6*C14)*'Tính chọn'!$D$23*Params!$C$16)+Catalogue!$F$15*C14/'Tính chọn'!$D$23)</f>
        <v>0.26602694090382384</v>
      </c>
      <c r="H14" s="43">
        <f>F14*D14/'Tính chọn'!$D$23</f>
        <v>0</v>
      </c>
    </row>
    <row r="15" spans="1:8" x14ac:dyDescent="0.2">
      <c r="A15" s="39">
        <f>1*$B$5</f>
        <v>0.01</v>
      </c>
      <c r="B15" s="40">
        <f>IF(A15&lt;$F$4,GiaDinh_K3!$D$12,IF(A15&lt;$F$5,0,IF(A15&lt;$F$6,-GiaDinh_K3!$D$12,IF(A15&lt;$F$7,0,IF(A15&lt;$F$8,-GiaDinh_K3!$D$12,IF(A15&lt;$F$9,0,IF(A15&lt;$F$10,GiaDinh_K3!$D$12,0)))))))</f>
        <v>1.8</v>
      </c>
      <c r="C15" s="41">
        <f>IF(A15&lt;$F$4,GiaDinh_K3!$D$12*A15,IF(A15&lt;$F$5,GiaDinh_K3!$D$11,IF(A15&lt;$F$6,GiaDinh_K3!$D$11-GiaDinh_K3!$D$12*(A15-$F$5),IF(A15&lt;$F$7,0,IF(A15&lt;$F$8,-GiaDinh_K3!$D$12*(A15-$F$7),IF(A15&lt;$F$9,-GiaDinh_K3!$D$11,IF(A15&lt;$F$10,-GiaDinh_K3!$D$11+GiaDinh_K3!$D$12*(A15-$F$9),0)))))))</f>
        <v>1.8000000000000002E-2</v>
      </c>
      <c r="D15" s="44">
        <f t="shared" ref="D15:D78" si="0">MAX(0,D14+(C14+C15)/2*$B$5)</f>
        <v>9.0000000000000006E-5</v>
      </c>
      <c r="E15" s="44">
        <f t="shared" ref="E15:E78" si="1">E14+(D14+D15)/2*$B$5</f>
        <v>4.5000000000000003E-7</v>
      </c>
      <c r="F15" s="40">
        <f>IF(A15&gt;$F$10,0,IF((Params!$C$21+GiaDinh_K3!$D$8*Params!$C$5*C15)&gt;=0,(Params!$C$21+GiaDinh_K3!$D$8*Params!$C$5*C15)*'Tính chọn'!$D$23/Params!$C$16,(Params!$C$21+GiaDinh_K3!$D$8*Params!$C$5*C15)*'Tính chọn'!$D$23*Params!$C$16)+Catalogue!$F$15*C15/'Tính chọn'!$D$23)</f>
        <v>2.1962611750068755</v>
      </c>
      <c r="G15" s="40">
        <f>IF(A15&gt;$F$10,0,IF(('Tính chọn'!$D$6+GiaDinh_K3!$D$8*Params!$C$6*C15)&gt;=0,('Tính chọn'!$D$6+GiaDinh_K3!$D$8*Params!$C$6*C15)*'Tính chọn'!$D$23/Params!$C$16,('Tính chọn'!$D$6+GiaDinh_K3!$D$8*Params!$C$6*C15)*'Tính chọn'!$D$23*Params!$C$16)+Catalogue!$F$15*C15/'Tính chọn'!$D$23)</f>
        <v>0.36205636620038628</v>
      </c>
      <c r="H15" s="43">
        <f>F15*D15/'Tính chọn'!$D$23</f>
        <v>0.24564039186640901</v>
      </c>
    </row>
    <row r="16" spans="1:8" x14ac:dyDescent="0.2">
      <c r="A16" s="39">
        <f>2*$B$5</f>
        <v>0.02</v>
      </c>
      <c r="B16" s="40">
        <f>IF(A16&lt;$F$4,GiaDinh_K3!$D$12,IF(A16&lt;$F$5,0,IF(A16&lt;$F$6,-GiaDinh_K3!$D$12,IF(A16&lt;$F$7,0,IF(A16&lt;$F$8,-GiaDinh_K3!$D$12,IF(A16&lt;$F$9,0,IF(A16&lt;$F$10,GiaDinh_K3!$D$12,0)))))))</f>
        <v>1.8</v>
      </c>
      <c r="C16" s="41">
        <f>IF(A16&lt;$F$4,GiaDinh_K3!$D$12*A16,IF(A16&lt;$F$5,GiaDinh_K3!$D$11,IF(A16&lt;$F$6,GiaDinh_K3!$D$11-GiaDinh_K3!$D$12*(A16-$F$5),IF(A16&lt;$F$7,0,IF(A16&lt;$F$8,-GiaDinh_K3!$D$12*(A16-$F$7),IF(A16&lt;$F$9,-GiaDinh_K3!$D$11,IF(A16&lt;$F$10,-GiaDinh_K3!$D$11+GiaDinh_K3!$D$12*(A16-$F$9),0)))))))</f>
        <v>3.6000000000000004E-2</v>
      </c>
      <c r="D16" s="44">
        <f t="shared" si="0"/>
        <v>3.6000000000000008E-4</v>
      </c>
      <c r="E16" s="44">
        <f t="shared" si="1"/>
        <v>2.7000000000000004E-6</v>
      </c>
      <c r="F16" s="40">
        <f>IF(A16&gt;$F$10,0,IF((Params!$C$21+GiaDinh_K3!$D$8*Params!$C$5*C16)&gt;=0,(Params!$C$21+GiaDinh_K3!$D$8*Params!$C$5*C16)*'Tính chọn'!$D$23/Params!$C$16,(Params!$C$21+GiaDinh_K3!$D$8*Params!$C$5*C16)*'Tính chọn'!$D$23*Params!$C$16)+Catalogue!$F$15*C16/'Tính chọn'!$D$23)</f>
        <v>2.5184928019256856</v>
      </c>
      <c r="G16" s="40">
        <f>IF(A16&gt;$F$10,0,IF(('Tính chọn'!$D$6+GiaDinh_K3!$D$8*Params!$C$6*C16)&gt;=0,('Tính chọn'!$D$6+GiaDinh_K3!$D$8*Params!$C$6*C16)*'Tính chọn'!$D$23/Params!$C$16,('Tính chọn'!$D$6+GiaDinh_K3!$D$8*Params!$C$6*C16)*'Tính chọn'!$D$23*Params!$C$16)+Catalogue!$F$15*C16/'Tính chọn'!$D$23)</f>
        <v>0.45808579149694861</v>
      </c>
      <c r="H16" s="43">
        <f>F16*D16/'Tính chọn'!$D$23</f>
        <v>1.1267212949312719</v>
      </c>
    </row>
    <row r="17" spans="1:8" x14ac:dyDescent="0.2">
      <c r="A17" s="39">
        <f>3*$B$5</f>
        <v>0.03</v>
      </c>
      <c r="B17" s="40">
        <f>IF(A17&lt;$F$4,GiaDinh_K3!$D$12,IF(A17&lt;$F$5,0,IF(A17&lt;$F$6,-GiaDinh_K3!$D$12,IF(A17&lt;$F$7,0,IF(A17&lt;$F$8,-GiaDinh_K3!$D$12,IF(A17&lt;$F$9,0,IF(A17&lt;$F$10,GiaDinh_K3!$D$12,0)))))))</f>
        <v>1.8</v>
      </c>
      <c r="C17" s="41">
        <f>IF(A17&lt;$F$4,GiaDinh_K3!$D$12*A17,IF(A17&lt;$F$5,GiaDinh_K3!$D$11,IF(A17&lt;$F$6,GiaDinh_K3!$D$11-GiaDinh_K3!$D$12*(A17-$F$5),IF(A17&lt;$F$7,0,IF(A17&lt;$F$8,-GiaDinh_K3!$D$12*(A17-$F$7),IF(A17&lt;$F$9,-GiaDinh_K3!$D$11,IF(A17&lt;$F$10,-GiaDinh_K3!$D$11+GiaDinh_K3!$D$12*(A17-$F$9),0)))))))</f>
        <v>5.3999999999999999E-2</v>
      </c>
      <c r="D17" s="44">
        <f t="shared" si="0"/>
        <v>8.1000000000000006E-4</v>
      </c>
      <c r="E17" s="44">
        <f t="shared" si="1"/>
        <v>8.5500000000000011E-6</v>
      </c>
      <c r="F17" s="40">
        <f>IF(A17&gt;$F$10,0,IF((Params!$C$21+GiaDinh_K3!$D$8*Params!$C$5*C17)&gt;=0,(Params!$C$21+GiaDinh_K3!$D$8*Params!$C$5*C17)*'Tính chọn'!$D$23/Params!$C$16,(Params!$C$21+GiaDinh_K3!$D$8*Params!$C$5*C17)*'Tính chọn'!$D$23*Params!$C$16)+Catalogue!$F$15*C17/'Tính chọn'!$D$23)</f>
        <v>2.8407244288444962</v>
      </c>
      <c r="G17" s="40">
        <f>IF(A17&gt;$F$10,0,IF(('Tính chọn'!$D$6+GiaDinh_K3!$D$8*Params!$C$6*C17)&gt;=0,('Tính chọn'!$D$6+GiaDinh_K3!$D$8*Params!$C$6*C17)*'Tính chọn'!$D$23/Params!$C$16,('Tính chọn'!$D$6+GiaDinh_K3!$D$8*Params!$C$6*C17)*'Tính chọn'!$D$23*Params!$C$16)+Catalogue!$F$15*C17/'Tính chọn'!$D$23)</f>
        <v>0.55411521679351095</v>
      </c>
      <c r="H17" s="43">
        <f>F17*D17/'Tính chọn'!$D$23</f>
        <v>2.8594823003930423</v>
      </c>
    </row>
    <row r="18" spans="1:8" x14ac:dyDescent="0.2">
      <c r="A18" s="39">
        <f>4*$B$5</f>
        <v>0.04</v>
      </c>
      <c r="B18" s="40">
        <f>IF(A18&lt;$F$4,GiaDinh_K3!$D$12,IF(A18&lt;$F$5,0,IF(A18&lt;$F$6,-GiaDinh_K3!$D$12,IF(A18&lt;$F$7,0,IF(A18&lt;$F$8,-GiaDinh_K3!$D$12,IF(A18&lt;$F$9,0,IF(A18&lt;$F$10,GiaDinh_K3!$D$12,0)))))))</f>
        <v>1.8</v>
      </c>
      <c r="C18" s="41">
        <f>IF(A18&lt;$F$4,GiaDinh_K3!$D$12*A18,IF(A18&lt;$F$5,GiaDinh_K3!$D$11,IF(A18&lt;$F$6,GiaDinh_K3!$D$11-GiaDinh_K3!$D$12*(A18-$F$5),IF(A18&lt;$F$7,0,IF(A18&lt;$F$8,-GiaDinh_K3!$D$12*(A18-$F$7),IF(A18&lt;$F$9,-GiaDinh_K3!$D$11,IF(A18&lt;$F$10,-GiaDinh_K3!$D$11+GiaDinh_K3!$D$12*(A18-$F$9),0)))))))</f>
        <v>7.2000000000000008E-2</v>
      </c>
      <c r="D18" s="44">
        <f t="shared" si="0"/>
        <v>1.4400000000000001E-3</v>
      </c>
      <c r="E18" s="44">
        <f t="shared" si="1"/>
        <v>1.98E-5</v>
      </c>
      <c r="F18" s="40">
        <f>IF(A18&gt;$F$10,0,IF((Params!$C$21+GiaDinh_K3!$D$8*Params!$C$5*C18)&gt;=0,(Params!$C$21+GiaDinh_K3!$D$8*Params!$C$5*C18)*'Tính chọn'!$D$23/Params!$C$16,(Params!$C$21+GiaDinh_K3!$D$8*Params!$C$5*C18)*'Tính chọn'!$D$23*Params!$C$16)+Catalogue!$F$15*C18/'Tính chọn'!$D$23)</f>
        <v>3.1629560557633059</v>
      </c>
      <c r="G18" s="40">
        <f>IF(A18&gt;$F$10,0,IF(('Tính chọn'!$D$6+GiaDinh_K3!$D$8*Params!$C$6*C18)&gt;=0,('Tính chọn'!$D$6+GiaDinh_K3!$D$8*Params!$C$6*C18)*'Tính chọn'!$D$23/Params!$C$16,('Tính chọn'!$D$6+GiaDinh_K3!$D$8*Params!$C$6*C18)*'Tính chọn'!$D$23*Params!$C$16)+Catalogue!$F$15*C18/'Tính chọn'!$D$23)</f>
        <v>0.65014464209007339</v>
      </c>
      <c r="H18" s="43">
        <f>F18*D18/'Tính chọn'!$D$23</f>
        <v>5.6601629994501721</v>
      </c>
    </row>
    <row r="19" spans="1:8" x14ac:dyDescent="0.2">
      <c r="A19" s="39">
        <f>5*$B$5</f>
        <v>0.05</v>
      </c>
      <c r="B19" s="40">
        <f>IF(A19&lt;$F$4,GiaDinh_K3!$D$12,IF(A19&lt;$F$5,0,IF(A19&lt;$F$6,-GiaDinh_K3!$D$12,IF(A19&lt;$F$7,0,IF(A19&lt;$F$8,-GiaDinh_K3!$D$12,IF(A19&lt;$F$9,0,IF(A19&lt;$F$10,GiaDinh_K3!$D$12,0)))))))</f>
        <v>1.8</v>
      </c>
      <c r="C19" s="41">
        <f>IF(A19&lt;$F$4,GiaDinh_K3!$D$12*A19,IF(A19&lt;$F$5,GiaDinh_K3!$D$11,IF(A19&lt;$F$6,GiaDinh_K3!$D$11-GiaDinh_K3!$D$12*(A19-$F$5),IF(A19&lt;$F$7,0,IF(A19&lt;$F$8,-GiaDinh_K3!$D$12*(A19-$F$7),IF(A19&lt;$F$9,-GiaDinh_K3!$D$11,IF(A19&lt;$F$10,-GiaDinh_K3!$D$11+GiaDinh_K3!$D$12*(A19-$F$9),0)))))))</f>
        <v>9.0000000000000011E-2</v>
      </c>
      <c r="D19" s="44">
        <f t="shared" si="0"/>
        <v>2.2500000000000003E-3</v>
      </c>
      <c r="E19" s="44">
        <f t="shared" si="1"/>
        <v>3.8250000000000008E-5</v>
      </c>
      <c r="F19" s="40">
        <f>IF(A19&gt;$F$10,0,IF((Params!$C$21+GiaDinh_K3!$D$8*Params!$C$5*C19)&gt;=0,(Params!$C$21+GiaDinh_K3!$D$8*Params!$C$5*C19)*'Tính chọn'!$D$23/Params!$C$16,(Params!$C$21+GiaDinh_K3!$D$8*Params!$C$5*C19)*'Tính chọn'!$D$23*Params!$C$16)+Catalogue!$F$15*C19/'Tính chọn'!$D$23)</f>
        <v>3.4851876826821164</v>
      </c>
      <c r="G19" s="40">
        <f>IF(A19&gt;$F$10,0,IF(('Tính chọn'!$D$6+GiaDinh_K3!$D$8*Params!$C$6*C19)&gt;=0,('Tính chọn'!$D$6+GiaDinh_K3!$D$8*Params!$C$6*C19)*'Tính chọn'!$D$23/Params!$C$16,('Tính chọn'!$D$6+GiaDinh_K3!$D$8*Params!$C$6*C19)*'Tính chọn'!$D$23*Params!$C$16)+Catalogue!$F$15*C19/'Tính chọn'!$D$23)</f>
        <v>0.74617406738663572</v>
      </c>
      <c r="H19" s="43">
        <f>F19*D19/'Tính chọn'!$D$23</f>
        <v>9.74500298330112</v>
      </c>
    </row>
    <row r="20" spans="1:8" x14ac:dyDescent="0.2">
      <c r="A20" s="39">
        <f>6*$B$5</f>
        <v>0.06</v>
      </c>
      <c r="B20" s="40">
        <f>IF(A20&lt;$F$4,GiaDinh_K3!$D$12,IF(A20&lt;$F$5,0,IF(A20&lt;$F$6,-GiaDinh_K3!$D$12,IF(A20&lt;$F$7,0,IF(A20&lt;$F$8,-GiaDinh_K3!$D$12,IF(A20&lt;$F$9,0,IF(A20&lt;$F$10,GiaDinh_K3!$D$12,0)))))))</f>
        <v>1.8</v>
      </c>
      <c r="C20" s="41">
        <f>IF(A20&lt;$F$4,GiaDinh_K3!$D$12*A20,IF(A20&lt;$F$5,GiaDinh_K3!$D$11,IF(A20&lt;$F$6,GiaDinh_K3!$D$11-GiaDinh_K3!$D$12*(A20-$F$5),IF(A20&lt;$F$7,0,IF(A20&lt;$F$8,-GiaDinh_K3!$D$12*(A20-$F$7),IF(A20&lt;$F$9,-GiaDinh_K3!$D$11,IF(A20&lt;$F$10,-GiaDinh_K3!$D$11+GiaDinh_K3!$D$12*(A20-$F$9),0)))))))</f>
        <v>0.108</v>
      </c>
      <c r="D20" s="44">
        <f t="shared" si="0"/>
        <v>3.2400000000000003E-3</v>
      </c>
      <c r="E20" s="44">
        <f t="shared" si="1"/>
        <v>6.5700000000000011E-5</v>
      </c>
      <c r="F20" s="40">
        <f>IF(A20&gt;$F$10,0,IF((Params!$C$21+GiaDinh_K3!$D$8*Params!$C$5*C20)&gt;=0,(Params!$C$21+GiaDinh_K3!$D$8*Params!$C$5*C20)*'Tính chọn'!$D$23/Params!$C$16,(Params!$C$21+GiaDinh_K3!$D$8*Params!$C$5*C20)*'Tính chọn'!$D$23*Params!$C$16)+Catalogue!$F$15*C20/'Tính chọn'!$D$23)</f>
        <v>3.807419309600927</v>
      </c>
      <c r="G20" s="40">
        <f>IF(A20&gt;$F$10,0,IF(('Tính chọn'!$D$6+GiaDinh_K3!$D$8*Params!$C$6*C20)&gt;=0,('Tính chọn'!$D$6+GiaDinh_K3!$D$8*Params!$C$6*C20)*'Tính chọn'!$D$23/Params!$C$16,('Tính chọn'!$D$6+GiaDinh_K3!$D$8*Params!$C$6*C20)*'Tính chọn'!$D$23*Params!$C$16)+Catalogue!$F$15*C20/'Tính chọn'!$D$23)</f>
        <v>0.84220349268319805</v>
      </c>
      <c r="H20" s="43">
        <f>F20*D20/'Tính chọn'!$D$23</f>
        <v>15.330241843144336</v>
      </c>
    </row>
    <row r="21" spans="1:8" x14ac:dyDescent="0.2">
      <c r="A21" s="39">
        <f>7*$B$5</f>
        <v>7.0000000000000007E-2</v>
      </c>
      <c r="B21" s="40">
        <f>IF(A21&lt;$F$4,GiaDinh_K3!$D$12,IF(A21&lt;$F$5,0,IF(A21&lt;$F$6,-GiaDinh_K3!$D$12,IF(A21&lt;$F$7,0,IF(A21&lt;$F$8,-GiaDinh_K3!$D$12,IF(A21&lt;$F$9,0,IF(A21&lt;$F$10,GiaDinh_K3!$D$12,0)))))))</f>
        <v>1.8</v>
      </c>
      <c r="C21" s="41">
        <f>IF(A21&lt;$F$4,GiaDinh_K3!$D$12*A21,IF(A21&lt;$F$5,GiaDinh_K3!$D$11,IF(A21&lt;$F$6,GiaDinh_K3!$D$11-GiaDinh_K3!$D$12*(A21-$F$5),IF(A21&lt;$F$7,0,IF(A21&lt;$F$8,-GiaDinh_K3!$D$12*(A21-$F$7),IF(A21&lt;$F$9,-GiaDinh_K3!$D$11,IF(A21&lt;$F$10,-GiaDinh_K3!$D$11+GiaDinh_K3!$D$12*(A21-$F$9),0)))))))</f>
        <v>0.12600000000000003</v>
      </c>
      <c r="D21" s="44">
        <f t="shared" si="0"/>
        <v>4.4100000000000007E-3</v>
      </c>
      <c r="E21" s="44">
        <f t="shared" si="1"/>
        <v>1.0395000000000001E-4</v>
      </c>
      <c r="F21" s="40">
        <f>IF(A21&gt;$F$10,0,IF((Params!$C$21+GiaDinh_K3!$D$8*Params!$C$5*C21)&gt;=0,(Params!$C$21+GiaDinh_K3!$D$8*Params!$C$5*C21)*'Tính chọn'!$D$23/Params!$C$16,(Params!$C$21+GiaDinh_K3!$D$8*Params!$C$5*C21)*'Tính chọn'!$D$23*Params!$C$16)+Catalogue!$F$15*C21/'Tính chọn'!$D$23)</f>
        <v>4.129650936519738</v>
      </c>
      <c r="G21" s="40">
        <f>IF(A21&gt;$F$10,0,IF(('Tính chọn'!$D$6+GiaDinh_K3!$D$8*Params!$C$6*C21)&gt;=0,('Tính chọn'!$D$6+GiaDinh_K3!$D$8*Params!$C$6*C21)*'Tính chọn'!$D$23/Params!$C$16,('Tính chọn'!$D$6+GiaDinh_K3!$D$8*Params!$C$6*C21)*'Tính chọn'!$D$23*Params!$C$16)+Catalogue!$F$15*C21/'Tính chọn'!$D$23)</f>
        <v>0.93823291797976061</v>
      </c>
      <c r="H21" s="43">
        <f>F21*D21/'Tính chọn'!$D$23</f>
        <v>22.632119170178282</v>
      </c>
    </row>
    <row r="22" spans="1:8" x14ac:dyDescent="0.2">
      <c r="A22" s="39">
        <f>8*$B$5</f>
        <v>0.08</v>
      </c>
      <c r="B22" s="40">
        <f>IF(A22&lt;$F$4,GiaDinh_K3!$D$12,IF(A22&lt;$F$5,0,IF(A22&lt;$F$6,-GiaDinh_K3!$D$12,IF(A22&lt;$F$7,0,IF(A22&lt;$F$8,-GiaDinh_K3!$D$12,IF(A22&lt;$F$9,0,IF(A22&lt;$F$10,GiaDinh_K3!$D$12,0)))))))</f>
        <v>1.8</v>
      </c>
      <c r="C22" s="41">
        <f>IF(A22&lt;$F$4,GiaDinh_K3!$D$12*A22,IF(A22&lt;$F$5,GiaDinh_K3!$D$11,IF(A22&lt;$F$6,GiaDinh_K3!$D$11-GiaDinh_K3!$D$12*(A22-$F$5),IF(A22&lt;$F$7,0,IF(A22&lt;$F$8,-GiaDinh_K3!$D$12*(A22-$F$7),IF(A22&lt;$F$9,-GiaDinh_K3!$D$11,IF(A22&lt;$F$10,-GiaDinh_K3!$D$11+GiaDinh_K3!$D$12*(A22-$F$9),0)))))))</f>
        <v>0.14400000000000002</v>
      </c>
      <c r="D22" s="44">
        <f t="shared" si="0"/>
        <v>5.7600000000000012E-3</v>
      </c>
      <c r="E22" s="44">
        <f t="shared" si="1"/>
        <v>1.5480000000000002E-4</v>
      </c>
      <c r="F22" s="40">
        <f>IF(A22&gt;$F$10,0,IF((Params!$C$21+GiaDinh_K3!$D$8*Params!$C$5*C22)&gt;=0,(Params!$C$21+GiaDinh_K3!$D$8*Params!$C$5*C22)*'Tính chọn'!$D$23/Params!$C$16,(Params!$C$21+GiaDinh_K3!$D$8*Params!$C$5*C22)*'Tính chọn'!$D$23*Params!$C$16)+Catalogue!$F$15*C22/'Tính chọn'!$D$23)</f>
        <v>4.4518825634385477</v>
      </c>
      <c r="G22" s="40">
        <f>IF(A22&gt;$F$10,0,IF(('Tính chọn'!$D$6+GiaDinh_K3!$D$8*Params!$C$6*C22)&gt;=0,('Tính chọn'!$D$6+GiaDinh_K3!$D$8*Params!$C$6*C22)*'Tính chọn'!$D$23/Params!$C$16,('Tính chọn'!$D$6+GiaDinh_K3!$D$8*Params!$C$6*C22)*'Tính chọn'!$D$23*Params!$C$16)+Catalogue!$F$15*C22/'Tính chọn'!$D$23)</f>
        <v>1.0342623432763229</v>
      </c>
      <c r="H22" s="43">
        <f>F22*D22/'Tính chọn'!$D$23</f>
        <v>31.866874555601392</v>
      </c>
    </row>
    <row r="23" spans="1:8" x14ac:dyDescent="0.2">
      <c r="A23" s="39">
        <f>9*$B$5</f>
        <v>0.09</v>
      </c>
      <c r="B23" s="40">
        <f>IF(A23&lt;$F$4,GiaDinh_K3!$D$12,IF(A23&lt;$F$5,0,IF(A23&lt;$F$6,-GiaDinh_K3!$D$12,IF(A23&lt;$F$7,0,IF(A23&lt;$F$8,-GiaDinh_K3!$D$12,IF(A23&lt;$F$9,0,IF(A23&lt;$F$10,GiaDinh_K3!$D$12,0)))))))</f>
        <v>1.8</v>
      </c>
      <c r="C23" s="41">
        <f>IF(A23&lt;$F$4,GiaDinh_K3!$D$12*A23,IF(A23&lt;$F$5,GiaDinh_K3!$D$11,IF(A23&lt;$F$6,GiaDinh_K3!$D$11-GiaDinh_K3!$D$12*(A23-$F$5),IF(A23&lt;$F$7,0,IF(A23&lt;$F$8,-GiaDinh_K3!$D$12*(A23-$F$7),IF(A23&lt;$F$9,-GiaDinh_K3!$D$11,IF(A23&lt;$F$10,-GiaDinh_K3!$D$11+GiaDinh_K3!$D$12*(A23-$F$9),0)))))))</f>
        <v>0.16200000000000001</v>
      </c>
      <c r="D23" s="44">
        <f t="shared" si="0"/>
        <v>7.2900000000000013E-3</v>
      </c>
      <c r="E23" s="44">
        <f t="shared" si="1"/>
        <v>2.2005000000000004E-4</v>
      </c>
      <c r="F23" s="40">
        <f>IF(A23&gt;$F$10,0,IF((Params!$C$21+GiaDinh_K3!$D$8*Params!$C$5*C23)&gt;=0,(Params!$C$21+GiaDinh_K3!$D$8*Params!$C$5*C23)*'Tính chọn'!$D$23/Params!$C$16,(Params!$C$21+GiaDinh_K3!$D$8*Params!$C$5*C23)*'Tính chọn'!$D$23*Params!$C$16)+Catalogue!$F$15*C23/'Tính chọn'!$D$23)</f>
        <v>4.7741141903573574</v>
      </c>
      <c r="G23" s="40">
        <f>IF(A23&gt;$F$10,0,IF(('Tính chọn'!$D$6+GiaDinh_K3!$D$8*Params!$C$6*C23)&gt;=0,('Tính chọn'!$D$6+GiaDinh_K3!$D$8*Params!$C$6*C23)*'Tính chọn'!$D$23/Params!$C$16,('Tính chọn'!$D$6+GiaDinh_K3!$D$8*Params!$C$6*C23)*'Tính chọn'!$D$23*Params!$C$16)+Catalogue!$F$15*C23/'Tính chọn'!$D$23)</f>
        <v>1.130291768572885</v>
      </c>
      <c r="H23" s="43">
        <f>F23*D23/'Tính chọn'!$D$23</f>
        <v>43.250747590612136</v>
      </c>
    </row>
    <row r="24" spans="1:8" x14ac:dyDescent="0.2">
      <c r="A24" s="39">
        <f>10*$B$5</f>
        <v>0.1</v>
      </c>
      <c r="B24" s="40">
        <f>IF(A24&lt;$F$4,GiaDinh_K3!$D$12,IF(A24&lt;$F$5,0,IF(A24&lt;$F$6,-GiaDinh_K3!$D$12,IF(A24&lt;$F$7,0,IF(A24&lt;$F$8,-GiaDinh_K3!$D$12,IF(A24&lt;$F$9,0,IF(A24&lt;$F$10,GiaDinh_K3!$D$12,0)))))))</f>
        <v>1.8</v>
      </c>
      <c r="C24" s="41">
        <f>IF(A24&lt;$F$4,GiaDinh_K3!$D$12*A24,IF(A24&lt;$F$5,GiaDinh_K3!$D$11,IF(A24&lt;$F$6,GiaDinh_K3!$D$11-GiaDinh_K3!$D$12*(A24-$F$5),IF(A24&lt;$F$7,0,IF(A24&lt;$F$8,-GiaDinh_K3!$D$12*(A24-$F$7),IF(A24&lt;$F$9,-GiaDinh_K3!$D$11,IF(A24&lt;$F$10,-GiaDinh_K3!$D$11+GiaDinh_K3!$D$12*(A24-$F$9),0)))))))</f>
        <v>0.18000000000000002</v>
      </c>
      <c r="D24" s="44">
        <f t="shared" si="0"/>
        <v>9.0000000000000011E-3</v>
      </c>
      <c r="E24" s="44">
        <f t="shared" si="1"/>
        <v>3.0150000000000006E-4</v>
      </c>
      <c r="F24" s="40">
        <f>IF(A24&gt;$F$10,0,IF((Params!$C$21+GiaDinh_K3!$D$8*Params!$C$5*C24)&gt;=0,(Params!$C$21+GiaDinh_K3!$D$8*Params!$C$5*C24)*'Tính chọn'!$D$23/Params!$C$16,(Params!$C$21+GiaDinh_K3!$D$8*Params!$C$5*C24)*'Tính chọn'!$D$23*Params!$C$16)+Catalogue!$F$15*C24/'Tính chọn'!$D$23)</f>
        <v>5.096345817276168</v>
      </c>
      <c r="G24" s="40">
        <f>IF(A24&gt;$F$10,0,IF(('Tính chọn'!$D$6+GiaDinh_K3!$D$8*Params!$C$6*C24)&gt;=0,('Tính chọn'!$D$6+GiaDinh_K3!$D$8*Params!$C$6*C24)*'Tính chọn'!$D$23/Params!$C$16,('Tính chọn'!$D$6+GiaDinh_K3!$D$8*Params!$C$6*C24)*'Tính chọn'!$D$23*Params!$C$16)+Catalogue!$F$15*C24/'Tính chọn'!$D$23)</f>
        <v>1.2263211938694476</v>
      </c>
      <c r="H24" s="43">
        <f>F24*D24/'Tính chọn'!$D$23</f>
        <v>56.999977866408962</v>
      </c>
    </row>
    <row r="25" spans="1:8" x14ac:dyDescent="0.2">
      <c r="A25" s="39">
        <f>11*$B$5</f>
        <v>0.11</v>
      </c>
      <c r="B25" s="40">
        <f>IF(A25&lt;$F$4,GiaDinh_K3!$D$12,IF(A25&lt;$F$5,0,IF(A25&lt;$F$6,-GiaDinh_K3!$D$12,IF(A25&lt;$F$7,0,IF(A25&lt;$F$8,-GiaDinh_K3!$D$12,IF(A25&lt;$F$9,0,IF(A25&lt;$F$10,GiaDinh_K3!$D$12,0)))))))</f>
        <v>1.8</v>
      </c>
      <c r="C25" s="41">
        <f>IF(A25&lt;$F$4,GiaDinh_K3!$D$12*A25,IF(A25&lt;$F$5,GiaDinh_K3!$D$11,IF(A25&lt;$F$6,GiaDinh_K3!$D$11-GiaDinh_K3!$D$12*(A25-$F$5),IF(A25&lt;$F$7,0,IF(A25&lt;$F$8,-GiaDinh_K3!$D$12*(A25-$F$7),IF(A25&lt;$F$9,-GiaDinh_K3!$D$11,IF(A25&lt;$F$10,-GiaDinh_K3!$D$11+GiaDinh_K3!$D$12*(A25-$F$9),0)))))))</f>
        <v>0.19800000000000001</v>
      </c>
      <c r="D25" s="44">
        <f t="shared" si="0"/>
        <v>1.089E-2</v>
      </c>
      <c r="E25" s="44">
        <f t="shared" si="1"/>
        <v>4.0095000000000007E-4</v>
      </c>
      <c r="F25" s="40">
        <f>IF(A25&gt;$F$10,0,IF((Params!$C$21+GiaDinh_K3!$D$8*Params!$C$5*C25)&gt;=0,(Params!$C$21+GiaDinh_K3!$D$8*Params!$C$5*C25)*'Tính chọn'!$D$23/Params!$C$16,(Params!$C$21+GiaDinh_K3!$D$8*Params!$C$5*C25)*'Tính chọn'!$D$23*Params!$C$16)+Catalogue!$F$15*C25/'Tính chọn'!$D$23)</f>
        <v>5.4185774441949786</v>
      </c>
      <c r="G25" s="40">
        <f>IF(A25&gt;$F$10,0,IF(('Tính chọn'!$D$6+GiaDinh_K3!$D$8*Params!$C$6*C25)&gt;=0,('Tính chọn'!$D$6+GiaDinh_K3!$D$8*Params!$C$6*C25)*'Tính chọn'!$D$23/Params!$C$16,('Tính chọn'!$D$6+GiaDinh_K3!$D$8*Params!$C$6*C25)*'Tính chọn'!$D$23*Params!$C$16)+Catalogue!$F$15*C25/'Tính chọn'!$D$23)</f>
        <v>1.3223506191660102</v>
      </c>
      <c r="H25" s="43">
        <f>F25*D25/'Tính chọn'!$D$23</f>
        <v>73.330804974190315</v>
      </c>
    </row>
    <row r="26" spans="1:8" x14ac:dyDescent="0.2">
      <c r="A26" s="39">
        <f>12*$B$5</f>
        <v>0.12</v>
      </c>
      <c r="B26" s="40">
        <f>IF(A26&lt;$F$4,GiaDinh_K3!$D$12,IF(A26&lt;$F$5,0,IF(A26&lt;$F$6,-GiaDinh_K3!$D$12,IF(A26&lt;$F$7,0,IF(A26&lt;$F$8,-GiaDinh_K3!$D$12,IF(A26&lt;$F$9,0,IF(A26&lt;$F$10,GiaDinh_K3!$D$12,0)))))))</f>
        <v>1.8</v>
      </c>
      <c r="C26" s="41">
        <f>IF(A26&lt;$F$4,GiaDinh_K3!$D$12*A26,IF(A26&lt;$F$5,GiaDinh_K3!$D$11,IF(A26&lt;$F$6,GiaDinh_K3!$D$11-GiaDinh_K3!$D$12*(A26-$F$5),IF(A26&lt;$F$7,0,IF(A26&lt;$F$8,-GiaDinh_K3!$D$12*(A26-$F$7),IF(A26&lt;$F$9,-GiaDinh_K3!$D$11,IF(A26&lt;$F$10,-GiaDinh_K3!$D$11+GiaDinh_K3!$D$12*(A26-$F$9),0)))))))</f>
        <v>0.216</v>
      </c>
      <c r="D26" s="44">
        <f t="shared" si="0"/>
        <v>1.2960000000000001E-2</v>
      </c>
      <c r="E26" s="44">
        <f t="shared" si="1"/>
        <v>5.2020000000000007E-4</v>
      </c>
      <c r="F26" s="40">
        <f>IF(A26&gt;$F$10,0,IF((Params!$C$21+GiaDinh_K3!$D$8*Params!$C$5*C26)&gt;=0,(Params!$C$21+GiaDinh_K3!$D$8*Params!$C$5*C26)*'Tính chọn'!$D$23/Params!$C$16,(Params!$C$21+GiaDinh_K3!$D$8*Params!$C$5*C26)*'Tính chọn'!$D$23*Params!$C$16)+Catalogue!$F$15*C26/'Tính chọn'!$D$23)</f>
        <v>5.7408090711137891</v>
      </c>
      <c r="G26" s="40">
        <f>IF(A26&gt;$F$10,0,IF(('Tính chọn'!$D$6+GiaDinh_K3!$D$8*Params!$C$6*C26)&gt;=0,('Tính chọn'!$D$6+GiaDinh_K3!$D$8*Params!$C$6*C26)*'Tính chọn'!$D$23/Params!$C$16,('Tính chọn'!$D$6+GiaDinh_K3!$D$8*Params!$C$6*C26)*'Tính chọn'!$D$23*Params!$C$16)+Catalogue!$F$15*C26/'Tính chọn'!$D$23)</f>
        <v>1.4183800444625723</v>
      </c>
      <c r="H26" s="43">
        <f>F26*D26/'Tính chọn'!$D$23</f>
        <v>92.459468505154689</v>
      </c>
    </row>
    <row r="27" spans="1:8" x14ac:dyDescent="0.2">
      <c r="A27" s="39">
        <f>13*$B$5</f>
        <v>0.13</v>
      </c>
      <c r="B27" s="40">
        <f>IF(A27&lt;$F$4,GiaDinh_K3!$D$12,IF(A27&lt;$F$5,0,IF(A27&lt;$F$6,-GiaDinh_K3!$D$12,IF(A27&lt;$F$7,0,IF(A27&lt;$F$8,-GiaDinh_K3!$D$12,IF(A27&lt;$F$9,0,IF(A27&lt;$F$10,GiaDinh_K3!$D$12,0)))))))</f>
        <v>1.8</v>
      </c>
      <c r="C27" s="41">
        <f>IF(A27&lt;$F$4,GiaDinh_K3!$D$12*A27,IF(A27&lt;$F$5,GiaDinh_K3!$D$11,IF(A27&lt;$F$6,GiaDinh_K3!$D$11-GiaDinh_K3!$D$12*(A27-$F$5),IF(A27&lt;$F$7,0,IF(A27&lt;$F$8,-GiaDinh_K3!$D$12*(A27-$F$7),IF(A27&lt;$F$9,-GiaDinh_K3!$D$11,IF(A27&lt;$F$10,-GiaDinh_K3!$D$11+GiaDinh_K3!$D$12*(A27-$F$9),0)))))))</f>
        <v>0.23400000000000001</v>
      </c>
      <c r="D27" s="44">
        <f t="shared" si="0"/>
        <v>1.5210000000000001E-2</v>
      </c>
      <c r="E27" s="44">
        <f t="shared" si="1"/>
        <v>6.6105000000000005E-4</v>
      </c>
      <c r="F27" s="40">
        <f>IF(A27&gt;$F$10,0,IF((Params!$C$21+GiaDinh_K3!$D$8*Params!$C$5*C27)&gt;=0,(Params!$C$21+GiaDinh_K3!$D$8*Params!$C$5*C27)*'Tính chọn'!$D$23/Params!$C$16,(Params!$C$21+GiaDinh_K3!$D$8*Params!$C$5*C27)*'Tính chọn'!$D$23*Params!$C$16)+Catalogue!$F$15*C27/'Tính chọn'!$D$23)</f>
        <v>6.0630406980325997</v>
      </c>
      <c r="G27" s="40">
        <f>IF(A27&gt;$F$10,0,IF(('Tính chọn'!$D$6+GiaDinh_K3!$D$8*Params!$C$6*C27)&gt;=0,('Tính chọn'!$D$6+GiaDinh_K3!$D$8*Params!$C$6*C27)*'Tính chọn'!$D$23/Params!$C$16,('Tính chọn'!$D$6+GiaDinh_K3!$D$8*Params!$C$6*C27)*'Tính chọn'!$D$23*Params!$C$16)+Catalogue!$F$15*C27/'Tính chọn'!$D$23)</f>
        <v>1.5144094697591348</v>
      </c>
      <c r="H27" s="43">
        <f>F27*D27/'Tính chọn'!$D$23</f>
        <v>114.60220805050049</v>
      </c>
    </row>
    <row r="28" spans="1:8" x14ac:dyDescent="0.2">
      <c r="A28" s="39">
        <f>14*$B$5</f>
        <v>0.14000000000000001</v>
      </c>
      <c r="B28" s="40">
        <f>IF(A28&lt;$F$4,GiaDinh_K3!$D$12,IF(A28&lt;$F$5,0,IF(A28&lt;$F$6,-GiaDinh_K3!$D$12,IF(A28&lt;$F$7,0,IF(A28&lt;$F$8,-GiaDinh_K3!$D$12,IF(A28&lt;$F$9,0,IF(A28&lt;$F$10,GiaDinh_K3!$D$12,0)))))))</f>
        <v>1.8</v>
      </c>
      <c r="C28" s="41">
        <f>IF(A28&lt;$F$4,GiaDinh_K3!$D$12*A28,IF(A28&lt;$F$5,GiaDinh_K3!$D$11,IF(A28&lt;$F$6,GiaDinh_K3!$D$11-GiaDinh_K3!$D$12*(A28-$F$5),IF(A28&lt;$F$7,0,IF(A28&lt;$F$8,-GiaDinh_K3!$D$12*(A28-$F$7),IF(A28&lt;$F$9,-GiaDinh_K3!$D$11,IF(A28&lt;$F$10,-GiaDinh_K3!$D$11+GiaDinh_K3!$D$12*(A28-$F$9),0)))))))</f>
        <v>0.25200000000000006</v>
      </c>
      <c r="D28" s="44">
        <f t="shared" si="0"/>
        <v>1.7640000000000003E-2</v>
      </c>
      <c r="E28" s="44">
        <f t="shared" si="1"/>
        <v>8.2530000000000006E-4</v>
      </c>
      <c r="F28" s="40">
        <f>IF(A28&gt;$F$10,0,IF((Params!$C$21+GiaDinh_K3!$D$8*Params!$C$5*C28)&gt;=0,(Params!$C$21+GiaDinh_K3!$D$8*Params!$C$5*C28)*'Tính chọn'!$D$23/Params!$C$16,(Params!$C$21+GiaDinh_K3!$D$8*Params!$C$5*C28)*'Tính chọn'!$D$23*Params!$C$16)+Catalogue!$F$15*C28/'Tính chọn'!$D$23)</f>
        <v>6.3852723249514103</v>
      </c>
      <c r="G28" s="40">
        <f>IF(A28&gt;$F$10,0,IF(('Tính chọn'!$D$6+GiaDinh_K3!$D$8*Params!$C$6*C28)&gt;=0,('Tính chọn'!$D$6+GiaDinh_K3!$D$8*Params!$C$6*C28)*'Tính chọn'!$D$23/Params!$C$16,('Tính chọn'!$D$6+GiaDinh_K3!$D$8*Params!$C$6*C28)*'Tính chọn'!$D$23*Params!$C$16)+Catalogue!$F$15*C28/'Tính chọn'!$D$23)</f>
        <v>1.6104388950556974</v>
      </c>
      <c r="H28" s="43">
        <f>F28*D28/'Tính chọn'!$D$23</f>
        <v>139.97526320142623</v>
      </c>
    </row>
    <row r="29" spans="1:8" x14ac:dyDescent="0.2">
      <c r="A29" s="39">
        <f>15*$B$5</f>
        <v>0.15</v>
      </c>
      <c r="B29" s="40">
        <f>IF(A29&lt;$F$4,GiaDinh_K3!$D$12,IF(A29&lt;$F$5,0,IF(A29&lt;$F$6,-GiaDinh_K3!$D$12,IF(A29&lt;$F$7,0,IF(A29&lt;$F$8,-GiaDinh_K3!$D$12,IF(A29&lt;$F$9,0,IF(A29&lt;$F$10,GiaDinh_K3!$D$12,0)))))))</f>
        <v>1.8</v>
      </c>
      <c r="C29" s="41">
        <f>IF(A29&lt;$F$4,GiaDinh_K3!$D$12*A29,IF(A29&lt;$F$5,GiaDinh_K3!$D$11,IF(A29&lt;$F$6,GiaDinh_K3!$D$11-GiaDinh_K3!$D$12*(A29-$F$5),IF(A29&lt;$F$7,0,IF(A29&lt;$F$8,-GiaDinh_K3!$D$12*(A29-$F$7),IF(A29&lt;$F$9,-GiaDinh_K3!$D$11,IF(A29&lt;$F$10,-GiaDinh_K3!$D$11+GiaDinh_K3!$D$12*(A29-$F$9),0)))))))</f>
        <v>0.27</v>
      </c>
      <c r="D29" s="44">
        <f t="shared" si="0"/>
        <v>2.0250000000000004E-2</v>
      </c>
      <c r="E29" s="44">
        <f t="shared" si="1"/>
        <v>1.01475E-3</v>
      </c>
      <c r="F29" s="40">
        <f>IF(A29&gt;$F$10,0,IF((Params!$C$21+GiaDinh_K3!$D$8*Params!$C$5*C29)&gt;=0,(Params!$C$21+GiaDinh_K3!$D$8*Params!$C$5*C29)*'Tính chọn'!$D$23/Params!$C$16,(Params!$C$21+GiaDinh_K3!$D$8*Params!$C$5*C29)*'Tính chọn'!$D$23*Params!$C$16)+Catalogue!$F$15*C29/'Tính chọn'!$D$23)</f>
        <v>6.70750395187022</v>
      </c>
      <c r="G29" s="40">
        <f>IF(A29&gt;$F$10,0,IF(('Tính chọn'!$D$6+GiaDinh_K3!$D$8*Params!$C$6*C29)&gt;=0,('Tính chọn'!$D$6+GiaDinh_K3!$D$8*Params!$C$6*C29)*'Tính chọn'!$D$23/Params!$C$16,('Tính chọn'!$D$6+GiaDinh_K3!$D$8*Params!$C$6*C29)*'Tính chọn'!$D$23*Params!$C$16)+Catalogue!$F$15*C29/'Tính chọn'!$D$23)</f>
        <v>1.7064683203522595</v>
      </c>
      <c r="H29" s="43">
        <f>F29*D29/'Tính chọn'!$D$23</f>
        <v>168.79487354913027</v>
      </c>
    </row>
    <row r="30" spans="1:8" x14ac:dyDescent="0.2">
      <c r="A30" s="39">
        <f>16*$B$5</f>
        <v>0.16</v>
      </c>
      <c r="B30" s="40">
        <f>IF(A30&lt;$F$4,GiaDinh_K3!$D$12,IF(A30&lt;$F$5,0,IF(A30&lt;$F$6,-GiaDinh_K3!$D$12,IF(A30&lt;$F$7,0,IF(A30&lt;$F$8,-GiaDinh_K3!$D$12,IF(A30&lt;$F$9,0,IF(A30&lt;$F$10,GiaDinh_K3!$D$12,0)))))))</f>
        <v>1.8</v>
      </c>
      <c r="C30" s="41">
        <f>IF(A30&lt;$F$4,GiaDinh_K3!$D$12*A30,IF(A30&lt;$F$5,GiaDinh_K3!$D$11,IF(A30&lt;$F$6,GiaDinh_K3!$D$11-GiaDinh_K3!$D$12*(A30-$F$5),IF(A30&lt;$F$7,0,IF(A30&lt;$F$8,-GiaDinh_K3!$D$12*(A30-$F$7),IF(A30&lt;$F$9,-GiaDinh_K3!$D$11,IF(A30&lt;$F$10,-GiaDinh_K3!$D$11+GiaDinh_K3!$D$12*(A30-$F$9),0)))))))</f>
        <v>0.28800000000000003</v>
      </c>
      <c r="D30" s="44">
        <f t="shared" si="0"/>
        <v>2.3040000000000005E-2</v>
      </c>
      <c r="E30" s="44">
        <f t="shared" si="1"/>
        <v>1.2312E-3</v>
      </c>
      <c r="F30" s="40">
        <f>IF(A30&gt;$F$10,0,IF((Params!$C$21+GiaDinh_K3!$D$8*Params!$C$5*C30)&gt;=0,(Params!$C$21+GiaDinh_K3!$D$8*Params!$C$5*C30)*'Tính chọn'!$D$23/Params!$C$16,(Params!$C$21+GiaDinh_K3!$D$8*Params!$C$5*C30)*'Tính chọn'!$D$23*Params!$C$16)+Catalogue!$F$15*C30/'Tính chọn'!$D$23)</f>
        <v>7.0297355787890305</v>
      </c>
      <c r="G30" s="40">
        <f>IF(A30&gt;$F$10,0,IF(('Tính chọn'!$D$6+GiaDinh_K3!$D$8*Params!$C$6*C30)&gt;=0,('Tính chọn'!$D$6+GiaDinh_K3!$D$8*Params!$C$6*C30)*'Tính chọn'!$D$23/Params!$C$16,('Tính chọn'!$D$6+GiaDinh_K3!$D$8*Params!$C$6*C30)*'Tính chọn'!$D$23*Params!$C$16)+Catalogue!$F$15*C30/'Tính chọn'!$D$23)</f>
        <v>1.802497745648822</v>
      </c>
      <c r="H30" s="43">
        <f>F30*D30/'Tính chọn'!$D$23</f>
        <v>201.27727868481114</v>
      </c>
    </row>
    <row r="31" spans="1:8" x14ac:dyDescent="0.2">
      <c r="A31" s="39">
        <f>17*$B$5</f>
        <v>0.17</v>
      </c>
      <c r="B31" s="40">
        <f>IF(A31&lt;$F$4,GiaDinh_K3!$D$12,IF(A31&lt;$F$5,0,IF(A31&lt;$F$6,-GiaDinh_K3!$D$12,IF(A31&lt;$F$7,0,IF(A31&lt;$F$8,-GiaDinh_K3!$D$12,IF(A31&lt;$F$9,0,IF(A31&lt;$F$10,GiaDinh_K3!$D$12,0)))))))</f>
        <v>1.8</v>
      </c>
      <c r="C31" s="41">
        <f>IF(A31&lt;$F$4,GiaDinh_K3!$D$12*A31,IF(A31&lt;$F$5,GiaDinh_K3!$D$11,IF(A31&lt;$F$6,GiaDinh_K3!$D$11-GiaDinh_K3!$D$12*(A31-$F$5),IF(A31&lt;$F$7,0,IF(A31&lt;$F$8,-GiaDinh_K3!$D$12*(A31-$F$7),IF(A31&lt;$F$9,-GiaDinh_K3!$D$11,IF(A31&lt;$F$10,-GiaDinh_K3!$D$11+GiaDinh_K3!$D$12*(A31-$F$9),0)))))))</f>
        <v>0.30600000000000005</v>
      </c>
      <c r="D31" s="44">
        <f t="shared" si="0"/>
        <v>2.6010000000000005E-2</v>
      </c>
      <c r="E31" s="44">
        <f t="shared" si="1"/>
        <v>1.47645E-3</v>
      </c>
      <c r="F31" s="40">
        <f>IF(A31&gt;$F$10,0,IF((Params!$C$21+GiaDinh_K3!$D$8*Params!$C$5*C31)&gt;=0,(Params!$C$21+GiaDinh_K3!$D$8*Params!$C$5*C31)*'Tính chọn'!$D$23/Params!$C$16,(Params!$C$21+GiaDinh_K3!$D$8*Params!$C$5*C31)*'Tính chọn'!$D$23*Params!$C$16)+Catalogue!$F$15*C31/'Tính chọn'!$D$23)</f>
        <v>7.3519672057078411</v>
      </c>
      <c r="G31" s="40">
        <f>IF(A31&gt;$F$10,0,IF(('Tính chọn'!$D$6+GiaDinh_K3!$D$8*Params!$C$6*C31)&gt;=0,('Tính chọn'!$D$6+GiaDinh_K3!$D$8*Params!$C$6*C31)*'Tính chọn'!$D$23/Params!$C$16,('Tính chọn'!$D$6+GiaDinh_K3!$D$8*Params!$C$6*C31)*'Tính chọn'!$D$23*Params!$C$16)+Catalogue!$F$15*C31/'Tính chọn'!$D$23)</f>
        <v>1.8985271709453846</v>
      </c>
      <c r="H31" s="43">
        <f>F31*D31/'Tính chọn'!$D$23</f>
        <v>237.63871819966727</v>
      </c>
    </row>
    <row r="32" spans="1:8" x14ac:dyDescent="0.2">
      <c r="A32" s="39">
        <f>18*$B$5</f>
        <v>0.18</v>
      </c>
      <c r="B32" s="40">
        <f>IF(A32&lt;$F$4,GiaDinh_K3!$D$12,IF(A32&lt;$F$5,0,IF(A32&lt;$F$6,-GiaDinh_K3!$D$12,IF(A32&lt;$F$7,0,IF(A32&lt;$F$8,-GiaDinh_K3!$D$12,IF(A32&lt;$F$9,0,IF(A32&lt;$F$10,GiaDinh_K3!$D$12,0)))))))</f>
        <v>1.8</v>
      </c>
      <c r="C32" s="41">
        <f>IF(A32&lt;$F$4,GiaDinh_K3!$D$12*A32,IF(A32&lt;$F$5,GiaDinh_K3!$D$11,IF(A32&lt;$F$6,GiaDinh_K3!$D$11-GiaDinh_K3!$D$12*(A32-$F$5),IF(A32&lt;$F$7,0,IF(A32&lt;$F$8,-GiaDinh_K3!$D$12*(A32-$F$7),IF(A32&lt;$F$9,-GiaDinh_K3!$D$11,IF(A32&lt;$F$10,-GiaDinh_K3!$D$11+GiaDinh_K3!$D$12*(A32-$F$9),0)))))))</f>
        <v>0.32400000000000001</v>
      </c>
      <c r="D32" s="44">
        <f t="shared" si="0"/>
        <v>2.9160000000000005E-2</v>
      </c>
      <c r="E32" s="44">
        <f t="shared" si="1"/>
        <v>1.7523E-3</v>
      </c>
      <c r="F32" s="40">
        <f>IF(A32&gt;$F$10,0,IF((Params!$C$21+GiaDinh_K3!$D$8*Params!$C$5*C32)&gt;=0,(Params!$C$21+GiaDinh_K3!$D$8*Params!$C$5*C32)*'Tính chọn'!$D$23/Params!$C$16,(Params!$C$21+GiaDinh_K3!$D$8*Params!$C$5*C32)*'Tính chọn'!$D$23*Params!$C$16)+Catalogue!$F$15*C32/'Tính chọn'!$D$23)</f>
        <v>7.6741988326266508</v>
      </c>
      <c r="G32" s="40">
        <f>IF(A32&gt;$F$10,0,IF(('Tính chọn'!$D$6+GiaDinh_K3!$D$8*Params!$C$6*C32)&gt;=0,('Tính chọn'!$D$6+GiaDinh_K3!$D$8*Params!$C$6*C32)*'Tính chọn'!$D$23/Params!$C$16,('Tính chọn'!$D$6+GiaDinh_K3!$D$8*Params!$C$6*C32)*'Tính chọn'!$D$23*Params!$C$16)+Catalogue!$F$15*C32/'Tính chọn'!$D$23)</f>
        <v>1.9945565962419465</v>
      </c>
      <c r="H32" s="43">
        <f>F32*D32/'Tính chọn'!$D$23</f>
        <v>278.09543168489711</v>
      </c>
    </row>
    <row r="33" spans="1:8" x14ac:dyDescent="0.2">
      <c r="A33" s="39">
        <f>19*$B$5</f>
        <v>0.19</v>
      </c>
      <c r="B33" s="40">
        <f>IF(A33&lt;$F$4,GiaDinh_K3!$D$12,IF(A33&lt;$F$5,0,IF(A33&lt;$F$6,-GiaDinh_K3!$D$12,IF(A33&lt;$F$7,0,IF(A33&lt;$F$8,-GiaDinh_K3!$D$12,IF(A33&lt;$F$9,0,IF(A33&lt;$F$10,GiaDinh_K3!$D$12,0)))))))</f>
        <v>1.8</v>
      </c>
      <c r="C33" s="41">
        <f>IF(A33&lt;$F$4,GiaDinh_K3!$D$12*A33,IF(A33&lt;$F$5,GiaDinh_K3!$D$11,IF(A33&lt;$F$6,GiaDinh_K3!$D$11-GiaDinh_K3!$D$12*(A33-$F$5),IF(A33&lt;$F$7,0,IF(A33&lt;$F$8,-GiaDinh_K3!$D$12*(A33-$F$7),IF(A33&lt;$F$9,-GiaDinh_K3!$D$11,IF(A33&lt;$F$10,-GiaDinh_K3!$D$11+GiaDinh_K3!$D$12*(A33-$F$9),0)))))))</f>
        <v>0.34200000000000003</v>
      </c>
      <c r="D33" s="44">
        <f t="shared" si="0"/>
        <v>3.2490000000000005E-2</v>
      </c>
      <c r="E33" s="44">
        <f t="shared" si="1"/>
        <v>2.06055E-3</v>
      </c>
      <c r="F33" s="40">
        <f>IF(A33&gt;$F$10,0,IF((Params!$C$21+GiaDinh_K3!$D$8*Params!$C$5*C33)&gt;=0,(Params!$C$21+GiaDinh_K3!$D$8*Params!$C$5*C33)*'Tính chọn'!$D$23/Params!$C$16,(Params!$C$21+GiaDinh_K3!$D$8*Params!$C$5*C33)*'Tính chọn'!$D$23*Params!$C$16)+Catalogue!$F$15*C33/'Tính chọn'!$D$23)</f>
        <v>7.9964304595454614</v>
      </c>
      <c r="G33" s="40">
        <f>IF(A33&gt;$F$10,0,IF(('Tính chọn'!$D$6+GiaDinh_K3!$D$8*Params!$C$6*C33)&gt;=0,('Tính chọn'!$D$6+GiaDinh_K3!$D$8*Params!$C$6*C33)*'Tính chọn'!$D$23/Params!$C$16,('Tính chọn'!$D$6+GiaDinh_K3!$D$8*Params!$C$6*C33)*'Tính chọn'!$D$23*Params!$C$16)+Catalogue!$F$15*C33/'Tính chọn'!$D$23)</f>
        <v>2.0905860215385088</v>
      </c>
      <c r="H33" s="43">
        <f>F33*D33/'Tính chọn'!$D$23</f>
        <v>322.8636587316991</v>
      </c>
    </row>
    <row r="34" spans="1:8" x14ac:dyDescent="0.2">
      <c r="A34" s="39">
        <f>20*$B$5</f>
        <v>0.2</v>
      </c>
      <c r="B34" s="40">
        <f>IF(A34&lt;$F$4,GiaDinh_K3!$D$12,IF(A34&lt;$F$5,0,IF(A34&lt;$F$6,-GiaDinh_K3!$D$12,IF(A34&lt;$F$7,0,IF(A34&lt;$F$8,-GiaDinh_K3!$D$12,IF(A34&lt;$F$9,0,IF(A34&lt;$F$10,GiaDinh_K3!$D$12,0)))))))</f>
        <v>1.8</v>
      </c>
      <c r="C34" s="41">
        <f>IF(A34&lt;$F$4,GiaDinh_K3!$D$12*A34,IF(A34&lt;$F$5,GiaDinh_K3!$D$11,IF(A34&lt;$F$6,GiaDinh_K3!$D$11-GiaDinh_K3!$D$12*(A34-$F$5),IF(A34&lt;$F$7,0,IF(A34&lt;$F$8,-GiaDinh_K3!$D$12*(A34-$F$7),IF(A34&lt;$F$9,-GiaDinh_K3!$D$11,IF(A34&lt;$F$10,-GiaDinh_K3!$D$11+GiaDinh_K3!$D$12*(A34-$F$9),0)))))))</f>
        <v>0.36000000000000004</v>
      </c>
      <c r="D34" s="44">
        <f t="shared" si="0"/>
        <v>3.6000000000000004E-2</v>
      </c>
      <c r="E34" s="44">
        <f t="shared" si="1"/>
        <v>2.4030000000000002E-3</v>
      </c>
      <c r="F34" s="40">
        <f>IF(A34&gt;$F$10,0,IF((Params!$C$21+GiaDinh_K3!$D$8*Params!$C$5*C34)&gt;=0,(Params!$C$21+GiaDinh_K3!$D$8*Params!$C$5*C34)*'Tính chọn'!$D$23/Params!$C$16,(Params!$C$21+GiaDinh_K3!$D$8*Params!$C$5*C34)*'Tính chọn'!$D$23*Params!$C$16)+Catalogue!$F$15*C34/'Tính chọn'!$D$23)</f>
        <v>8.318662086464272</v>
      </c>
      <c r="G34" s="40">
        <f>IF(A34&gt;$F$10,0,IF(('Tính chọn'!$D$6+GiaDinh_K3!$D$8*Params!$C$6*C34)&gt;=0,('Tính chọn'!$D$6+GiaDinh_K3!$D$8*Params!$C$6*C34)*'Tính chọn'!$D$23/Params!$C$16,('Tính chọn'!$D$6+GiaDinh_K3!$D$8*Params!$C$6*C34)*'Tính chọn'!$D$23*Params!$C$16)+Catalogue!$F$15*C34/'Tính chọn'!$D$23)</f>
        <v>2.1866154468350714</v>
      </c>
      <c r="H34" s="43">
        <f>F34*D34/'Tính chọn'!$D$23</f>
        <v>372.15963893127167</v>
      </c>
    </row>
    <row r="35" spans="1:8" x14ac:dyDescent="0.2">
      <c r="A35" s="39">
        <f>21*$B$5</f>
        <v>0.21</v>
      </c>
      <c r="B35" s="40">
        <f>IF(A35&lt;$F$4,GiaDinh_K3!$D$12,IF(A35&lt;$F$5,0,IF(A35&lt;$F$6,-GiaDinh_K3!$D$12,IF(A35&lt;$F$7,0,IF(A35&lt;$F$8,-GiaDinh_K3!$D$12,IF(A35&lt;$F$9,0,IF(A35&lt;$F$10,GiaDinh_K3!$D$12,0)))))))</f>
        <v>1.8</v>
      </c>
      <c r="C35" s="41">
        <f>IF(A35&lt;$F$4,GiaDinh_K3!$D$12*A35,IF(A35&lt;$F$5,GiaDinh_K3!$D$11,IF(A35&lt;$F$6,GiaDinh_K3!$D$11-GiaDinh_K3!$D$12*(A35-$F$5),IF(A35&lt;$F$7,0,IF(A35&lt;$F$8,-GiaDinh_K3!$D$12*(A35-$F$7),IF(A35&lt;$F$9,-GiaDinh_K3!$D$11,IF(A35&lt;$F$10,-GiaDinh_K3!$D$11+GiaDinh_K3!$D$12*(A35-$F$9),0)))))))</f>
        <v>0.378</v>
      </c>
      <c r="D35" s="44">
        <f t="shared" si="0"/>
        <v>3.9690000000000003E-2</v>
      </c>
      <c r="E35" s="44">
        <f t="shared" si="1"/>
        <v>2.7814500000000004E-3</v>
      </c>
      <c r="F35" s="40">
        <f>IF(A35&gt;$F$10,0,IF((Params!$C$21+GiaDinh_K3!$D$8*Params!$C$5*C35)&gt;=0,(Params!$C$21+GiaDinh_K3!$D$8*Params!$C$5*C35)*'Tính chọn'!$D$23/Params!$C$16,(Params!$C$21+GiaDinh_K3!$D$8*Params!$C$5*C35)*'Tính chọn'!$D$23*Params!$C$16)+Catalogue!$F$15*C35/'Tính chọn'!$D$23)</f>
        <v>8.6408937133830825</v>
      </c>
      <c r="G35" s="40">
        <f>IF(A35&gt;$F$10,0,IF(('Tính chọn'!$D$6+GiaDinh_K3!$D$8*Params!$C$6*C35)&gt;=0,('Tính chọn'!$D$6+GiaDinh_K3!$D$8*Params!$C$6*C35)*'Tính chọn'!$D$23/Params!$C$16,('Tính chọn'!$D$6+GiaDinh_K3!$D$8*Params!$C$6*C35)*'Tính chọn'!$D$23*Params!$C$16)+Catalogue!$F$15*C35/'Tính chọn'!$D$23)</f>
        <v>2.2826448721316339</v>
      </c>
      <c r="H35" s="43">
        <f>F35*D35/'Tính chọn'!$D$23</f>
        <v>426.19961187481346</v>
      </c>
    </row>
    <row r="36" spans="1:8" x14ac:dyDescent="0.2">
      <c r="A36" s="39">
        <f>22*$B$5</f>
        <v>0.22</v>
      </c>
      <c r="B36" s="40">
        <f>IF(A36&lt;$F$4,GiaDinh_K3!$D$12,IF(A36&lt;$F$5,0,IF(A36&lt;$F$6,-GiaDinh_K3!$D$12,IF(A36&lt;$F$7,0,IF(A36&lt;$F$8,-GiaDinh_K3!$D$12,IF(A36&lt;$F$9,0,IF(A36&lt;$F$10,GiaDinh_K3!$D$12,0)))))))</f>
        <v>1.8</v>
      </c>
      <c r="C36" s="41">
        <f>IF(A36&lt;$F$4,GiaDinh_K3!$D$12*A36,IF(A36&lt;$F$5,GiaDinh_K3!$D$11,IF(A36&lt;$F$6,GiaDinh_K3!$D$11-GiaDinh_K3!$D$12*(A36-$F$5),IF(A36&lt;$F$7,0,IF(A36&lt;$F$8,-GiaDinh_K3!$D$12*(A36-$F$7),IF(A36&lt;$F$9,-GiaDinh_K3!$D$11,IF(A36&lt;$F$10,-GiaDinh_K3!$D$11+GiaDinh_K3!$D$12*(A36-$F$9),0)))))))</f>
        <v>0.39600000000000002</v>
      </c>
      <c r="D36" s="44">
        <f t="shared" si="0"/>
        <v>4.3560000000000001E-2</v>
      </c>
      <c r="E36" s="44">
        <f t="shared" si="1"/>
        <v>3.1977000000000004E-3</v>
      </c>
      <c r="F36" s="40">
        <f>IF(A36&gt;$F$10,0,IF((Params!$C$21+GiaDinh_K3!$D$8*Params!$C$5*C36)&gt;=0,(Params!$C$21+GiaDinh_K3!$D$8*Params!$C$5*C36)*'Tính chọn'!$D$23/Params!$C$16,(Params!$C$21+GiaDinh_K3!$D$8*Params!$C$5*C36)*'Tính chọn'!$D$23*Params!$C$16)+Catalogue!$F$15*C36/'Tính chọn'!$D$23)</f>
        <v>8.9631253403018931</v>
      </c>
      <c r="G36" s="40">
        <f>IF(A36&gt;$F$10,0,IF(('Tính chọn'!$D$6+GiaDinh_K3!$D$8*Params!$C$6*C36)&gt;=0,('Tính chọn'!$D$6+GiaDinh_K3!$D$8*Params!$C$6*C36)*'Tính chọn'!$D$23/Params!$C$16,('Tính chọn'!$D$6+GiaDinh_K3!$D$8*Params!$C$6*C36)*'Tính chọn'!$D$23*Params!$C$16)+Catalogue!$F$15*C36/'Tính chọn'!$D$23)</f>
        <v>2.378674297428196</v>
      </c>
      <c r="H36" s="43">
        <f>F36*D36/'Tính chọn'!$D$23</f>
        <v>485.19981715352259</v>
      </c>
    </row>
    <row r="37" spans="1:8" x14ac:dyDescent="0.2">
      <c r="A37" s="39">
        <f>23*$B$5</f>
        <v>0.23</v>
      </c>
      <c r="B37" s="40">
        <f>IF(A37&lt;$F$4,GiaDinh_K3!$D$12,IF(A37&lt;$F$5,0,IF(A37&lt;$F$6,-GiaDinh_K3!$D$12,IF(A37&lt;$F$7,0,IF(A37&lt;$F$8,-GiaDinh_K3!$D$12,IF(A37&lt;$F$9,0,IF(A37&lt;$F$10,GiaDinh_K3!$D$12,0)))))))</f>
        <v>1.8</v>
      </c>
      <c r="C37" s="41">
        <f>IF(A37&lt;$F$4,GiaDinh_K3!$D$12*A37,IF(A37&lt;$F$5,GiaDinh_K3!$D$11,IF(A37&lt;$F$6,GiaDinh_K3!$D$11-GiaDinh_K3!$D$12*(A37-$F$5),IF(A37&lt;$F$7,0,IF(A37&lt;$F$8,-GiaDinh_K3!$D$12*(A37-$F$7),IF(A37&lt;$F$9,-GiaDinh_K3!$D$11,IF(A37&lt;$F$10,-GiaDinh_K3!$D$11+GiaDinh_K3!$D$12*(A37-$F$9),0)))))))</f>
        <v>0.41400000000000003</v>
      </c>
      <c r="D37" s="44">
        <f t="shared" si="0"/>
        <v>4.761E-2</v>
      </c>
      <c r="E37" s="44">
        <f t="shared" si="1"/>
        <v>3.6535500000000002E-3</v>
      </c>
      <c r="F37" s="40">
        <f>IF(A37&gt;$F$10,0,IF((Params!$C$21+GiaDinh_K3!$D$8*Params!$C$5*C37)&gt;=0,(Params!$C$21+GiaDinh_K3!$D$8*Params!$C$5*C37)*'Tính chọn'!$D$23/Params!$C$16,(Params!$C$21+GiaDinh_K3!$D$8*Params!$C$5*C37)*'Tính chọn'!$D$23*Params!$C$16)+Catalogue!$F$15*C37/'Tính chọn'!$D$23)</f>
        <v>9.2853569672207037</v>
      </c>
      <c r="G37" s="40">
        <f>IF(A37&gt;$F$10,0,IF(('Tính chọn'!$D$6+GiaDinh_K3!$D$8*Params!$C$6*C37)&gt;=0,('Tính chọn'!$D$6+GiaDinh_K3!$D$8*Params!$C$6*C37)*'Tính chọn'!$D$23/Params!$C$16,('Tính chọn'!$D$6+GiaDinh_K3!$D$8*Params!$C$6*C37)*'Tính chọn'!$D$23*Params!$C$16)+Catalogue!$F$15*C37/'Tính chọn'!$D$23)</f>
        <v>2.4747037227247586</v>
      </c>
      <c r="H37" s="43">
        <f>F37*D37/'Tính chọn'!$D$23</f>
        <v>549.37649435859782</v>
      </c>
    </row>
    <row r="38" spans="1:8" x14ac:dyDescent="0.2">
      <c r="A38" s="39">
        <f>24*$B$5</f>
        <v>0.24</v>
      </c>
      <c r="B38" s="40">
        <f>IF(A38&lt;$F$4,GiaDinh_K3!$D$12,IF(A38&lt;$F$5,0,IF(A38&lt;$F$6,-GiaDinh_K3!$D$12,IF(A38&lt;$F$7,0,IF(A38&lt;$F$8,-GiaDinh_K3!$D$12,IF(A38&lt;$F$9,0,IF(A38&lt;$F$10,GiaDinh_K3!$D$12,0)))))))</f>
        <v>1.8</v>
      </c>
      <c r="C38" s="41">
        <f>IF(A38&lt;$F$4,GiaDinh_K3!$D$12*A38,IF(A38&lt;$F$5,GiaDinh_K3!$D$11,IF(A38&lt;$F$6,GiaDinh_K3!$D$11-GiaDinh_K3!$D$12*(A38-$F$5),IF(A38&lt;$F$7,0,IF(A38&lt;$F$8,-GiaDinh_K3!$D$12*(A38-$F$7),IF(A38&lt;$F$9,-GiaDinh_K3!$D$11,IF(A38&lt;$F$10,-GiaDinh_K3!$D$11+GiaDinh_K3!$D$12*(A38-$F$9),0)))))))</f>
        <v>0.432</v>
      </c>
      <c r="D38" s="44">
        <f t="shared" si="0"/>
        <v>5.1839999999999997E-2</v>
      </c>
      <c r="E38" s="44">
        <f t="shared" si="1"/>
        <v>4.1508000000000005E-3</v>
      </c>
      <c r="F38" s="40">
        <f>IF(A38&gt;$F$10,0,IF((Params!$C$21+GiaDinh_K3!$D$8*Params!$C$5*C38)&gt;=0,(Params!$C$21+GiaDinh_K3!$D$8*Params!$C$5*C38)*'Tính chọn'!$D$23/Params!$C$16,(Params!$C$21+GiaDinh_K3!$D$8*Params!$C$5*C38)*'Tính chọn'!$D$23*Params!$C$16)+Catalogue!$F$15*C38/'Tính chọn'!$D$23)</f>
        <v>9.6075885941395143</v>
      </c>
      <c r="G38" s="40">
        <f>IF(A38&gt;$F$10,0,IF(('Tính chọn'!$D$6+GiaDinh_K3!$D$8*Params!$C$6*C38)&gt;=0,('Tính chọn'!$D$6+GiaDinh_K3!$D$8*Params!$C$6*C38)*'Tính chọn'!$D$23/Params!$C$16,('Tính chọn'!$D$6+GiaDinh_K3!$D$8*Params!$C$6*C38)*'Tính chọn'!$D$23*Params!$C$16)+Catalogue!$F$15*C38/'Tính chọn'!$D$23)</f>
        <v>2.5707331480213211</v>
      </c>
      <c r="H38" s="43">
        <f>F38*D38/'Tính chọn'!$D$23</f>
        <v>618.94588308123753</v>
      </c>
    </row>
    <row r="39" spans="1:8" x14ac:dyDescent="0.2">
      <c r="A39" s="39">
        <f>25*$B$5</f>
        <v>0.25</v>
      </c>
      <c r="B39" s="40">
        <f>IF(A39&lt;$F$4,GiaDinh_K3!$D$12,IF(A39&lt;$F$5,0,IF(A39&lt;$F$6,-GiaDinh_K3!$D$12,IF(A39&lt;$F$7,0,IF(A39&lt;$F$8,-GiaDinh_K3!$D$12,IF(A39&lt;$F$9,0,IF(A39&lt;$F$10,GiaDinh_K3!$D$12,0)))))))</f>
        <v>0</v>
      </c>
      <c r="C39" s="41">
        <f>IF(A39&lt;$F$4,GiaDinh_K3!$D$12*A39,IF(A39&lt;$F$5,GiaDinh_K3!$D$11,IF(A39&lt;$F$6,GiaDinh_K3!$D$11-GiaDinh_K3!$D$12*(A39-$F$5),IF(A39&lt;$F$7,0,IF(A39&lt;$F$8,-GiaDinh_K3!$D$12*(A39-$F$7),IF(A39&lt;$F$9,-GiaDinh_K3!$D$11,IF(A39&lt;$F$10,-GiaDinh_K3!$D$11+GiaDinh_K3!$D$12*(A39-$F$9),0)))))))</f>
        <v>0.45</v>
      </c>
      <c r="D39" s="44">
        <f t="shared" si="0"/>
        <v>5.6249999999999994E-2</v>
      </c>
      <c r="E39" s="44">
        <f t="shared" si="1"/>
        <v>4.6912500000000001E-3</v>
      </c>
      <c r="F39" s="40">
        <f>IF(A39&gt;$F$10,0,IF((Params!$C$21+GiaDinh_K3!$D$8*Params!$C$5*C39)&gt;=0,(Params!$C$21+GiaDinh_K3!$D$8*Params!$C$5*C39)*'Tính chọn'!$D$23/Params!$C$16,(Params!$C$21+GiaDinh_K3!$D$8*Params!$C$5*C39)*'Tính chọn'!$D$23*Params!$C$16)+Catalogue!$F$15*C39/'Tính chọn'!$D$23)</f>
        <v>9.9298202210583248</v>
      </c>
      <c r="G39" s="40">
        <f>IF(A39&gt;$F$10,0,IF(('Tính chọn'!$D$6+GiaDinh_K3!$D$8*Params!$C$6*C39)&gt;=0,('Tính chọn'!$D$6+GiaDinh_K3!$D$8*Params!$C$6*C39)*'Tính chọn'!$D$23/Params!$C$16,('Tính chọn'!$D$6+GiaDinh_K3!$D$8*Params!$C$6*C39)*'Tính chọn'!$D$23*Params!$C$16)+Catalogue!$F$15*C39/'Tính chọn'!$D$23)</f>
        <v>2.6667625733178832</v>
      </c>
      <c r="H39" s="43">
        <f>F39*D39/'Tính chọn'!$D$23</f>
        <v>694.12422291263999</v>
      </c>
    </row>
    <row r="40" spans="1:8" x14ac:dyDescent="0.2">
      <c r="A40" s="39">
        <f>26*$B$5</f>
        <v>0.26</v>
      </c>
      <c r="B40" s="40">
        <f>IF(A40&lt;$F$4,GiaDinh_K3!$D$12,IF(A40&lt;$F$5,0,IF(A40&lt;$F$6,-GiaDinh_K3!$D$12,IF(A40&lt;$F$7,0,IF(A40&lt;$F$8,-GiaDinh_K3!$D$12,IF(A40&lt;$F$9,0,IF(A40&lt;$F$10,GiaDinh_K3!$D$12,0)))))))</f>
        <v>0</v>
      </c>
      <c r="C40" s="41">
        <f>IF(A40&lt;$F$4,GiaDinh_K3!$D$12*A40,IF(A40&lt;$F$5,GiaDinh_K3!$D$11,IF(A40&lt;$F$6,GiaDinh_K3!$D$11-GiaDinh_K3!$D$12*(A40-$F$5),IF(A40&lt;$F$7,0,IF(A40&lt;$F$8,-GiaDinh_K3!$D$12*(A40-$F$7),IF(A40&lt;$F$9,-GiaDinh_K3!$D$11,IF(A40&lt;$F$10,-GiaDinh_K3!$D$11+GiaDinh_K3!$D$12*(A40-$F$9),0)))))))</f>
        <v>0.45</v>
      </c>
      <c r="D40" s="44">
        <f t="shared" si="0"/>
        <v>6.0749999999999998E-2</v>
      </c>
      <c r="E40" s="44">
        <f t="shared" si="1"/>
        <v>5.2762499999999997E-3</v>
      </c>
      <c r="F40" s="40">
        <f>IF(A40&gt;$F$10,0,IF((Params!$C$21+GiaDinh_K3!$D$8*Params!$C$5*C40)&gt;=0,(Params!$C$21+GiaDinh_K3!$D$8*Params!$C$5*C40)*'Tính chọn'!$D$23/Params!$C$16,(Params!$C$21+GiaDinh_K3!$D$8*Params!$C$5*C40)*'Tính chọn'!$D$23*Params!$C$16)+Catalogue!$F$15*C40/'Tính chọn'!$D$23)</f>
        <v>9.9298202210583248</v>
      </c>
      <c r="G40" s="40">
        <f>IF(A40&gt;$F$10,0,IF(('Tính chọn'!$D$6+GiaDinh_K3!$D$8*Params!$C$6*C40)&gt;=0,('Tính chọn'!$D$6+GiaDinh_K3!$D$8*Params!$C$6*C40)*'Tính chọn'!$D$23/Params!$C$16,('Tính chọn'!$D$6+GiaDinh_K3!$D$8*Params!$C$6*C40)*'Tính chọn'!$D$23*Params!$C$16)+Catalogue!$F$15*C40/'Tính chọn'!$D$23)</f>
        <v>2.6667625733178832</v>
      </c>
      <c r="H40" s="43">
        <f>F40*D40/'Tính chọn'!$D$23</f>
        <v>749.65416074565121</v>
      </c>
    </row>
    <row r="41" spans="1:8" x14ac:dyDescent="0.2">
      <c r="A41" s="39">
        <f>27*$B$5</f>
        <v>0.27</v>
      </c>
      <c r="B41" s="40">
        <f>IF(A41&lt;$F$4,GiaDinh_K3!$D$12,IF(A41&lt;$F$5,0,IF(A41&lt;$F$6,-GiaDinh_K3!$D$12,IF(A41&lt;$F$7,0,IF(A41&lt;$F$8,-GiaDinh_K3!$D$12,IF(A41&lt;$F$9,0,IF(A41&lt;$F$10,GiaDinh_K3!$D$12,0)))))))</f>
        <v>-1.8</v>
      </c>
      <c r="C41" s="41">
        <f>IF(A41&lt;$F$4,GiaDinh_K3!$D$12*A41,IF(A41&lt;$F$5,GiaDinh_K3!$D$11,IF(A41&lt;$F$6,GiaDinh_K3!$D$11-GiaDinh_K3!$D$12*(A41-$F$5),IF(A41&lt;$F$7,0,IF(A41&lt;$F$8,-GiaDinh_K3!$D$12*(A41-$F$7),IF(A41&lt;$F$9,-GiaDinh_K3!$D$11,IF(A41&lt;$F$10,-GiaDinh_K3!$D$11+GiaDinh_K3!$D$12*(A41-$F$9),0)))))))</f>
        <v>0.44399999999999995</v>
      </c>
      <c r="D41" s="44">
        <f t="shared" si="0"/>
        <v>6.522E-2</v>
      </c>
      <c r="E41" s="44">
        <f t="shared" si="1"/>
        <v>5.9061000000000001E-3</v>
      </c>
      <c r="F41" s="40">
        <f>IF(A41&gt;$F$10,0,IF((Params!$C$21+GiaDinh_K3!$D$8*Params!$C$5*C41)&gt;=0,(Params!$C$21+GiaDinh_K3!$D$8*Params!$C$5*C41)*'Tính chọn'!$D$23/Params!$C$16,(Params!$C$21+GiaDinh_K3!$D$8*Params!$C$5*C41)*'Tính chọn'!$D$23*Params!$C$16)+Catalogue!$F$15*C41/'Tính chọn'!$D$23)</f>
        <v>9.8224096787520523</v>
      </c>
      <c r="G41" s="40">
        <f>IF(A41&gt;$F$10,0,IF(('Tính chọn'!$D$6+GiaDinh_K3!$D$8*Params!$C$6*C41)&gt;=0,('Tính chọn'!$D$6+GiaDinh_K3!$D$8*Params!$C$6*C41)*'Tính chọn'!$D$23/Params!$C$16,('Tính chọn'!$D$6+GiaDinh_K3!$D$8*Params!$C$6*C41)*'Tính chọn'!$D$23*Params!$C$16)+Catalogue!$F$15*C41/'Tính chọn'!$D$23)</f>
        <v>2.634752764885695</v>
      </c>
      <c r="H41" s="43">
        <f>F41*D41/'Tính chọn'!$D$23</f>
        <v>796.10825322893402</v>
      </c>
    </row>
    <row r="42" spans="1:8" x14ac:dyDescent="0.2">
      <c r="A42" s="39">
        <f>28*$B$5</f>
        <v>0.28000000000000003</v>
      </c>
      <c r="B42" s="40">
        <f>IF(A42&lt;$F$4,GiaDinh_K3!$D$12,IF(A42&lt;$F$5,0,IF(A42&lt;$F$6,-GiaDinh_K3!$D$12,IF(A42&lt;$F$7,0,IF(A42&lt;$F$8,-GiaDinh_K3!$D$12,IF(A42&lt;$F$9,0,IF(A42&lt;$F$10,GiaDinh_K3!$D$12,0)))))))</f>
        <v>-1.8</v>
      </c>
      <c r="C42" s="41">
        <f>IF(A42&lt;$F$4,GiaDinh_K3!$D$12*A42,IF(A42&lt;$F$5,GiaDinh_K3!$D$11,IF(A42&lt;$F$6,GiaDinh_K3!$D$11-GiaDinh_K3!$D$12*(A42-$F$5),IF(A42&lt;$F$7,0,IF(A42&lt;$F$8,-GiaDinh_K3!$D$12*(A42-$F$7),IF(A42&lt;$F$9,-GiaDinh_K3!$D$11,IF(A42&lt;$F$10,-GiaDinh_K3!$D$11+GiaDinh_K3!$D$12*(A42-$F$9),0)))))))</f>
        <v>0.42599999999999993</v>
      </c>
      <c r="D42" s="44">
        <f t="shared" si="0"/>
        <v>6.9569999999999993E-2</v>
      </c>
      <c r="E42" s="44">
        <f t="shared" si="1"/>
        <v>6.5800500000000005E-3</v>
      </c>
      <c r="F42" s="40">
        <f>IF(A42&gt;$F$10,0,IF((Params!$C$21+GiaDinh_K3!$D$8*Params!$C$5*C42)&gt;=0,(Params!$C$21+GiaDinh_K3!$D$8*Params!$C$5*C42)*'Tính chọn'!$D$23/Params!$C$16,(Params!$C$21+GiaDinh_K3!$D$8*Params!$C$5*C42)*'Tính chọn'!$D$23*Params!$C$16)+Catalogue!$F$15*C42/'Tính chọn'!$D$23)</f>
        <v>9.5001780518332417</v>
      </c>
      <c r="G42" s="40">
        <f>IF(A42&gt;$F$10,0,IF(('Tính chọn'!$D$6+GiaDinh_K3!$D$8*Params!$C$6*C42)&gt;=0,('Tính chọn'!$D$6+GiaDinh_K3!$D$8*Params!$C$6*C42)*'Tính chọn'!$D$23/Params!$C$16,('Tính chọn'!$D$6+GiaDinh_K3!$D$8*Params!$C$6*C42)*'Tính chọn'!$D$23*Params!$C$16)+Catalogue!$F$15*C42/'Tính chọn'!$D$23)</f>
        <v>2.5387233395891329</v>
      </c>
      <c r="H42" s="43">
        <f>F42*D42/'Tính chọn'!$D$23</f>
        <v>821.34768245470741</v>
      </c>
    </row>
    <row r="43" spans="1:8" x14ac:dyDescent="0.2">
      <c r="A43" s="39">
        <f>29*$B$5</f>
        <v>0.28999999999999998</v>
      </c>
      <c r="B43" s="40">
        <f>IF(A43&lt;$F$4,GiaDinh_K3!$D$12,IF(A43&lt;$F$5,0,IF(A43&lt;$F$6,-GiaDinh_K3!$D$12,IF(A43&lt;$F$7,0,IF(A43&lt;$F$8,-GiaDinh_K3!$D$12,IF(A43&lt;$F$9,0,IF(A43&lt;$F$10,GiaDinh_K3!$D$12,0)))))))</f>
        <v>-1.8</v>
      </c>
      <c r="C43" s="41">
        <f>IF(A43&lt;$F$4,GiaDinh_K3!$D$12*A43,IF(A43&lt;$F$5,GiaDinh_K3!$D$11,IF(A43&lt;$F$6,GiaDinh_K3!$D$11-GiaDinh_K3!$D$12*(A43-$F$5),IF(A43&lt;$F$7,0,IF(A43&lt;$F$8,-GiaDinh_K3!$D$12*(A43-$F$7),IF(A43&lt;$F$9,-GiaDinh_K3!$D$11,IF(A43&lt;$F$10,-GiaDinh_K3!$D$11+GiaDinh_K3!$D$12*(A43-$F$9),0)))))))</f>
        <v>0.40800000000000003</v>
      </c>
      <c r="D43" s="44">
        <f t="shared" si="0"/>
        <v>7.374E-2</v>
      </c>
      <c r="E43" s="44">
        <f t="shared" si="1"/>
        <v>7.2966000000000003E-3</v>
      </c>
      <c r="F43" s="40">
        <f>IF(A43&gt;$F$10,0,IF((Params!$C$21+GiaDinh_K3!$D$8*Params!$C$5*C43)&gt;=0,(Params!$C$21+GiaDinh_K3!$D$8*Params!$C$5*C43)*'Tính chọn'!$D$23/Params!$C$16,(Params!$C$21+GiaDinh_K3!$D$8*Params!$C$5*C43)*'Tính chọn'!$D$23*Params!$C$16)+Catalogue!$F$15*C43/'Tính chọn'!$D$23)</f>
        <v>9.1779464249144329</v>
      </c>
      <c r="G43" s="40">
        <f>IF(A43&gt;$F$10,0,IF(('Tính chọn'!$D$6+GiaDinh_K3!$D$8*Params!$C$6*C43)&gt;=0,('Tính chọn'!$D$6+GiaDinh_K3!$D$8*Params!$C$6*C43)*'Tính chọn'!$D$23/Params!$C$16,('Tính chọn'!$D$6+GiaDinh_K3!$D$8*Params!$C$6*C43)*'Tính chọn'!$D$23*Params!$C$16)+Catalogue!$F$15*C43/'Tính chọn'!$D$23)</f>
        <v>2.4426939142925717</v>
      </c>
      <c r="H43" s="43">
        <f>F43*D43/'Tính chọn'!$D$23</f>
        <v>841.05024043545097</v>
      </c>
    </row>
    <row r="44" spans="1:8" x14ac:dyDescent="0.2">
      <c r="A44" s="39">
        <f>30*$B$5</f>
        <v>0.3</v>
      </c>
      <c r="B44" s="40">
        <f>IF(A44&lt;$F$4,GiaDinh_K3!$D$12,IF(A44&lt;$F$5,0,IF(A44&lt;$F$6,-GiaDinh_K3!$D$12,IF(A44&lt;$F$7,0,IF(A44&lt;$F$8,-GiaDinh_K3!$D$12,IF(A44&lt;$F$9,0,IF(A44&lt;$F$10,GiaDinh_K3!$D$12,0)))))))</f>
        <v>-1.8</v>
      </c>
      <c r="C44" s="41">
        <f>IF(A44&lt;$F$4,GiaDinh_K3!$D$12*A44,IF(A44&lt;$F$5,GiaDinh_K3!$D$11,IF(A44&lt;$F$6,GiaDinh_K3!$D$11-GiaDinh_K3!$D$12*(A44-$F$5),IF(A44&lt;$F$7,0,IF(A44&lt;$F$8,-GiaDinh_K3!$D$12*(A44-$F$7),IF(A44&lt;$F$9,-GiaDinh_K3!$D$11,IF(A44&lt;$F$10,-GiaDinh_K3!$D$11+GiaDinh_K3!$D$12*(A44-$F$9),0)))))))</f>
        <v>0.39</v>
      </c>
      <c r="D44" s="44">
        <f t="shared" si="0"/>
        <v>7.7729999999999994E-2</v>
      </c>
      <c r="E44" s="44">
        <f t="shared" si="1"/>
        <v>8.0539500000000007E-3</v>
      </c>
      <c r="F44" s="40">
        <f>IF(A44&gt;$F$10,0,IF((Params!$C$21+GiaDinh_K3!$D$8*Params!$C$5*C44)&gt;=0,(Params!$C$21+GiaDinh_K3!$D$8*Params!$C$5*C44)*'Tính chọn'!$D$23/Params!$C$16,(Params!$C$21+GiaDinh_K3!$D$8*Params!$C$5*C44)*'Tính chọn'!$D$23*Params!$C$16)+Catalogue!$F$15*C44/'Tính chọn'!$D$23)</f>
        <v>8.8557147979956223</v>
      </c>
      <c r="G44" s="40">
        <f>IF(A44&gt;$F$10,0,IF(('Tính chọn'!$D$6+GiaDinh_K3!$D$8*Params!$C$6*C44)&gt;=0,('Tính chọn'!$D$6+GiaDinh_K3!$D$8*Params!$C$6*C44)*'Tính chọn'!$D$23/Params!$C$16,('Tính chọn'!$D$6+GiaDinh_K3!$D$8*Params!$C$6*C44)*'Tính chọn'!$D$23*Params!$C$16)+Catalogue!$F$15*C44/'Tính chọn'!$D$23)</f>
        <v>2.3466644889960087</v>
      </c>
      <c r="H44" s="43">
        <f>F44*D44/'Tính chọn'!$D$23</f>
        <v>855.43216676236273</v>
      </c>
    </row>
    <row r="45" spans="1:8" x14ac:dyDescent="0.2">
      <c r="A45" s="39">
        <f>31*$B$5</f>
        <v>0.31</v>
      </c>
      <c r="B45" s="40">
        <f>IF(A45&lt;$F$4,GiaDinh_K3!$D$12,IF(A45&lt;$F$5,0,IF(A45&lt;$F$6,-GiaDinh_K3!$D$12,IF(A45&lt;$F$7,0,IF(A45&lt;$F$8,-GiaDinh_K3!$D$12,IF(A45&lt;$F$9,0,IF(A45&lt;$F$10,GiaDinh_K3!$D$12,0)))))))</f>
        <v>-1.8</v>
      </c>
      <c r="C45" s="41">
        <f>IF(A45&lt;$F$4,GiaDinh_K3!$D$12*A45,IF(A45&lt;$F$5,GiaDinh_K3!$D$11,IF(A45&lt;$F$6,GiaDinh_K3!$D$11-GiaDinh_K3!$D$12*(A45-$F$5),IF(A45&lt;$F$7,0,IF(A45&lt;$F$8,-GiaDinh_K3!$D$12*(A45-$F$7),IF(A45&lt;$F$9,-GiaDinh_K3!$D$11,IF(A45&lt;$F$10,-GiaDinh_K3!$D$11+GiaDinh_K3!$D$12*(A45-$F$9),0)))))))</f>
        <v>0.372</v>
      </c>
      <c r="D45" s="44">
        <f t="shared" si="0"/>
        <v>8.1539999999999987E-2</v>
      </c>
      <c r="E45" s="44">
        <f t="shared" si="1"/>
        <v>8.8503000000000002E-3</v>
      </c>
      <c r="F45" s="40">
        <f>IF(A45&gt;$F$10,0,IF((Params!$C$21+GiaDinh_K3!$D$8*Params!$C$5*C45)&gt;=0,(Params!$C$21+GiaDinh_K3!$D$8*Params!$C$5*C45)*'Tính chọn'!$D$23/Params!$C$16,(Params!$C$21+GiaDinh_K3!$D$8*Params!$C$5*C45)*'Tính chọn'!$D$23*Params!$C$16)+Catalogue!$F$15*C45/'Tính chọn'!$D$23)</f>
        <v>8.5334831710768118</v>
      </c>
      <c r="G45" s="40">
        <f>IF(A45&gt;$F$10,0,IF(('Tính chọn'!$D$6+GiaDinh_K3!$D$8*Params!$C$6*C45)&gt;=0,('Tính chọn'!$D$6+GiaDinh_K3!$D$8*Params!$C$6*C45)*'Tính chọn'!$D$23/Params!$C$16,('Tính chọn'!$D$6+GiaDinh_K3!$D$8*Params!$C$6*C45)*'Tính chọn'!$D$23*Params!$C$16)+Catalogue!$F$15*C45/'Tính chọn'!$D$23)</f>
        <v>2.2506350636994457</v>
      </c>
      <c r="H45" s="43">
        <f>F45*D45/'Tính chọn'!$D$23</f>
        <v>864.70970102664114</v>
      </c>
    </row>
    <row r="46" spans="1:8" x14ac:dyDescent="0.2">
      <c r="A46" s="39">
        <f>32*$B$5</f>
        <v>0.32</v>
      </c>
      <c r="B46" s="40">
        <f>IF(A46&lt;$F$4,GiaDinh_K3!$D$12,IF(A46&lt;$F$5,0,IF(A46&lt;$F$6,-GiaDinh_K3!$D$12,IF(A46&lt;$F$7,0,IF(A46&lt;$F$8,-GiaDinh_K3!$D$12,IF(A46&lt;$F$9,0,IF(A46&lt;$F$10,GiaDinh_K3!$D$12,0)))))))</f>
        <v>-1.8</v>
      </c>
      <c r="C46" s="41">
        <f>IF(A46&lt;$F$4,GiaDinh_K3!$D$12*A46,IF(A46&lt;$F$5,GiaDinh_K3!$D$11,IF(A46&lt;$F$6,GiaDinh_K3!$D$11-GiaDinh_K3!$D$12*(A46-$F$5),IF(A46&lt;$F$7,0,IF(A46&lt;$F$8,-GiaDinh_K3!$D$12*(A46-$F$7),IF(A46&lt;$F$9,-GiaDinh_K3!$D$11,IF(A46&lt;$F$10,-GiaDinh_K3!$D$11+GiaDinh_K3!$D$12*(A46-$F$9),0)))))))</f>
        <v>0.35399999999999998</v>
      </c>
      <c r="D46" s="44">
        <f t="shared" si="0"/>
        <v>8.5169999999999982E-2</v>
      </c>
      <c r="E46" s="44">
        <f t="shared" si="1"/>
        <v>9.6838500000000008E-3</v>
      </c>
      <c r="F46" s="40">
        <f>IF(A46&gt;$F$10,0,IF((Params!$C$21+GiaDinh_K3!$D$8*Params!$C$5*C46)&gt;=0,(Params!$C$21+GiaDinh_K3!$D$8*Params!$C$5*C46)*'Tính chọn'!$D$23/Params!$C$16,(Params!$C$21+GiaDinh_K3!$D$8*Params!$C$5*C46)*'Tính chọn'!$D$23*Params!$C$16)+Catalogue!$F$15*C46/'Tính chọn'!$D$23)</f>
        <v>8.2112515441580012</v>
      </c>
      <c r="G46" s="40">
        <f>IF(A46&gt;$F$10,0,IF(('Tính chọn'!$D$6+GiaDinh_K3!$D$8*Params!$C$6*C46)&gt;=0,('Tính chọn'!$D$6+GiaDinh_K3!$D$8*Params!$C$6*C46)*'Tính chọn'!$D$23/Params!$C$16,('Tính chọn'!$D$6+GiaDinh_K3!$D$8*Params!$C$6*C46)*'Tính chọn'!$D$23*Params!$C$16)+Catalogue!$F$15*C46/'Tính chọn'!$D$23)</f>
        <v>2.1546056384028835</v>
      </c>
      <c r="H46" s="43">
        <f>F46*D46/'Tính chọn'!$D$23</f>
        <v>869.09908281948492</v>
      </c>
    </row>
    <row r="47" spans="1:8" x14ac:dyDescent="0.2">
      <c r="A47" s="39">
        <f>33*$B$5</f>
        <v>0.33</v>
      </c>
      <c r="B47" s="40">
        <f>IF(A47&lt;$F$4,GiaDinh_K3!$D$12,IF(A47&lt;$F$5,0,IF(A47&lt;$F$6,-GiaDinh_K3!$D$12,IF(A47&lt;$F$7,0,IF(A47&lt;$F$8,-GiaDinh_K3!$D$12,IF(A47&lt;$F$9,0,IF(A47&lt;$F$10,GiaDinh_K3!$D$12,0)))))))</f>
        <v>-1.8</v>
      </c>
      <c r="C47" s="41">
        <f>IF(A47&lt;$F$4,GiaDinh_K3!$D$12*A47,IF(A47&lt;$F$5,GiaDinh_K3!$D$11,IF(A47&lt;$F$6,GiaDinh_K3!$D$11-GiaDinh_K3!$D$12*(A47-$F$5),IF(A47&lt;$F$7,0,IF(A47&lt;$F$8,-GiaDinh_K3!$D$12*(A47-$F$7),IF(A47&lt;$F$9,-GiaDinh_K3!$D$11,IF(A47&lt;$F$10,-GiaDinh_K3!$D$11+GiaDinh_K3!$D$12*(A47-$F$9),0)))))))</f>
        <v>0.33599999999999997</v>
      </c>
      <c r="D47" s="44">
        <f t="shared" si="0"/>
        <v>8.8619999999999977E-2</v>
      </c>
      <c r="E47" s="44">
        <f t="shared" si="1"/>
        <v>1.0552800000000001E-2</v>
      </c>
      <c r="F47" s="40">
        <f>IF(A47&gt;$F$10,0,IF((Params!$C$21+GiaDinh_K3!$D$8*Params!$C$5*C47)&gt;=0,(Params!$C$21+GiaDinh_K3!$D$8*Params!$C$5*C47)*'Tính chọn'!$D$23/Params!$C$16,(Params!$C$21+GiaDinh_K3!$D$8*Params!$C$5*C47)*'Tính chọn'!$D$23*Params!$C$16)+Catalogue!$F$15*C47/'Tính chọn'!$D$23)</f>
        <v>7.8890199172391906</v>
      </c>
      <c r="G47" s="40">
        <f>IF(A47&gt;$F$10,0,IF(('Tính chọn'!$D$6+GiaDinh_K3!$D$8*Params!$C$6*C47)&gt;=0,('Tính chọn'!$D$6+GiaDinh_K3!$D$8*Params!$C$6*C47)*'Tính chọn'!$D$23/Params!$C$16,('Tính chọn'!$D$6+GiaDinh_K3!$D$8*Params!$C$6*C47)*'Tính chọn'!$D$23*Params!$C$16)+Catalogue!$F$15*C47/'Tính chọn'!$D$23)</f>
        <v>2.0585762131063214</v>
      </c>
      <c r="H47" s="43">
        <f>F47*D47/'Tính chọn'!$D$23</f>
        <v>868.81655173209253</v>
      </c>
    </row>
    <row r="48" spans="1:8" x14ac:dyDescent="0.2">
      <c r="A48" s="39">
        <f>34*$B$5</f>
        <v>0.34</v>
      </c>
      <c r="B48" s="40">
        <f>IF(A48&lt;$F$4,GiaDinh_K3!$D$12,IF(A48&lt;$F$5,0,IF(A48&lt;$F$6,-GiaDinh_K3!$D$12,IF(A48&lt;$F$7,0,IF(A48&lt;$F$8,-GiaDinh_K3!$D$12,IF(A48&lt;$F$9,0,IF(A48&lt;$F$10,GiaDinh_K3!$D$12,0)))))))</f>
        <v>-1.8</v>
      </c>
      <c r="C48" s="41">
        <f>IF(A48&lt;$F$4,GiaDinh_K3!$D$12*A48,IF(A48&lt;$F$5,GiaDinh_K3!$D$11,IF(A48&lt;$F$6,GiaDinh_K3!$D$11-GiaDinh_K3!$D$12*(A48-$F$5),IF(A48&lt;$F$7,0,IF(A48&lt;$F$8,-GiaDinh_K3!$D$12*(A48-$F$7),IF(A48&lt;$F$9,-GiaDinh_K3!$D$11,IF(A48&lt;$F$10,-GiaDinh_K3!$D$11+GiaDinh_K3!$D$12*(A48-$F$9),0)))))))</f>
        <v>0.31799999999999995</v>
      </c>
      <c r="D48" s="44">
        <f t="shared" si="0"/>
        <v>9.1889999999999972E-2</v>
      </c>
      <c r="E48" s="44">
        <f t="shared" si="1"/>
        <v>1.1455350000000001E-2</v>
      </c>
      <c r="F48" s="40">
        <f>IF(A48&gt;$F$10,0,IF((Params!$C$21+GiaDinh_K3!$D$8*Params!$C$5*C48)&gt;=0,(Params!$C$21+GiaDinh_K3!$D$8*Params!$C$5*C48)*'Tính chọn'!$D$23/Params!$C$16,(Params!$C$21+GiaDinh_K3!$D$8*Params!$C$5*C48)*'Tính chọn'!$D$23*Params!$C$16)+Catalogue!$F$15*C48/'Tính chọn'!$D$23)</f>
        <v>7.56678829032038</v>
      </c>
      <c r="G48" s="40">
        <f>IF(A48&gt;$F$10,0,IF(('Tính chọn'!$D$6+GiaDinh_K3!$D$8*Params!$C$6*C48)&gt;=0,('Tính chọn'!$D$6+GiaDinh_K3!$D$8*Params!$C$6*C48)*'Tính chọn'!$D$23/Params!$C$16,('Tính chọn'!$D$6+GiaDinh_K3!$D$8*Params!$C$6*C48)*'Tính chọn'!$D$23*Params!$C$16)+Catalogue!$F$15*C48/'Tính chọn'!$D$23)</f>
        <v>1.9625467878097589</v>
      </c>
      <c r="H48" s="43">
        <f>F48*D48/'Tính chọn'!$D$23</f>
        <v>864.07834735566223</v>
      </c>
    </row>
    <row r="49" spans="1:8" x14ac:dyDescent="0.2">
      <c r="A49" s="39">
        <f>35*$B$5</f>
        <v>0.35000000000000003</v>
      </c>
      <c r="B49" s="40">
        <f>IF(A49&lt;$F$4,GiaDinh_K3!$D$12,IF(A49&lt;$F$5,0,IF(A49&lt;$F$6,-GiaDinh_K3!$D$12,IF(A49&lt;$F$7,0,IF(A49&lt;$F$8,-GiaDinh_K3!$D$12,IF(A49&lt;$F$9,0,IF(A49&lt;$F$10,GiaDinh_K3!$D$12,0)))))))</f>
        <v>-1.8</v>
      </c>
      <c r="C49" s="41">
        <f>IF(A49&lt;$F$4,GiaDinh_K3!$D$12*A49,IF(A49&lt;$F$5,GiaDinh_K3!$D$11,IF(A49&lt;$F$6,GiaDinh_K3!$D$11-GiaDinh_K3!$D$12*(A49-$F$5),IF(A49&lt;$F$7,0,IF(A49&lt;$F$8,-GiaDinh_K3!$D$12*(A49-$F$7),IF(A49&lt;$F$9,-GiaDinh_K3!$D$11,IF(A49&lt;$F$10,-GiaDinh_K3!$D$11+GiaDinh_K3!$D$12*(A49-$F$9),0)))))))</f>
        <v>0.29999999999999993</v>
      </c>
      <c r="D49" s="44">
        <f t="shared" si="0"/>
        <v>9.4979999999999967E-2</v>
      </c>
      <c r="E49" s="44">
        <f t="shared" si="1"/>
        <v>1.23897E-2</v>
      </c>
      <c r="F49" s="40">
        <f>IF(A49&gt;$F$10,0,IF((Params!$C$21+GiaDinh_K3!$D$8*Params!$C$5*C49)&gt;=0,(Params!$C$21+GiaDinh_K3!$D$8*Params!$C$5*C49)*'Tính chọn'!$D$23/Params!$C$16,(Params!$C$21+GiaDinh_K3!$D$8*Params!$C$5*C49)*'Tính chọn'!$D$23*Params!$C$16)+Catalogue!$F$15*C49/'Tính chọn'!$D$23)</f>
        <v>7.2445566634015695</v>
      </c>
      <c r="G49" s="40">
        <f>IF(A49&gt;$F$10,0,IF(('Tính chọn'!$D$6+GiaDinh_K3!$D$8*Params!$C$6*C49)&gt;=0,('Tính chọn'!$D$6+GiaDinh_K3!$D$8*Params!$C$6*C49)*'Tính chọn'!$D$23/Params!$C$16,('Tính chọn'!$D$6+GiaDinh_K3!$D$8*Params!$C$6*C49)*'Tính chọn'!$D$23*Params!$C$16)+Catalogue!$F$15*C49/'Tính chọn'!$D$23)</f>
        <v>1.8665173625131963</v>
      </c>
      <c r="H49" s="43">
        <f>F49*D49/'Tính chọn'!$D$23</f>
        <v>855.1007092813926</v>
      </c>
    </row>
    <row r="50" spans="1:8" x14ac:dyDescent="0.2">
      <c r="A50" s="39">
        <f>36*$B$5</f>
        <v>0.36</v>
      </c>
      <c r="B50" s="40">
        <f>IF(A50&lt;$F$4,GiaDinh_K3!$D$12,IF(A50&lt;$F$5,0,IF(A50&lt;$F$6,-GiaDinh_K3!$D$12,IF(A50&lt;$F$7,0,IF(A50&lt;$F$8,-GiaDinh_K3!$D$12,IF(A50&lt;$F$9,0,IF(A50&lt;$F$10,GiaDinh_K3!$D$12,0)))))))</f>
        <v>-1.8</v>
      </c>
      <c r="C50" s="41">
        <f>IF(A50&lt;$F$4,GiaDinh_K3!$D$12*A50,IF(A50&lt;$F$5,GiaDinh_K3!$D$11,IF(A50&lt;$F$6,GiaDinh_K3!$D$11-GiaDinh_K3!$D$12*(A50-$F$5),IF(A50&lt;$F$7,0,IF(A50&lt;$F$8,-GiaDinh_K3!$D$12*(A50-$F$7),IF(A50&lt;$F$9,-GiaDinh_K3!$D$11,IF(A50&lt;$F$10,-GiaDinh_K3!$D$11+GiaDinh_K3!$D$12*(A50-$F$9),0)))))))</f>
        <v>0.28200000000000003</v>
      </c>
      <c r="D50" s="44">
        <f t="shared" si="0"/>
        <v>9.7889999999999963E-2</v>
      </c>
      <c r="E50" s="44">
        <f t="shared" si="1"/>
        <v>1.3354049999999999E-2</v>
      </c>
      <c r="F50" s="40">
        <f>IF(A50&gt;$F$10,0,IF((Params!$C$21+GiaDinh_K3!$D$8*Params!$C$5*C50)&gt;=0,(Params!$C$21+GiaDinh_K3!$D$8*Params!$C$5*C50)*'Tính chọn'!$D$23/Params!$C$16,(Params!$C$21+GiaDinh_K3!$D$8*Params!$C$5*C50)*'Tính chọn'!$D$23*Params!$C$16)+Catalogue!$F$15*C50/'Tính chọn'!$D$23)</f>
        <v>6.9223250364827607</v>
      </c>
      <c r="G50" s="40">
        <f>IF(A50&gt;$F$10,0,IF(('Tính chọn'!$D$6+GiaDinh_K3!$D$8*Params!$C$6*C50)&gt;=0,('Tính chọn'!$D$6+GiaDinh_K3!$D$8*Params!$C$6*C50)*'Tính chọn'!$D$23/Params!$C$16,('Tính chọn'!$D$6+GiaDinh_K3!$D$8*Params!$C$6*C50)*'Tính chọn'!$D$23*Params!$C$16)+Catalogue!$F$15*C50/'Tính chọn'!$D$23)</f>
        <v>1.7704879372166347</v>
      </c>
      <c r="H50" s="43">
        <f>F50*D50/'Tính chọn'!$D$23</f>
        <v>842.09987710048244</v>
      </c>
    </row>
    <row r="51" spans="1:8" x14ac:dyDescent="0.2">
      <c r="A51" s="39">
        <f>37*$B$5</f>
        <v>0.37</v>
      </c>
      <c r="B51" s="40">
        <f>IF(A51&lt;$F$4,GiaDinh_K3!$D$12,IF(A51&lt;$F$5,0,IF(A51&lt;$F$6,-GiaDinh_K3!$D$12,IF(A51&lt;$F$7,0,IF(A51&lt;$F$8,-GiaDinh_K3!$D$12,IF(A51&lt;$F$9,0,IF(A51&lt;$F$10,GiaDinh_K3!$D$12,0)))))))</f>
        <v>-1.8</v>
      </c>
      <c r="C51" s="41">
        <f>IF(A51&lt;$F$4,GiaDinh_K3!$D$12*A51,IF(A51&lt;$F$5,GiaDinh_K3!$D$11,IF(A51&lt;$F$6,GiaDinh_K3!$D$11-GiaDinh_K3!$D$12*(A51-$F$5),IF(A51&lt;$F$7,0,IF(A51&lt;$F$8,-GiaDinh_K3!$D$12*(A51-$F$7),IF(A51&lt;$F$9,-GiaDinh_K3!$D$11,IF(A51&lt;$F$10,-GiaDinh_K3!$D$11+GiaDinh_K3!$D$12*(A51-$F$9),0)))))))</f>
        <v>0.26400000000000001</v>
      </c>
      <c r="D51" s="44">
        <f t="shared" si="0"/>
        <v>0.10061999999999996</v>
      </c>
      <c r="E51" s="44">
        <f t="shared" si="1"/>
        <v>1.4346599999999999E-2</v>
      </c>
      <c r="F51" s="40">
        <f>IF(A51&gt;$F$10,0,IF((Params!$C$21+GiaDinh_K3!$D$8*Params!$C$5*C51)&gt;=0,(Params!$C$21+GiaDinh_K3!$D$8*Params!$C$5*C51)*'Tính chọn'!$D$23/Params!$C$16,(Params!$C$21+GiaDinh_K3!$D$8*Params!$C$5*C51)*'Tính chọn'!$D$23*Params!$C$16)+Catalogue!$F$15*C51/'Tính chọn'!$D$23)</f>
        <v>6.6000934095639501</v>
      </c>
      <c r="G51" s="40">
        <f>IF(A51&gt;$F$10,0,IF(('Tính chọn'!$D$6+GiaDinh_K3!$D$8*Params!$C$6*C51)&gt;=0,('Tính chọn'!$D$6+GiaDinh_K3!$D$8*Params!$C$6*C51)*'Tính chọn'!$D$23/Params!$C$16,('Tính chọn'!$D$6+GiaDinh_K3!$D$8*Params!$C$6*C51)*'Tính chọn'!$D$23*Params!$C$16)+Catalogue!$F$15*C51/'Tính chọn'!$D$23)</f>
        <v>1.6744585119200721</v>
      </c>
      <c r="H51" s="43">
        <f>F51*D51/'Tính chọn'!$D$23</f>
        <v>825.29209040412945</v>
      </c>
    </row>
    <row r="52" spans="1:8" x14ac:dyDescent="0.2">
      <c r="A52" s="39">
        <f>38*$B$5</f>
        <v>0.38</v>
      </c>
      <c r="B52" s="40">
        <f>IF(A52&lt;$F$4,GiaDinh_K3!$D$12,IF(A52&lt;$F$5,0,IF(A52&lt;$F$6,-GiaDinh_K3!$D$12,IF(A52&lt;$F$7,0,IF(A52&lt;$F$8,-GiaDinh_K3!$D$12,IF(A52&lt;$F$9,0,IF(A52&lt;$F$10,GiaDinh_K3!$D$12,0)))))))</f>
        <v>-1.8</v>
      </c>
      <c r="C52" s="41">
        <f>IF(A52&lt;$F$4,GiaDinh_K3!$D$12*A52,IF(A52&lt;$F$5,GiaDinh_K3!$D$11,IF(A52&lt;$F$6,GiaDinh_K3!$D$11-GiaDinh_K3!$D$12*(A52-$F$5),IF(A52&lt;$F$7,0,IF(A52&lt;$F$8,-GiaDinh_K3!$D$12*(A52-$F$7),IF(A52&lt;$F$9,-GiaDinh_K3!$D$11,IF(A52&lt;$F$10,-GiaDinh_K3!$D$11+GiaDinh_K3!$D$12*(A52-$F$9),0)))))))</f>
        <v>0.246</v>
      </c>
      <c r="D52" s="44">
        <f t="shared" si="0"/>
        <v>0.10316999999999996</v>
      </c>
      <c r="E52" s="44">
        <f t="shared" si="1"/>
        <v>1.5365549999999999E-2</v>
      </c>
      <c r="F52" s="40">
        <f>IF(A52&gt;$F$10,0,IF((Params!$C$21+GiaDinh_K3!$D$8*Params!$C$5*C52)&gt;=0,(Params!$C$21+GiaDinh_K3!$D$8*Params!$C$5*C52)*'Tính chọn'!$D$23/Params!$C$16,(Params!$C$21+GiaDinh_K3!$D$8*Params!$C$5*C52)*'Tính chọn'!$D$23*Params!$C$16)+Catalogue!$F$15*C52/'Tính chọn'!$D$23)</f>
        <v>6.2778617826451395</v>
      </c>
      <c r="G52" s="40">
        <f>IF(A52&gt;$F$10,0,IF(('Tính chọn'!$D$6+GiaDinh_K3!$D$8*Params!$C$6*C52)&gt;=0,('Tính chọn'!$D$6+GiaDinh_K3!$D$8*Params!$C$6*C52)*'Tính chọn'!$D$23/Params!$C$16,('Tính chọn'!$D$6+GiaDinh_K3!$D$8*Params!$C$6*C52)*'Tính chọn'!$D$23*Params!$C$16)+Catalogue!$F$15*C52/'Tính chọn'!$D$23)</f>
        <v>1.5784290866235096</v>
      </c>
      <c r="H52" s="43">
        <f>F52*D52/'Tính chọn'!$D$23</f>
        <v>804.89358878353255</v>
      </c>
    </row>
    <row r="53" spans="1:8" x14ac:dyDescent="0.2">
      <c r="A53" s="39">
        <f>39*$B$5</f>
        <v>0.39</v>
      </c>
      <c r="B53" s="40">
        <f>IF(A53&lt;$F$4,GiaDinh_K3!$D$12,IF(A53&lt;$F$5,0,IF(A53&lt;$F$6,-GiaDinh_K3!$D$12,IF(A53&lt;$F$7,0,IF(A53&lt;$F$8,-GiaDinh_K3!$D$12,IF(A53&lt;$F$9,0,IF(A53&lt;$F$10,GiaDinh_K3!$D$12,0)))))))</f>
        <v>-1.8</v>
      </c>
      <c r="C53" s="41">
        <f>IF(A53&lt;$F$4,GiaDinh_K3!$D$12*A53,IF(A53&lt;$F$5,GiaDinh_K3!$D$11,IF(A53&lt;$F$6,GiaDinh_K3!$D$11-GiaDinh_K3!$D$12*(A53-$F$5),IF(A53&lt;$F$7,0,IF(A53&lt;$F$8,-GiaDinh_K3!$D$12*(A53-$F$7),IF(A53&lt;$F$9,-GiaDinh_K3!$D$11,IF(A53&lt;$F$10,-GiaDinh_K3!$D$11+GiaDinh_K3!$D$12*(A53-$F$9),0)))))))</f>
        <v>0.22799999999999998</v>
      </c>
      <c r="D53" s="44">
        <f t="shared" si="0"/>
        <v>0.10553999999999995</v>
      </c>
      <c r="E53" s="44">
        <f t="shared" si="1"/>
        <v>1.6409099999999999E-2</v>
      </c>
      <c r="F53" s="40">
        <f>IF(A53&gt;$F$10,0,IF((Params!$C$21+GiaDinh_K3!$D$8*Params!$C$5*C53)&gt;=0,(Params!$C$21+GiaDinh_K3!$D$8*Params!$C$5*C53)*'Tính chọn'!$D$23/Params!$C$16,(Params!$C$21+GiaDinh_K3!$D$8*Params!$C$5*C53)*'Tính chọn'!$D$23*Params!$C$16)+Catalogue!$F$15*C53/'Tính chọn'!$D$23)</f>
        <v>5.9556301557263289</v>
      </c>
      <c r="G53" s="40">
        <f>IF(A53&gt;$F$10,0,IF(('Tính chọn'!$D$6+GiaDinh_K3!$D$8*Params!$C$6*C53)&gt;=0,('Tính chọn'!$D$6+GiaDinh_K3!$D$8*Params!$C$6*C53)*'Tính chọn'!$D$23/Params!$C$16,('Tính chọn'!$D$6+GiaDinh_K3!$D$8*Params!$C$6*C53)*'Tính chọn'!$D$23*Params!$C$16)+Catalogue!$F$15*C53/'Tính chọn'!$D$23)</f>
        <v>1.482399661326947</v>
      </c>
      <c r="H53" s="43">
        <f>F53*D53/'Tính chọn'!$D$23</f>
        <v>781.12061182989021</v>
      </c>
    </row>
    <row r="54" spans="1:8" x14ac:dyDescent="0.2">
      <c r="A54" s="39">
        <f>40*$B$5</f>
        <v>0.4</v>
      </c>
      <c r="B54" s="40">
        <f>IF(A54&lt;$F$4,GiaDinh_K3!$D$12,IF(A54&lt;$F$5,0,IF(A54&lt;$F$6,-GiaDinh_K3!$D$12,IF(A54&lt;$F$7,0,IF(A54&lt;$F$8,-GiaDinh_K3!$D$12,IF(A54&lt;$F$9,0,IF(A54&lt;$F$10,GiaDinh_K3!$D$12,0)))))))</f>
        <v>-1.8</v>
      </c>
      <c r="C54" s="41">
        <f>IF(A54&lt;$F$4,GiaDinh_K3!$D$12*A54,IF(A54&lt;$F$5,GiaDinh_K3!$D$11,IF(A54&lt;$F$6,GiaDinh_K3!$D$11-GiaDinh_K3!$D$12*(A54-$F$5),IF(A54&lt;$F$7,0,IF(A54&lt;$F$8,-GiaDinh_K3!$D$12*(A54-$F$7),IF(A54&lt;$F$9,-GiaDinh_K3!$D$11,IF(A54&lt;$F$10,-GiaDinh_K3!$D$11+GiaDinh_K3!$D$12*(A54-$F$9),0)))))))</f>
        <v>0.20999999999999996</v>
      </c>
      <c r="D54" s="44">
        <f t="shared" si="0"/>
        <v>0.10772999999999995</v>
      </c>
      <c r="E54" s="44">
        <f t="shared" si="1"/>
        <v>1.747545E-2</v>
      </c>
      <c r="F54" s="40">
        <f>IF(A54&gt;$F$10,0,IF((Params!$C$21+GiaDinh_K3!$D$8*Params!$C$5*C54)&gt;=0,(Params!$C$21+GiaDinh_K3!$D$8*Params!$C$5*C54)*'Tính chọn'!$D$23/Params!$C$16,(Params!$C$21+GiaDinh_K3!$D$8*Params!$C$5*C54)*'Tính chọn'!$D$23*Params!$C$16)+Catalogue!$F$15*C54/'Tính chọn'!$D$23)</f>
        <v>5.6333985288075183</v>
      </c>
      <c r="G54" s="40">
        <f>IF(A54&gt;$F$10,0,IF(('Tính chọn'!$D$6+GiaDinh_K3!$D$8*Params!$C$6*C54)&gt;=0,('Tính chọn'!$D$6+GiaDinh_K3!$D$8*Params!$C$6*C54)*'Tính chọn'!$D$23/Params!$C$16,('Tính chọn'!$D$6+GiaDinh_K3!$D$8*Params!$C$6*C54)*'Tính chọn'!$D$23*Params!$C$16)+Catalogue!$F$15*C54/'Tính chọn'!$D$23)</f>
        <v>1.3863702360303845</v>
      </c>
      <c r="H54" s="43">
        <f>F54*D54/'Tính chọn'!$D$23</f>
        <v>754.18939913440067</v>
      </c>
    </row>
    <row r="55" spans="1:8" x14ac:dyDescent="0.2">
      <c r="A55" s="39">
        <f>41*$B$5</f>
        <v>0.41000000000000003</v>
      </c>
      <c r="B55" s="40">
        <f>IF(A55&lt;$F$4,GiaDinh_K3!$D$12,IF(A55&lt;$F$5,0,IF(A55&lt;$F$6,-GiaDinh_K3!$D$12,IF(A55&lt;$F$7,0,IF(A55&lt;$F$8,-GiaDinh_K3!$D$12,IF(A55&lt;$F$9,0,IF(A55&lt;$F$10,GiaDinh_K3!$D$12,0)))))))</f>
        <v>-1.8</v>
      </c>
      <c r="C55" s="41">
        <f>IF(A55&lt;$F$4,GiaDinh_K3!$D$12*A55,IF(A55&lt;$F$5,GiaDinh_K3!$D$11,IF(A55&lt;$F$6,GiaDinh_K3!$D$11-GiaDinh_K3!$D$12*(A55-$F$5),IF(A55&lt;$F$7,0,IF(A55&lt;$F$8,-GiaDinh_K3!$D$12*(A55-$F$7),IF(A55&lt;$F$9,-GiaDinh_K3!$D$11,IF(A55&lt;$F$10,-GiaDinh_K3!$D$11+GiaDinh_K3!$D$12*(A55-$F$9),0)))))))</f>
        <v>0.19199999999999995</v>
      </c>
      <c r="D55" s="44">
        <f t="shared" si="0"/>
        <v>0.10973999999999995</v>
      </c>
      <c r="E55" s="44">
        <f t="shared" si="1"/>
        <v>1.8562800000000001E-2</v>
      </c>
      <c r="F55" s="40">
        <f>IF(A55&gt;$F$10,0,IF((Params!$C$21+GiaDinh_K3!$D$8*Params!$C$5*C55)&gt;=0,(Params!$C$21+GiaDinh_K3!$D$8*Params!$C$5*C55)*'Tính chọn'!$D$23/Params!$C$16,(Params!$C$21+GiaDinh_K3!$D$8*Params!$C$5*C55)*'Tính chọn'!$D$23*Params!$C$16)+Catalogue!$F$15*C55/'Tính chọn'!$D$23)</f>
        <v>5.3111669018887078</v>
      </c>
      <c r="G55" s="40">
        <f>IF(A55&gt;$F$10,0,IF(('Tính chọn'!$D$6+GiaDinh_K3!$D$8*Params!$C$6*C55)&gt;=0,('Tính chọn'!$D$6+GiaDinh_K3!$D$8*Params!$C$6*C55)*'Tính chọn'!$D$23/Params!$C$16,('Tính chọn'!$D$6+GiaDinh_K3!$D$8*Params!$C$6*C55)*'Tính chọn'!$D$23*Params!$C$16)+Catalogue!$F$15*C55/'Tính chọn'!$D$23)</f>
        <v>1.2903408107338223</v>
      </c>
      <c r="H55" s="43">
        <f>F55*D55/'Tính chọn'!$D$23</f>
        <v>724.31619028826253</v>
      </c>
    </row>
    <row r="56" spans="1:8" x14ac:dyDescent="0.2">
      <c r="A56" s="39">
        <f>42*$B$5</f>
        <v>0.42</v>
      </c>
      <c r="B56" s="40">
        <f>IF(A56&lt;$F$4,GiaDinh_K3!$D$12,IF(A56&lt;$F$5,0,IF(A56&lt;$F$6,-GiaDinh_K3!$D$12,IF(A56&lt;$F$7,0,IF(A56&lt;$F$8,-GiaDinh_K3!$D$12,IF(A56&lt;$F$9,0,IF(A56&lt;$F$10,GiaDinh_K3!$D$12,0)))))))</f>
        <v>-1.8</v>
      </c>
      <c r="C56" s="41">
        <f>IF(A56&lt;$F$4,GiaDinh_K3!$D$12*A56,IF(A56&lt;$F$5,GiaDinh_K3!$D$11,IF(A56&lt;$F$6,GiaDinh_K3!$D$11-GiaDinh_K3!$D$12*(A56-$F$5),IF(A56&lt;$F$7,0,IF(A56&lt;$F$8,-GiaDinh_K3!$D$12*(A56-$F$7),IF(A56&lt;$F$9,-GiaDinh_K3!$D$11,IF(A56&lt;$F$10,-GiaDinh_K3!$D$11+GiaDinh_K3!$D$12*(A56-$F$9),0)))))))</f>
        <v>0.17400000000000004</v>
      </c>
      <c r="D56" s="44">
        <f t="shared" si="0"/>
        <v>0.11156999999999995</v>
      </c>
      <c r="E56" s="44">
        <f t="shared" si="1"/>
        <v>1.9669350000000002E-2</v>
      </c>
      <c r="F56" s="40">
        <f>IF(A56&gt;$F$10,0,IF((Params!$C$21+GiaDinh_K3!$D$8*Params!$C$5*C56)&gt;=0,(Params!$C$21+GiaDinh_K3!$D$8*Params!$C$5*C56)*'Tính chọn'!$D$23/Params!$C$16,(Params!$C$21+GiaDinh_K3!$D$8*Params!$C$5*C56)*'Tính chọn'!$D$23*Params!$C$16)+Catalogue!$F$15*C56/'Tính chọn'!$D$23)</f>
        <v>4.9889352749698999</v>
      </c>
      <c r="G56" s="40">
        <f>IF(A56&gt;$F$10,0,IF(('Tính chọn'!$D$6+GiaDinh_K3!$D$8*Params!$C$6*C56)&gt;=0,('Tính chọn'!$D$6+GiaDinh_K3!$D$8*Params!$C$6*C56)*'Tính chọn'!$D$23/Params!$C$16,('Tính chọn'!$D$6+GiaDinh_K3!$D$8*Params!$C$6*C56)*'Tính chọn'!$D$23*Params!$C$16)+Catalogue!$F$15*C56/'Tính chọn'!$D$23)</f>
        <v>1.1943113854372602</v>
      </c>
      <c r="H56" s="43">
        <f>F56*D56/'Tính chọn'!$D$23</f>
        <v>691.7172248826746</v>
      </c>
    </row>
    <row r="57" spans="1:8" x14ac:dyDescent="0.2">
      <c r="A57" s="39">
        <f>43*$B$5</f>
        <v>0.43</v>
      </c>
      <c r="B57" s="40">
        <f>IF(A57&lt;$F$4,GiaDinh_K3!$D$12,IF(A57&lt;$F$5,0,IF(A57&lt;$F$6,-GiaDinh_K3!$D$12,IF(A57&lt;$F$7,0,IF(A57&lt;$F$8,-GiaDinh_K3!$D$12,IF(A57&lt;$F$9,0,IF(A57&lt;$F$10,GiaDinh_K3!$D$12,0)))))))</f>
        <v>-1.8</v>
      </c>
      <c r="C57" s="41">
        <f>IF(A57&lt;$F$4,GiaDinh_K3!$D$12*A57,IF(A57&lt;$F$5,GiaDinh_K3!$D$11,IF(A57&lt;$F$6,GiaDinh_K3!$D$11-GiaDinh_K3!$D$12*(A57-$F$5),IF(A57&lt;$F$7,0,IF(A57&lt;$F$8,-GiaDinh_K3!$D$12*(A57-$F$7),IF(A57&lt;$F$9,-GiaDinh_K3!$D$11,IF(A57&lt;$F$10,-GiaDinh_K3!$D$11+GiaDinh_K3!$D$12*(A57-$F$9),0)))))))</f>
        <v>0.15600000000000003</v>
      </c>
      <c r="D57" s="44">
        <f t="shared" si="0"/>
        <v>0.11321999999999995</v>
      </c>
      <c r="E57" s="44">
        <f t="shared" si="1"/>
        <v>2.0793300000000001E-2</v>
      </c>
      <c r="F57" s="40">
        <f>IF(A57&gt;$F$10,0,IF((Params!$C$21+GiaDinh_K3!$D$8*Params!$C$5*C57)&gt;=0,(Params!$C$21+GiaDinh_K3!$D$8*Params!$C$5*C57)*'Tính chọn'!$D$23/Params!$C$16,(Params!$C$21+GiaDinh_K3!$D$8*Params!$C$5*C57)*'Tính chọn'!$D$23*Params!$C$16)+Catalogue!$F$15*C57/'Tính chọn'!$D$23)</f>
        <v>4.6667036480510893</v>
      </c>
      <c r="G57" s="40">
        <f>IF(A57&gt;$F$10,0,IF(('Tính chọn'!$D$6+GiaDinh_K3!$D$8*Params!$C$6*C57)&gt;=0,('Tính chọn'!$D$6+GiaDinh_K3!$D$8*Params!$C$6*C57)*'Tính chọn'!$D$23/Params!$C$16,('Tính chọn'!$D$6+GiaDinh_K3!$D$8*Params!$C$6*C57)*'Tính chọn'!$D$23*Params!$C$16)+Catalogue!$F$15*C57/'Tính chọn'!$D$23)</f>
        <v>1.0982819601406979</v>
      </c>
      <c r="H57" s="43">
        <f>F57*D57/'Tính chọn'!$D$23</f>
        <v>656.60874250883467</v>
      </c>
    </row>
    <row r="58" spans="1:8" x14ac:dyDescent="0.2">
      <c r="A58" s="39">
        <f>44*$B$5</f>
        <v>0.44</v>
      </c>
      <c r="B58" s="40">
        <f>IF(A58&lt;$F$4,GiaDinh_K3!$D$12,IF(A58&lt;$F$5,0,IF(A58&lt;$F$6,-GiaDinh_K3!$D$12,IF(A58&lt;$F$7,0,IF(A58&lt;$F$8,-GiaDinh_K3!$D$12,IF(A58&lt;$F$9,0,IF(A58&lt;$F$10,GiaDinh_K3!$D$12,0)))))))</f>
        <v>-1.8</v>
      </c>
      <c r="C58" s="41">
        <f>IF(A58&lt;$F$4,GiaDinh_K3!$D$12*A58,IF(A58&lt;$F$5,GiaDinh_K3!$D$11,IF(A58&lt;$F$6,GiaDinh_K3!$D$11-GiaDinh_K3!$D$12*(A58-$F$5),IF(A58&lt;$F$7,0,IF(A58&lt;$F$8,-GiaDinh_K3!$D$12*(A58-$F$7),IF(A58&lt;$F$9,-GiaDinh_K3!$D$11,IF(A58&lt;$F$10,-GiaDinh_K3!$D$11+GiaDinh_K3!$D$12*(A58-$F$9),0)))))))</f>
        <v>0.13800000000000001</v>
      </c>
      <c r="D58" s="44">
        <f t="shared" si="0"/>
        <v>0.11468999999999994</v>
      </c>
      <c r="E58" s="44">
        <f t="shared" si="1"/>
        <v>2.193285E-2</v>
      </c>
      <c r="F58" s="40">
        <f>IF(A58&gt;$F$10,0,IF((Params!$C$21+GiaDinh_K3!$D$8*Params!$C$5*C58)&gt;=0,(Params!$C$21+GiaDinh_K3!$D$8*Params!$C$5*C58)*'Tính chọn'!$D$23/Params!$C$16,(Params!$C$21+GiaDinh_K3!$D$8*Params!$C$5*C58)*'Tính chọn'!$D$23*Params!$C$16)+Catalogue!$F$15*C58/'Tính chọn'!$D$23)</f>
        <v>4.3444720211322787</v>
      </c>
      <c r="G58" s="40">
        <f>IF(A58&gt;$F$10,0,IF(('Tính chọn'!$D$6+GiaDinh_K3!$D$8*Params!$C$6*C58)&gt;=0,('Tính chọn'!$D$6+GiaDinh_K3!$D$8*Params!$C$6*C58)*'Tính chọn'!$D$23/Params!$C$16,('Tính chọn'!$D$6+GiaDinh_K3!$D$8*Params!$C$6*C58)*'Tính chọn'!$D$23*Params!$C$16)+Catalogue!$F$15*C58/'Tính chọn'!$D$23)</f>
        <v>1.0022525348441356</v>
      </c>
      <c r="H58" s="43">
        <f>F58*D58/'Tính chọn'!$D$23</f>
        <v>619.20698275794132</v>
      </c>
    </row>
    <row r="59" spans="1:8" x14ac:dyDescent="0.2">
      <c r="A59" s="39">
        <f>45*$B$5</f>
        <v>0.45</v>
      </c>
      <c r="B59" s="40">
        <f>IF(A59&lt;$F$4,GiaDinh_K3!$D$12,IF(A59&lt;$F$5,0,IF(A59&lt;$F$6,-GiaDinh_K3!$D$12,IF(A59&lt;$F$7,0,IF(A59&lt;$F$8,-GiaDinh_K3!$D$12,IF(A59&lt;$F$9,0,IF(A59&lt;$F$10,GiaDinh_K3!$D$12,0)))))))</f>
        <v>-1.8</v>
      </c>
      <c r="C59" s="41">
        <f>IF(A59&lt;$F$4,GiaDinh_K3!$D$12*A59,IF(A59&lt;$F$5,GiaDinh_K3!$D$11,IF(A59&lt;$F$6,GiaDinh_K3!$D$11-GiaDinh_K3!$D$12*(A59-$F$5),IF(A59&lt;$F$7,0,IF(A59&lt;$F$8,-GiaDinh_K3!$D$12*(A59-$F$7),IF(A59&lt;$F$9,-GiaDinh_K3!$D$11,IF(A59&lt;$F$10,-GiaDinh_K3!$D$11+GiaDinh_K3!$D$12*(A59-$F$9),0)))))))</f>
        <v>0.12</v>
      </c>
      <c r="D59" s="44">
        <f t="shared" si="0"/>
        <v>0.11597999999999994</v>
      </c>
      <c r="E59" s="44">
        <f t="shared" si="1"/>
        <v>2.3086200000000001E-2</v>
      </c>
      <c r="F59" s="40">
        <f>IF(A59&gt;$F$10,0,IF((Params!$C$21+GiaDinh_K3!$D$8*Params!$C$5*C59)&gt;=0,(Params!$C$21+GiaDinh_K3!$D$8*Params!$C$5*C59)*'Tính chọn'!$D$23/Params!$C$16,(Params!$C$21+GiaDinh_K3!$D$8*Params!$C$5*C59)*'Tính chọn'!$D$23*Params!$C$16)+Catalogue!$F$15*C59/'Tính chọn'!$D$23)</f>
        <v>4.0222403942134672</v>
      </c>
      <c r="G59" s="40">
        <f>IF(A59&gt;$F$10,0,IF(('Tính chọn'!$D$6+GiaDinh_K3!$D$8*Params!$C$6*C59)&gt;=0,('Tính chọn'!$D$6+GiaDinh_K3!$D$8*Params!$C$6*C59)*'Tính chọn'!$D$23/Params!$C$16,('Tính chọn'!$D$6+GiaDinh_K3!$D$8*Params!$C$6*C59)*'Tính chọn'!$D$23*Params!$C$16)+Catalogue!$F$15*C59/'Tính chọn'!$D$23)</f>
        <v>0.90622310954757301</v>
      </c>
      <c r="H59" s="43">
        <f>F59*D59/'Tính chọn'!$D$23</f>
        <v>579.72818522119314</v>
      </c>
    </row>
    <row r="60" spans="1:8" x14ac:dyDescent="0.2">
      <c r="A60" s="39">
        <f>46*$B$5</f>
        <v>0.46</v>
      </c>
      <c r="B60" s="40">
        <f>IF(A60&lt;$F$4,GiaDinh_K3!$D$12,IF(A60&lt;$F$5,0,IF(A60&lt;$F$6,-GiaDinh_K3!$D$12,IF(A60&lt;$F$7,0,IF(A60&lt;$F$8,-GiaDinh_K3!$D$12,IF(A60&lt;$F$9,0,IF(A60&lt;$F$10,GiaDinh_K3!$D$12,0)))))))</f>
        <v>-1.8</v>
      </c>
      <c r="C60" s="41">
        <f>IF(A60&lt;$F$4,GiaDinh_K3!$D$12*A60,IF(A60&lt;$F$5,GiaDinh_K3!$D$11,IF(A60&lt;$F$6,GiaDinh_K3!$D$11-GiaDinh_K3!$D$12*(A60-$F$5),IF(A60&lt;$F$7,0,IF(A60&lt;$F$8,-GiaDinh_K3!$D$12*(A60-$F$7),IF(A60&lt;$F$9,-GiaDinh_K3!$D$11,IF(A60&lt;$F$10,-GiaDinh_K3!$D$11+GiaDinh_K3!$D$12*(A60-$F$9),0)))))))</f>
        <v>0.10199999999999998</v>
      </c>
      <c r="D60" s="44">
        <f t="shared" si="0"/>
        <v>0.11708999999999994</v>
      </c>
      <c r="E60" s="44">
        <f t="shared" si="1"/>
        <v>2.425155E-2</v>
      </c>
      <c r="F60" s="40">
        <f>IF(A60&gt;$F$10,0,IF((Params!$C$21+GiaDinh_K3!$D$8*Params!$C$5*C60)&gt;=0,(Params!$C$21+GiaDinh_K3!$D$8*Params!$C$5*C60)*'Tính chọn'!$D$23/Params!$C$16,(Params!$C$21+GiaDinh_K3!$D$8*Params!$C$5*C60)*'Tính chọn'!$D$23*Params!$C$16)+Catalogue!$F$15*C60/'Tính chọn'!$D$23)</f>
        <v>3.7000087672946567</v>
      </c>
      <c r="G60" s="40">
        <f>IF(A60&gt;$F$10,0,IF(('Tính chọn'!$D$6+GiaDinh_K3!$D$8*Params!$C$6*C60)&gt;=0,('Tính chọn'!$D$6+GiaDinh_K3!$D$8*Params!$C$6*C60)*'Tính chọn'!$D$23/Params!$C$16,('Tính chọn'!$D$6+GiaDinh_K3!$D$8*Params!$C$6*C60)*'Tính chọn'!$D$23*Params!$C$16)+Catalogue!$F$15*C60/'Tính chọn'!$D$23)</f>
        <v>0.81019368425101046</v>
      </c>
      <c r="H60" s="43">
        <f>F60*D60/'Tính chọn'!$D$23</f>
        <v>538.38858948978861</v>
      </c>
    </row>
    <row r="61" spans="1:8" x14ac:dyDescent="0.2">
      <c r="A61" s="39">
        <f>47*$B$5</f>
        <v>0.47000000000000003</v>
      </c>
      <c r="B61" s="40">
        <f>IF(A61&lt;$F$4,GiaDinh_K3!$D$12,IF(A61&lt;$F$5,0,IF(A61&lt;$F$6,-GiaDinh_K3!$D$12,IF(A61&lt;$F$7,0,IF(A61&lt;$F$8,-GiaDinh_K3!$D$12,IF(A61&lt;$F$9,0,IF(A61&lt;$F$10,GiaDinh_K3!$D$12,0)))))))</f>
        <v>-1.8</v>
      </c>
      <c r="C61" s="41">
        <f>IF(A61&lt;$F$4,GiaDinh_K3!$D$12*A61,IF(A61&lt;$F$5,GiaDinh_K3!$D$11,IF(A61&lt;$F$6,GiaDinh_K3!$D$11-GiaDinh_K3!$D$12*(A61-$F$5),IF(A61&lt;$F$7,0,IF(A61&lt;$F$8,-GiaDinh_K3!$D$12*(A61-$F$7),IF(A61&lt;$F$9,-GiaDinh_K3!$D$11,IF(A61&lt;$F$10,-GiaDinh_K3!$D$11+GiaDinh_K3!$D$12*(A61-$F$9),0)))))))</f>
        <v>8.3999999999999964E-2</v>
      </c>
      <c r="D61" s="44">
        <f t="shared" si="0"/>
        <v>0.11801999999999994</v>
      </c>
      <c r="E61" s="44">
        <f t="shared" si="1"/>
        <v>2.5427100000000001E-2</v>
      </c>
      <c r="F61" s="40">
        <f>IF(A61&gt;$F$10,0,IF((Params!$C$21+GiaDinh_K3!$D$8*Params!$C$5*C61)&gt;=0,(Params!$C$21+GiaDinh_K3!$D$8*Params!$C$5*C61)*'Tính chọn'!$D$23/Params!$C$16,(Params!$C$21+GiaDinh_K3!$D$8*Params!$C$5*C61)*'Tính chọn'!$D$23*Params!$C$16)+Catalogue!$F$15*C61/'Tính chọn'!$D$23)</f>
        <v>3.3777771403758461</v>
      </c>
      <c r="G61" s="40">
        <f>IF(A61&gt;$F$10,0,IF(('Tính chọn'!$D$6+GiaDinh_K3!$D$8*Params!$C$6*C61)&gt;=0,('Tính chọn'!$D$6+GiaDinh_K3!$D$8*Params!$C$6*C61)*'Tính chọn'!$D$23/Params!$C$16,('Tính chọn'!$D$6+GiaDinh_K3!$D$8*Params!$C$6*C61)*'Tính chọn'!$D$23*Params!$C$16)+Catalogue!$F$15*C61/'Tính chọn'!$D$23)</f>
        <v>0.71416425895444802</v>
      </c>
      <c r="H61" s="43">
        <f>F61*D61/'Tính chọn'!$D$23</f>
        <v>495.40443515492638</v>
      </c>
    </row>
    <row r="62" spans="1:8" x14ac:dyDescent="0.2">
      <c r="A62" s="39">
        <f>48*$B$5</f>
        <v>0.48</v>
      </c>
      <c r="B62" s="40">
        <f>IF(A62&lt;$F$4,GiaDinh_K3!$D$12,IF(A62&lt;$F$5,0,IF(A62&lt;$F$6,-GiaDinh_K3!$D$12,IF(A62&lt;$F$7,0,IF(A62&lt;$F$8,-GiaDinh_K3!$D$12,IF(A62&lt;$F$9,0,IF(A62&lt;$F$10,GiaDinh_K3!$D$12,0)))))))</f>
        <v>-1.8</v>
      </c>
      <c r="C62" s="41">
        <f>IF(A62&lt;$F$4,GiaDinh_K3!$D$12*A62,IF(A62&lt;$F$5,GiaDinh_K3!$D$11,IF(A62&lt;$F$6,GiaDinh_K3!$D$11-GiaDinh_K3!$D$12*(A62-$F$5),IF(A62&lt;$F$7,0,IF(A62&lt;$F$8,-GiaDinh_K3!$D$12*(A62-$F$7),IF(A62&lt;$F$9,-GiaDinh_K3!$D$11,IF(A62&lt;$F$10,-GiaDinh_K3!$D$11+GiaDinh_K3!$D$12*(A62-$F$9),0)))))))</f>
        <v>6.6000000000000003E-2</v>
      </c>
      <c r="D62" s="44">
        <f t="shared" si="0"/>
        <v>0.11876999999999995</v>
      </c>
      <c r="E62" s="44">
        <f t="shared" si="1"/>
        <v>2.6611050000000001E-2</v>
      </c>
      <c r="F62" s="40">
        <f>IF(A62&gt;$F$10,0,IF((Params!$C$21+GiaDinh_K3!$D$8*Params!$C$5*C62)&gt;=0,(Params!$C$21+GiaDinh_K3!$D$8*Params!$C$5*C62)*'Tính chọn'!$D$23/Params!$C$16,(Params!$C$21+GiaDinh_K3!$D$8*Params!$C$5*C62)*'Tính chọn'!$D$23*Params!$C$16)+Catalogue!$F$15*C62/'Tính chọn'!$D$23)</f>
        <v>3.0555455134570364</v>
      </c>
      <c r="G62" s="40">
        <f>IF(A62&gt;$F$10,0,IF(('Tính chọn'!$D$6+GiaDinh_K3!$D$8*Params!$C$6*C62)&gt;=0,('Tính chọn'!$D$6+GiaDinh_K3!$D$8*Params!$C$6*C62)*'Tính chọn'!$D$23/Params!$C$16,('Tính chọn'!$D$6+GiaDinh_K3!$D$8*Params!$C$6*C62)*'Tính chọn'!$D$23*Params!$C$16)+Catalogue!$F$15*C62/'Tính chọn'!$D$23)</f>
        <v>0.6181348336578858</v>
      </c>
      <c r="H62" s="43">
        <f>F62*D62/'Tính chọn'!$D$23</f>
        <v>450.99196180780467</v>
      </c>
    </row>
    <row r="63" spans="1:8" x14ac:dyDescent="0.2">
      <c r="A63" s="39">
        <f>49*$B$5</f>
        <v>0.49</v>
      </c>
      <c r="B63" s="40">
        <f>IF(A63&lt;$F$4,GiaDinh_K3!$D$12,IF(A63&lt;$F$5,0,IF(A63&lt;$F$6,-GiaDinh_K3!$D$12,IF(A63&lt;$F$7,0,IF(A63&lt;$F$8,-GiaDinh_K3!$D$12,IF(A63&lt;$F$9,0,IF(A63&lt;$F$10,GiaDinh_K3!$D$12,0)))))))</f>
        <v>-1.8</v>
      </c>
      <c r="C63" s="41">
        <f>IF(A63&lt;$F$4,GiaDinh_K3!$D$12*A63,IF(A63&lt;$F$5,GiaDinh_K3!$D$11,IF(A63&lt;$F$6,GiaDinh_K3!$D$11-GiaDinh_K3!$D$12*(A63-$F$5),IF(A63&lt;$F$7,0,IF(A63&lt;$F$8,-GiaDinh_K3!$D$12*(A63-$F$7),IF(A63&lt;$F$9,-GiaDinh_K3!$D$11,IF(A63&lt;$F$10,-GiaDinh_K3!$D$11+GiaDinh_K3!$D$12*(A63-$F$9),0)))))))</f>
        <v>4.7999999999999987E-2</v>
      </c>
      <c r="D63" s="44">
        <f t="shared" si="0"/>
        <v>0.11933999999999995</v>
      </c>
      <c r="E63" s="44">
        <f t="shared" si="1"/>
        <v>2.7801599999999999E-2</v>
      </c>
      <c r="F63" s="40">
        <f>IF(A63&gt;$F$10,0,IF((Params!$C$21+GiaDinh_K3!$D$8*Params!$C$5*C63)&gt;=0,(Params!$C$21+GiaDinh_K3!$D$8*Params!$C$5*C63)*'Tính chọn'!$D$23/Params!$C$16,(Params!$C$21+GiaDinh_K3!$D$8*Params!$C$5*C63)*'Tính chọn'!$D$23*Params!$C$16)+Catalogue!$F$15*C63/'Tính chọn'!$D$23)</f>
        <v>2.7333138865382258</v>
      </c>
      <c r="G63" s="40">
        <f>IF(A63&gt;$F$10,0,IF(('Tính chọn'!$D$6+GiaDinh_K3!$D$8*Params!$C$6*C63)&gt;=0,('Tính chọn'!$D$6+GiaDinh_K3!$D$8*Params!$C$6*C63)*'Tính chọn'!$D$23/Params!$C$16,('Tính chọn'!$D$6+GiaDinh_K3!$D$8*Params!$C$6*C63)*'Tính chọn'!$D$23*Params!$C$16)+Catalogue!$F$15*C63/'Tính chọn'!$D$23)</f>
        <v>0.52210540836132346</v>
      </c>
      <c r="H63" s="43">
        <f>F63*D63/'Tính chọn'!$D$23</f>
        <v>405.36740903962192</v>
      </c>
    </row>
    <row r="64" spans="1:8" x14ac:dyDescent="0.2">
      <c r="A64" s="39">
        <f>50*$B$5</f>
        <v>0.5</v>
      </c>
      <c r="B64" s="40">
        <f>IF(A64&lt;$F$4,GiaDinh_K3!$D$12,IF(A64&lt;$F$5,0,IF(A64&lt;$F$6,-GiaDinh_K3!$D$12,IF(A64&lt;$F$7,0,IF(A64&lt;$F$8,-GiaDinh_K3!$D$12,IF(A64&lt;$F$9,0,IF(A64&lt;$F$10,GiaDinh_K3!$D$12,0)))))))</f>
        <v>-1.8</v>
      </c>
      <c r="C64" s="41">
        <f>IF(A64&lt;$F$4,GiaDinh_K3!$D$12*A64,IF(A64&lt;$F$5,GiaDinh_K3!$D$11,IF(A64&lt;$F$6,GiaDinh_K3!$D$11-GiaDinh_K3!$D$12*(A64-$F$5),IF(A64&lt;$F$7,0,IF(A64&lt;$F$8,-GiaDinh_K3!$D$12*(A64-$F$7),IF(A64&lt;$F$9,-GiaDinh_K3!$D$11,IF(A64&lt;$F$10,-GiaDinh_K3!$D$11+GiaDinh_K3!$D$12*(A64-$F$9),0)))))))</f>
        <v>2.9999999999999971E-2</v>
      </c>
      <c r="D64" s="44">
        <f t="shared" si="0"/>
        <v>0.11972999999999995</v>
      </c>
      <c r="E64" s="44">
        <f t="shared" si="1"/>
        <v>2.8996950000000001E-2</v>
      </c>
      <c r="F64" s="40">
        <f>IF(A64&gt;$F$10,0,IF((Params!$C$21+GiaDinh_K3!$D$8*Params!$C$5*C64)&gt;=0,(Params!$C$21+GiaDinh_K3!$D$8*Params!$C$5*C64)*'Tính chọn'!$D$23/Params!$C$16,(Params!$C$21+GiaDinh_K3!$D$8*Params!$C$5*C64)*'Tính chọn'!$D$23*Params!$C$16)+Catalogue!$F$15*C64/'Tính chọn'!$D$23)</f>
        <v>2.4110822596194152</v>
      </c>
      <c r="G64" s="40">
        <f>IF(A64&gt;$F$10,0,IF(('Tính chọn'!$D$6+GiaDinh_K3!$D$8*Params!$C$6*C64)&gt;=0,('Tính chọn'!$D$6+GiaDinh_K3!$D$8*Params!$C$6*C64)*'Tính chọn'!$D$23/Params!$C$16,('Tính chọn'!$D$6+GiaDinh_K3!$D$8*Params!$C$6*C64)*'Tính chọn'!$D$23*Params!$C$16)+Catalogue!$F$15*C64/'Tính chọn'!$D$23)</f>
        <v>0.42607598306476091</v>
      </c>
      <c r="H64" s="43">
        <f>F64*D64/'Tính chọn'!$D$23</f>
        <v>358.74701644157653</v>
      </c>
    </row>
    <row r="65" spans="1:8" x14ac:dyDescent="0.2">
      <c r="A65" s="39">
        <f>51*$B$5</f>
        <v>0.51</v>
      </c>
      <c r="B65" s="40">
        <f>IF(A65&lt;$F$4,GiaDinh_K3!$D$12,IF(A65&lt;$F$5,0,IF(A65&lt;$F$6,-GiaDinh_K3!$D$12,IF(A65&lt;$F$7,0,IF(A65&lt;$F$8,-GiaDinh_K3!$D$12,IF(A65&lt;$F$9,0,IF(A65&lt;$F$10,GiaDinh_K3!$D$12,0)))))))</f>
        <v>-1.8</v>
      </c>
      <c r="C65" s="41">
        <f>IF(A65&lt;$F$4,GiaDinh_K3!$D$12*A65,IF(A65&lt;$F$5,GiaDinh_K3!$D$11,IF(A65&lt;$F$6,GiaDinh_K3!$D$11-GiaDinh_K3!$D$12*(A65-$F$5),IF(A65&lt;$F$7,0,IF(A65&lt;$F$8,-GiaDinh_K3!$D$12*(A65-$F$7),IF(A65&lt;$F$9,-GiaDinh_K3!$D$11,IF(A65&lt;$F$10,-GiaDinh_K3!$D$11+GiaDinh_K3!$D$12*(A65-$F$9),0)))))))</f>
        <v>1.1999999999999955E-2</v>
      </c>
      <c r="D65" s="44">
        <f t="shared" si="0"/>
        <v>0.11993999999999995</v>
      </c>
      <c r="E65" s="44">
        <f t="shared" si="1"/>
        <v>3.0195300000000001E-2</v>
      </c>
      <c r="F65" s="40">
        <f>IF(A65&gt;$F$10,0,IF((Params!$C$21+GiaDinh_K3!$D$8*Params!$C$5*C65)&gt;=0,(Params!$C$21+GiaDinh_K3!$D$8*Params!$C$5*C65)*'Tính chọn'!$D$23/Params!$C$16,(Params!$C$21+GiaDinh_K3!$D$8*Params!$C$5*C65)*'Tính chọn'!$D$23*Params!$C$16)+Catalogue!$F$15*C65/'Tính chọn'!$D$23)</f>
        <v>2.0888506327006042</v>
      </c>
      <c r="G65" s="40">
        <f>IF(A65&gt;$F$10,0,IF(('Tính chọn'!$D$6+GiaDinh_K3!$D$8*Params!$C$6*C65)&gt;=0,('Tính chọn'!$D$6+GiaDinh_K3!$D$8*Params!$C$6*C65)*'Tính chọn'!$D$23/Params!$C$16,('Tính chọn'!$D$6+GiaDinh_K3!$D$8*Params!$C$6*C65)*'Tính chọn'!$D$23*Params!$C$16)+Catalogue!$F$15*C65/'Tính chọn'!$D$23)</f>
        <v>0.33004655776819852</v>
      </c>
      <c r="H65" s="43">
        <f>F65*D65/'Tính chọn'!$D$23</f>
        <v>311.3470236048671</v>
      </c>
    </row>
    <row r="66" spans="1:8" x14ac:dyDescent="0.2">
      <c r="A66" s="39">
        <f>52*$B$5</f>
        <v>0.52</v>
      </c>
      <c r="B66" s="40">
        <f>IF(A66&lt;$F$4,GiaDinh_K3!$D$12,IF(A66&lt;$F$5,0,IF(A66&lt;$F$6,-GiaDinh_K3!$D$12,IF(A66&lt;$F$7,0,IF(A66&lt;$F$8,-GiaDinh_K3!$D$12,IF(A66&lt;$F$9,0,IF(A66&lt;$F$10,GiaDinh_K3!$D$12,0)))))))</f>
        <v>0</v>
      </c>
      <c r="C66" s="41">
        <f>IF(A66&lt;$F$4,GiaDinh_K3!$D$12*A66,IF(A66&lt;$F$5,GiaDinh_K3!$D$11,IF(A66&lt;$F$6,GiaDinh_K3!$D$11-GiaDinh_K3!$D$12*(A66-$F$5),IF(A66&lt;$F$7,0,IF(A66&lt;$F$8,-GiaDinh_K3!$D$12*(A66-$F$7),IF(A66&lt;$F$9,-GiaDinh_K3!$D$11,IF(A66&lt;$F$10,-GiaDinh_K3!$D$11+GiaDinh_K3!$D$12*(A66-$F$9),0)))))))</f>
        <v>0</v>
      </c>
      <c r="D66" s="44">
        <f t="shared" si="0"/>
        <v>0.11999999999999995</v>
      </c>
      <c r="E66" s="44">
        <f t="shared" si="1"/>
        <v>3.1394999999999999E-2</v>
      </c>
      <c r="F66" s="40">
        <f>IF(A66&gt;$F$10,0,IF((Params!$C$21+GiaDinh_K3!$D$8*Params!$C$5*C66)&gt;=0,(Params!$C$21+GiaDinh_K3!$D$8*Params!$C$5*C66)*'Tính chọn'!$D$23/Params!$C$16,(Params!$C$21+GiaDinh_K3!$D$8*Params!$C$5*C66)*'Tính chọn'!$D$23*Params!$C$16)+Catalogue!$F$15*C66/'Tính chọn'!$D$23)</f>
        <v>1.8740295480880651</v>
      </c>
      <c r="G66" s="40">
        <f>IF(A66&gt;$F$10,0,IF(('Tính chọn'!$D$6+GiaDinh_K3!$D$8*Params!$C$6*C66)&gt;=0,('Tính chọn'!$D$6+GiaDinh_K3!$D$8*Params!$C$6*C66)*'Tính chọn'!$D$23/Params!$C$16,('Tính chọn'!$D$6+GiaDinh_K3!$D$8*Params!$C$6*C66)*'Tính chọn'!$D$23*Params!$C$16)+Catalogue!$F$15*C66/'Tính chọn'!$D$23)</f>
        <v>0.26602694090382384</v>
      </c>
      <c r="H66" s="43">
        <f>F66*D66/'Tính chọn'!$D$23</f>
        <v>279.46727999999996</v>
      </c>
    </row>
    <row r="67" spans="1:8" x14ac:dyDescent="0.2">
      <c r="A67" s="39">
        <f>53*$B$5</f>
        <v>0.53</v>
      </c>
      <c r="B67" s="40">
        <f>IF(A67&lt;$F$4,GiaDinh_K3!$D$12,IF(A67&lt;$F$5,0,IF(A67&lt;$F$6,-GiaDinh_K3!$D$12,IF(A67&lt;$F$7,0,IF(A67&lt;$F$8,-GiaDinh_K3!$D$12,IF(A67&lt;$F$9,0,IF(A67&lt;$F$10,GiaDinh_K3!$D$12,0)))))))</f>
        <v>0</v>
      </c>
      <c r="C67" s="41">
        <f>IF(A67&lt;$F$4,GiaDinh_K3!$D$12*A67,IF(A67&lt;$F$5,GiaDinh_K3!$D$11,IF(A67&lt;$F$6,GiaDinh_K3!$D$11-GiaDinh_K3!$D$12*(A67-$F$5),IF(A67&lt;$F$7,0,IF(A67&lt;$F$8,-GiaDinh_K3!$D$12*(A67-$F$7),IF(A67&lt;$F$9,-GiaDinh_K3!$D$11,IF(A67&lt;$F$10,-GiaDinh_K3!$D$11+GiaDinh_K3!$D$12*(A67-$F$9),0)))))))</f>
        <v>0</v>
      </c>
      <c r="D67" s="44">
        <f t="shared" si="0"/>
        <v>0.11999999999999995</v>
      </c>
      <c r="E67" s="44">
        <f t="shared" si="1"/>
        <v>3.2594999999999999E-2</v>
      </c>
      <c r="F67" s="40">
        <f>IF(A67&gt;$F$10,0,IF((Params!$C$21+GiaDinh_K3!$D$8*Params!$C$5*C67)&gt;=0,(Params!$C$21+GiaDinh_K3!$D$8*Params!$C$5*C67)*'Tính chọn'!$D$23/Params!$C$16,(Params!$C$21+GiaDinh_K3!$D$8*Params!$C$5*C67)*'Tính chọn'!$D$23*Params!$C$16)+Catalogue!$F$15*C67/'Tính chọn'!$D$23)</f>
        <v>1.8740295480880651</v>
      </c>
      <c r="G67" s="40">
        <f>IF(A67&gt;$F$10,0,IF(('Tính chọn'!$D$6+GiaDinh_K3!$D$8*Params!$C$6*C67)&gt;=0,('Tính chọn'!$D$6+GiaDinh_K3!$D$8*Params!$C$6*C67)*'Tính chọn'!$D$23/Params!$C$16,('Tính chọn'!$D$6+GiaDinh_K3!$D$8*Params!$C$6*C67)*'Tính chọn'!$D$23*Params!$C$16)+Catalogue!$F$15*C67/'Tính chọn'!$D$23)</f>
        <v>0.26602694090382384</v>
      </c>
      <c r="H67" s="43">
        <f>F67*D67/'Tính chọn'!$D$23</f>
        <v>279.46727999999996</v>
      </c>
    </row>
    <row r="68" spans="1:8" x14ac:dyDescent="0.2">
      <c r="A68" s="39">
        <f>54*$B$5</f>
        <v>0.54</v>
      </c>
      <c r="B68" s="40">
        <f>IF(A68&lt;$F$4,GiaDinh_K3!$D$12,IF(A68&lt;$F$5,0,IF(A68&lt;$F$6,-GiaDinh_K3!$D$12,IF(A68&lt;$F$7,0,IF(A68&lt;$F$8,-GiaDinh_K3!$D$12,IF(A68&lt;$F$9,0,IF(A68&lt;$F$10,GiaDinh_K3!$D$12,0)))))))</f>
        <v>0</v>
      </c>
      <c r="C68" s="41">
        <f>IF(A68&lt;$F$4,GiaDinh_K3!$D$12*A68,IF(A68&lt;$F$5,GiaDinh_K3!$D$11,IF(A68&lt;$F$6,GiaDinh_K3!$D$11-GiaDinh_K3!$D$12*(A68-$F$5),IF(A68&lt;$F$7,0,IF(A68&lt;$F$8,-GiaDinh_K3!$D$12*(A68-$F$7),IF(A68&lt;$F$9,-GiaDinh_K3!$D$11,IF(A68&lt;$F$10,-GiaDinh_K3!$D$11+GiaDinh_K3!$D$12*(A68-$F$9),0)))))))</f>
        <v>0</v>
      </c>
      <c r="D68" s="44">
        <f t="shared" si="0"/>
        <v>0.11999999999999995</v>
      </c>
      <c r="E68" s="44">
        <f t="shared" si="1"/>
        <v>3.3794999999999999E-2</v>
      </c>
      <c r="F68" s="40">
        <f>IF(A68&gt;$F$10,0,IF((Params!$C$21+GiaDinh_K3!$D$8*Params!$C$5*C68)&gt;=0,(Params!$C$21+GiaDinh_K3!$D$8*Params!$C$5*C68)*'Tính chọn'!$D$23/Params!$C$16,(Params!$C$21+GiaDinh_K3!$D$8*Params!$C$5*C68)*'Tính chọn'!$D$23*Params!$C$16)+Catalogue!$F$15*C68/'Tính chọn'!$D$23)</f>
        <v>1.8740295480880651</v>
      </c>
      <c r="G68" s="40">
        <f>IF(A68&gt;$F$10,0,IF(('Tính chọn'!$D$6+GiaDinh_K3!$D$8*Params!$C$6*C68)&gt;=0,('Tính chọn'!$D$6+GiaDinh_K3!$D$8*Params!$C$6*C68)*'Tính chọn'!$D$23/Params!$C$16,('Tính chọn'!$D$6+GiaDinh_K3!$D$8*Params!$C$6*C68)*'Tính chọn'!$D$23*Params!$C$16)+Catalogue!$F$15*C68/'Tính chọn'!$D$23)</f>
        <v>0.26602694090382384</v>
      </c>
      <c r="H68" s="43">
        <f>F68*D68/'Tính chọn'!$D$23</f>
        <v>279.46727999999996</v>
      </c>
    </row>
    <row r="69" spans="1:8" x14ac:dyDescent="0.2">
      <c r="A69" s="39">
        <f>55*$B$5</f>
        <v>0.55000000000000004</v>
      </c>
      <c r="B69" s="40">
        <f>IF(A69&lt;$F$4,GiaDinh_K3!$D$12,IF(A69&lt;$F$5,0,IF(A69&lt;$F$6,-GiaDinh_K3!$D$12,IF(A69&lt;$F$7,0,IF(A69&lt;$F$8,-GiaDinh_K3!$D$12,IF(A69&lt;$F$9,0,IF(A69&lt;$F$10,GiaDinh_K3!$D$12,0)))))))</f>
        <v>0</v>
      </c>
      <c r="C69" s="41">
        <f>IF(A69&lt;$F$4,GiaDinh_K3!$D$12*A69,IF(A69&lt;$F$5,GiaDinh_K3!$D$11,IF(A69&lt;$F$6,GiaDinh_K3!$D$11-GiaDinh_K3!$D$12*(A69-$F$5),IF(A69&lt;$F$7,0,IF(A69&lt;$F$8,-GiaDinh_K3!$D$12*(A69-$F$7),IF(A69&lt;$F$9,-GiaDinh_K3!$D$11,IF(A69&lt;$F$10,-GiaDinh_K3!$D$11+GiaDinh_K3!$D$12*(A69-$F$9),0)))))))</f>
        <v>0</v>
      </c>
      <c r="D69" s="44">
        <f t="shared" si="0"/>
        <v>0.11999999999999995</v>
      </c>
      <c r="E69" s="44">
        <f t="shared" si="1"/>
        <v>3.4994999999999998E-2</v>
      </c>
      <c r="F69" s="40">
        <f>IF(A69&gt;$F$10,0,IF((Params!$C$21+GiaDinh_K3!$D$8*Params!$C$5*C69)&gt;=0,(Params!$C$21+GiaDinh_K3!$D$8*Params!$C$5*C69)*'Tính chọn'!$D$23/Params!$C$16,(Params!$C$21+GiaDinh_K3!$D$8*Params!$C$5*C69)*'Tính chọn'!$D$23*Params!$C$16)+Catalogue!$F$15*C69/'Tính chọn'!$D$23)</f>
        <v>1.8740295480880651</v>
      </c>
      <c r="G69" s="40">
        <f>IF(A69&gt;$F$10,0,IF(('Tính chọn'!$D$6+GiaDinh_K3!$D$8*Params!$C$6*C69)&gt;=0,('Tính chọn'!$D$6+GiaDinh_K3!$D$8*Params!$C$6*C69)*'Tính chọn'!$D$23/Params!$C$16,('Tính chọn'!$D$6+GiaDinh_K3!$D$8*Params!$C$6*C69)*'Tính chọn'!$D$23*Params!$C$16)+Catalogue!$F$15*C69/'Tính chọn'!$D$23)</f>
        <v>0.26602694090382384</v>
      </c>
      <c r="H69" s="43">
        <f>F69*D69/'Tính chọn'!$D$23</f>
        <v>279.46727999999996</v>
      </c>
    </row>
    <row r="70" spans="1:8" x14ac:dyDescent="0.2">
      <c r="A70" s="39">
        <f>56*$B$5</f>
        <v>0.56000000000000005</v>
      </c>
      <c r="B70" s="40">
        <f>IF(A70&lt;$F$4,GiaDinh_K3!$D$12,IF(A70&lt;$F$5,0,IF(A70&lt;$F$6,-GiaDinh_K3!$D$12,IF(A70&lt;$F$7,0,IF(A70&lt;$F$8,-GiaDinh_K3!$D$12,IF(A70&lt;$F$9,0,IF(A70&lt;$F$10,GiaDinh_K3!$D$12,0)))))))</f>
        <v>0</v>
      </c>
      <c r="C70" s="41">
        <f>IF(A70&lt;$F$4,GiaDinh_K3!$D$12*A70,IF(A70&lt;$F$5,GiaDinh_K3!$D$11,IF(A70&lt;$F$6,GiaDinh_K3!$D$11-GiaDinh_K3!$D$12*(A70-$F$5),IF(A70&lt;$F$7,0,IF(A70&lt;$F$8,-GiaDinh_K3!$D$12*(A70-$F$7),IF(A70&lt;$F$9,-GiaDinh_K3!$D$11,IF(A70&lt;$F$10,-GiaDinh_K3!$D$11+GiaDinh_K3!$D$12*(A70-$F$9),0)))))))</f>
        <v>0</v>
      </c>
      <c r="D70" s="44">
        <f t="shared" si="0"/>
        <v>0.11999999999999995</v>
      </c>
      <c r="E70" s="44">
        <f t="shared" si="1"/>
        <v>3.6194999999999998E-2</v>
      </c>
      <c r="F70" s="40">
        <f>IF(A70&gt;$F$10,0,IF((Params!$C$21+GiaDinh_K3!$D$8*Params!$C$5*C70)&gt;=0,(Params!$C$21+GiaDinh_K3!$D$8*Params!$C$5*C70)*'Tính chọn'!$D$23/Params!$C$16,(Params!$C$21+GiaDinh_K3!$D$8*Params!$C$5*C70)*'Tính chọn'!$D$23*Params!$C$16)+Catalogue!$F$15*C70/'Tính chọn'!$D$23)</f>
        <v>1.8740295480880651</v>
      </c>
      <c r="G70" s="40">
        <f>IF(A70&gt;$F$10,0,IF(('Tính chọn'!$D$6+GiaDinh_K3!$D$8*Params!$C$6*C70)&gt;=0,('Tính chọn'!$D$6+GiaDinh_K3!$D$8*Params!$C$6*C70)*'Tính chọn'!$D$23/Params!$C$16,('Tính chọn'!$D$6+GiaDinh_K3!$D$8*Params!$C$6*C70)*'Tính chọn'!$D$23*Params!$C$16)+Catalogue!$F$15*C70/'Tính chọn'!$D$23)</f>
        <v>0.26602694090382384</v>
      </c>
      <c r="H70" s="43">
        <f>F70*D70/'Tính chọn'!$D$23</f>
        <v>279.46727999999996</v>
      </c>
    </row>
    <row r="71" spans="1:8" x14ac:dyDescent="0.2">
      <c r="A71" s="39">
        <f>57*$B$5</f>
        <v>0.57000000000000006</v>
      </c>
      <c r="B71" s="40">
        <f>IF(A71&lt;$F$4,GiaDinh_K3!$D$12,IF(A71&lt;$F$5,0,IF(A71&lt;$F$6,-GiaDinh_K3!$D$12,IF(A71&lt;$F$7,0,IF(A71&lt;$F$8,-GiaDinh_K3!$D$12,IF(A71&lt;$F$9,0,IF(A71&lt;$F$10,GiaDinh_K3!$D$12,0)))))))</f>
        <v>0</v>
      </c>
      <c r="C71" s="41">
        <f>IF(A71&lt;$F$4,GiaDinh_K3!$D$12*A71,IF(A71&lt;$F$5,GiaDinh_K3!$D$11,IF(A71&lt;$F$6,GiaDinh_K3!$D$11-GiaDinh_K3!$D$12*(A71-$F$5),IF(A71&lt;$F$7,0,IF(A71&lt;$F$8,-GiaDinh_K3!$D$12*(A71-$F$7),IF(A71&lt;$F$9,-GiaDinh_K3!$D$11,IF(A71&lt;$F$10,-GiaDinh_K3!$D$11+GiaDinh_K3!$D$12*(A71-$F$9),0)))))))</f>
        <v>0</v>
      </c>
      <c r="D71" s="44">
        <f t="shared" si="0"/>
        <v>0.11999999999999995</v>
      </c>
      <c r="E71" s="44">
        <f t="shared" si="1"/>
        <v>3.7394999999999998E-2</v>
      </c>
      <c r="F71" s="40">
        <f>IF(A71&gt;$F$10,0,IF((Params!$C$21+GiaDinh_K3!$D$8*Params!$C$5*C71)&gt;=0,(Params!$C$21+GiaDinh_K3!$D$8*Params!$C$5*C71)*'Tính chọn'!$D$23/Params!$C$16,(Params!$C$21+GiaDinh_K3!$D$8*Params!$C$5*C71)*'Tính chọn'!$D$23*Params!$C$16)+Catalogue!$F$15*C71/'Tính chọn'!$D$23)</f>
        <v>1.8740295480880651</v>
      </c>
      <c r="G71" s="40">
        <f>IF(A71&gt;$F$10,0,IF(('Tính chọn'!$D$6+GiaDinh_K3!$D$8*Params!$C$6*C71)&gt;=0,('Tính chọn'!$D$6+GiaDinh_K3!$D$8*Params!$C$6*C71)*'Tính chọn'!$D$23/Params!$C$16,('Tính chọn'!$D$6+GiaDinh_K3!$D$8*Params!$C$6*C71)*'Tính chọn'!$D$23*Params!$C$16)+Catalogue!$F$15*C71/'Tính chọn'!$D$23)</f>
        <v>0.26602694090382384</v>
      </c>
      <c r="H71" s="43">
        <f>F71*D71/'Tính chọn'!$D$23</f>
        <v>279.46727999999996</v>
      </c>
    </row>
    <row r="72" spans="1:8" x14ac:dyDescent="0.2">
      <c r="A72" s="39">
        <f>58*$B$5</f>
        <v>0.57999999999999996</v>
      </c>
      <c r="B72" s="40">
        <f>IF(A72&lt;$F$4,GiaDinh_K3!$D$12,IF(A72&lt;$F$5,0,IF(A72&lt;$F$6,-GiaDinh_K3!$D$12,IF(A72&lt;$F$7,0,IF(A72&lt;$F$8,-GiaDinh_K3!$D$12,IF(A72&lt;$F$9,0,IF(A72&lt;$F$10,GiaDinh_K3!$D$12,0)))))))</f>
        <v>0</v>
      </c>
      <c r="C72" s="41">
        <f>IF(A72&lt;$F$4,GiaDinh_K3!$D$12*A72,IF(A72&lt;$F$5,GiaDinh_K3!$D$11,IF(A72&lt;$F$6,GiaDinh_K3!$D$11-GiaDinh_K3!$D$12*(A72-$F$5),IF(A72&lt;$F$7,0,IF(A72&lt;$F$8,-GiaDinh_K3!$D$12*(A72-$F$7),IF(A72&lt;$F$9,-GiaDinh_K3!$D$11,IF(A72&lt;$F$10,-GiaDinh_K3!$D$11+GiaDinh_K3!$D$12*(A72-$F$9),0)))))))</f>
        <v>0</v>
      </c>
      <c r="D72" s="44">
        <f t="shared" si="0"/>
        <v>0.11999999999999995</v>
      </c>
      <c r="E72" s="44">
        <f t="shared" si="1"/>
        <v>3.8594999999999997E-2</v>
      </c>
      <c r="F72" s="40">
        <f>IF(A72&gt;$F$10,0,IF((Params!$C$21+GiaDinh_K3!$D$8*Params!$C$5*C72)&gt;=0,(Params!$C$21+GiaDinh_K3!$D$8*Params!$C$5*C72)*'Tính chọn'!$D$23/Params!$C$16,(Params!$C$21+GiaDinh_K3!$D$8*Params!$C$5*C72)*'Tính chọn'!$D$23*Params!$C$16)+Catalogue!$F$15*C72/'Tính chọn'!$D$23)</f>
        <v>1.8740295480880651</v>
      </c>
      <c r="G72" s="40">
        <f>IF(A72&gt;$F$10,0,IF(('Tính chọn'!$D$6+GiaDinh_K3!$D$8*Params!$C$6*C72)&gt;=0,('Tính chọn'!$D$6+GiaDinh_K3!$D$8*Params!$C$6*C72)*'Tính chọn'!$D$23/Params!$C$16,('Tính chọn'!$D$6+GiaDinh_K3!$D$8*Params!$C$6*C72)*'Tính chọn'!$D$23*Params!$C$16)+Catalogue!$F$15*C72/'Tính chọn'!$D$23)</f>
        <v>0.26602694090382384</v>
      </c>
      <c r="H72" s="43">
        <f>F72*D72/'Tính chọn'!$D$23</f>
        <v>279.46727999999996</v>
      </c>
    </row>
    <row r="73" spans="1:8" x14ac:dyDescent="0.2">
      <c r="A73" s="39">
        <f>59*$B$5</f>
        <v>0.59</v>
      </c>
      <c r="B73" s="40">
        <f>IF(A73&lt;$F$4,GiaDinh_K3!$D$12,IF(A73&lt;$F$5,0,IF(A73&lt;$F$6,-GiaDinh_K3!$D$12,IF(A73&lt;$F$7,0,IF(A73&lt;$F$8,-GiaDinh_K3!$D$12,IF(A73&lt;$F$9,0,IF(A73&lt;$F$10,GiaDinh_K3!$D$12,0)))))))</f>
        <v>0</v>
      </c>
      <c r="C73" s="41">
        <f>IF(A73&lt;$F$4,GiaDinh_K3!$D$12*A73,IF(A73&lt;$F$5,GiaDinh_K3!$D$11,IF(A73&lt;$F$6,GiaDinh_K3!$D$11-GiaDinh_K3!$D$12*(A73-$F$5),IF(A73&lt;$F$7,0,IF(A73&lt;$F$8,-GiaDinh_K3!$D$12*(A73-$F$7),IF(A73&lt;$F$9,-GiaDinh_K3!$D$11,IF(A73&lt;$F$10,-GiaDinh_K3!$D$11+GiaDinh_K3!$D$12*(A73-$F$9),0)))))))</f>
        <v>0</v>
      </c>
      <c r="D73" s="44">
        <f t="shared" si="0"/>
        <v>0.11999999999999995</v>
      </c>
      <c r="E73" s="44">
        <f t="shared" si="1"/>
        <v>3.9794999999999997E-2</v>
      </c>
      <c r="F73" s="40">
        <f>IF(A73&gt;$F$10,0,IF((Params!$C$21+GiaDinh_K3!$D$8*Params!$C$5*C73)&gt;=0,(Params!$C$21+GiaDinh_K3!$D$8*Params!$C$5*C73)*'Tính chọn'!$D$23/Params!$C$16,(Params!$C$21+GiaDinh_K3!$D$8*Params!$C$5*C73)*'Tính chọn'!$D$23*Params!$C$16)+Catalogue!$F$15*C73/'Tính chọn'!$D$23)</f>
        <v>1.8740295480880651</v>
      </c>
      <c r="G73" s="40">
        <f>IF(A73&gt;$F$10,0,IF(('Tính chọn'!$D$6+GiaDinh_K3!$D$8*Params!$C$6*C73)&gt;=0,('Tính chọn'!$D$6+GiaDinh_K3!$D$8*Params!$C$6*C73)*'Tính chọn'!$D$23/Params!$C$16,('Tính chọn'!$D$6+GiaDinh_K3!$D$8*Params!$C$6*C73)*'Tính chọn'!$D$23*Params!$C$16)+Catalogue!$F$15*C73/'Tính chọn'!$D$23)</f>
        <v>0.26602694090382384</v>
      </c>
      <c r="H73" s="43">
        <f>F73*D73/'Tính chọn'!$D$23</f>
        <v>279.46727999999996</v>
      </c>
    </row>
    <row r="74" spans="1:8" x14ac:dyDescent="0.2">
      <c r="A74" s="39">
        <f>60*$B$5</f>
        <v>0.6</v>
      </c>
      <c r="B74" s="40">
        <f>IF(A74&lt;$F$4,GiaDinh_K3!$D$12,IF(A74&lt;$F$5,0,IF(A74&lt;$F$6,-GiaDinh_K3!$D$12,IF(A74&lt;$F$7,0,IF(A74&lt;$F$8,-GiaDinh_K3!$D$12,IF(A74&lt;$F$9,0,IF(A74&lt;$F$10,GiaDinh_K3!$D$12,0)))))))</f>
        <v>0</v>
      </c>
      <c r="C74" s="41">
        <f>IF(A74&lt;$F$4,GiaDinh_K3!$D$12*A74,IF(A74&lt;$F$5,GiaDinh_K3!$D$11,IF(A74&lt;$F$6,GiaDinh_K3!$D$11-GiaDinh_K3!$D$12*(A74-$F$5),IF(A74&lt;$F$7,0,IF(A74&lt;$F$8,-GiaDinh_K3!$D$12*(A74-$F$7),IF(A74&lt;$F$9,-GiaDinh_K3!$D$11,IF(A74&lt;$F$10,-GiaDinh_K3!$D$11+GiaDinh_K3!$D$12*(A74-$F$9),0)))))))</f>
        <v>0</v>
      </c>
      <c r="D74" s="44">
        <f t="shared" si="0"/>
        <v>0.11999999999999995</v>
      </c>
      <c r="E74" s="44">
        <f t="shared" si="1"/>
        <v>4.0994999999999997E-2</v>
      </c>
      <c r="F74" s="40">
        <f>IF(A74&gt;$F$10,0,IF((Params!$C$21+GiaDinh_K3!$D$8*Params!$C$5*C74)&gt;=0,(Params!$C$21+GiaDinh_K3!$D$8*Params!$C$5*C74)*'Tính chọn'!$D$23/Params!$C$16,(Params!$C$21+GiaDinh_K3!$D$8*Params!$C$5*C74)*'Tính chọn'!$D$23*Params!$C$16)+Catalogue!$F$15*C74/'Tính chọn'!$D$23)</f>
        <v>1.8740295480880651</v>
      </c>
      <c r="G74" s="40">
        <f>IF(A74&gt;$F$10,0,IF(('Tính chọn'!$D$6+GiaDinh_K3!$D$8*Params!$C$6*C74)&gt;=0,('Tính chọn'!$D$6+GiaDinh_K3!$D$8*Params!$C$6*C74)*'Tính chọn'!$D$23/Params!$C$16,('Tính chọn'!$D$6+GiaDinh_K3!$D$8*Params!$C$6*C74)*'Tính chọn'!$D$23*Params!$C$16)+Catalogue!$F$15*C74/'Tính chọn'!$D$23)</f>
        <v>0.26602694090382384</v>
      </c>
      <c r="H74" s="43">
        <f>F74*D74/'Tính chọn'!$D$23</f>
        <v>279.46727999999996</v>
      </c>
    </row>
    <row r="75" spans="1:8" x14ac:dyDescent="0.2">
      <c r="A75" s="39">
        <f>61*$B$5</f>
        <v>0.61</v>
      </c>
      <c r="B75" s="40">
        <f>IF(A75&lt;$F$4,GiaDinh_K3!$D$12,IF(A75&lt;$F$5,0,IF(A75&lt;$F$6,-GiaDinh_K3!$D$12,IF(A75&lt;$F$7,0,IF(A75&lt;$F$8,-GiaDinh_K3!$D$12,IF(A75&lt;$F$9,0,IF(A75&lt;$F$10,GiaDinh_K3!$D$12,0)))))))</f>
        <v>0</v>
      </c>
      <c r="C75" s="41">
        <f>IF(A75&lt;$F$4,GiaDinh_K3!$D$12*A75,IF(A75&lt;$F$5,GiaDinh_K3!$D$11,IF(A75&lt;$F$6,GiaDinh_K3!$D$11-GiaDinh_K3!$D$12*(A75-$F$5),IF(A75&lt;$F$7,0,IF(A75&lt;$F$8,-GiaDinh_K3!$D$12*(A75-$F$7),IF(A75&lt;$F$9,-GiaDinh_K3!$D$11,IF(A75&lt;$F$10,-GiaDinh_K3!$D$11+GiaDinh_K3!$D$12*(A75-$F$9),0)))))))</f>
        <v>0</v>
      </c>
      <c r="D75" s="44">
        <f t="shared" si="0"/>
        <v>0.11999999999999995</v>
      </c>
      <c r="E75" s="44">
        <f t="shared" si="1"/>
        <v>4.2194999999999996E-2</v>
      </c>
      <c r="F75" s="40">
        <f>IF(A75&gt;$F$10,0,IF((Params!$C$21+GiaDinh_K3!$D$8*Params!$C$5*C75)&gt;=0,(Params!$C$21+GiaDinh_K3!$D$8*Params!$C$5*C75)*'Tính chọn'!$D$23/Params!$C$16,(Params!$C$21+GiaDinh_K3!$D$8*Params!$C$5*C75)*'Tính chọn'!$D$23*Params!$C$16)+Catalogue!$F$15*C75/'Tính chọn'!$D$23)</f>
        <v>1.8740295480880651</v>
      </c>
      <c r="G75" s="40">
        <f>IF(A75&gt;$F$10,0,IF(('Tính chọn'!$D$6+GiaDinh_K3!$D$8*Params!$C$6*C75)&gt;=0,('Tính chọn'!$D$6+GiaDinh_K3!$D$8*Params!$C$6*C75)*'Tính chọn'!$D$23/Params!$C$16,('Tính chọn'!$D$6+GiaDinh_K3!$D$8*Params!$C$6*C75)*'Tính chọn'!$D$23*Params!$C$16)+Catalogue!$F$15*C75/'Tính chọn'!$D$23)</f>
        <v>0.26602694090382384</v>
      </c>
      <c r="H75" s="43">
        <f>F75*D75/'Tính chọn'!$D$23</f>
        <v>279.46727999999996</v>
      </c>
    </row>
    <row r="76" spans="1:8" x14ac:dyDescent="0.2">
      <c r="A76" s="39">
        <f>62*$B$5</f>
        <v>0.62</v>
      </c>
      <c r="B76" s="40">
        <f>IF(A76&lt;$F$4,GiaDinh_K3!$D$12,IF(A76&lt;$F$5,0,IF(A76&lt;$F$6,-GiaDinh_K3!$D$12,IF(A76&lt;$F$7,0,IF(A76&lt;$F$8,-GiaDinh_K3!$D$12,IF(A76&lt;$F$9,0,IF(A76&lt;$F$10,GiaDinh_K3!$D$12,0)))))))</f>
        <v>0</v>
      </c>
      <c r="C76" s="41">
        <f>IF(A76&lt;$F$4,GiaDinh_K3!$D$12*A76,IF(A76&lt;$F$5,GiaDinh_K3!$D$11,IF(A76&lt;$F$6,GiaDinh_K3!$D$11-GiaDinh_K3!$D$12*(A76-$F$5),IF(A76&lt;$F$7,0,IF(A76&lt;$F$8,-GiaDinh_K3!$D$12*(A76-$F$7),IF(A76&lt;$F$9,-GiaDinh_K3!$D$11,IF(A76&lt;$F$10,-GiaDinh_K3!$D$11+GiaDinh_K3!$D$12*(A76-$F$9),0)))))))</f>
        <v>0</v>
      </c>
      <c r="D76" s="44">
        <f t="shared" si="0"/>
        <v>0.11999999999999995</v>
      </c>
      <c r="E76" s="44">
        <f t="shared" si="1"/>
        <v>4.3394999999999996E-2</v>
      </c>
      <c r="F76" s="40">
        <f>IF(A76&gt;$F$10,0,IF((Params!$C$21+GiaDinh_K3!$D$8*Params!$C$5*C76)&gt;=0,(Params!$C$21+GiaDinh_K3!$D$8*Params!$C$5*C76)*'Tính chọn'!$D$23/Params!$C$16,(Params!$C$21+GiaDinh_K3!$D$8*Params!$C$5*C76)*'Tính chọn'!$D$23*Params!$C$16)+Catalogue!$F$15*C76/'Tính chọn'!$D$23)</f>
        <v>1.8740295480880651</v>
      </c>
      <c r="G76" s="40">
        <f>IF(A76&gt;$F$10,0,IF(('Tính chọn'!$D$6+GiaDinh_K3!$D$8*Params!$C$6*C76)&gt;=0,('Tính chọn'!$D$6+GiaDinh_K3!$D$8*Params!$C$6*C76)*'Tính chọn'!$D$23/Params!$C$16,('Tính chọn'!$D$6+GiaDinh_K3!$D$8*Params!$C$6*C76)*'Tính chọn'!$D$23*Params!$C$16)+Catalogue!$F$15*C76/'Tính chọn'!$D$23)</f>
        <v>0.26602694090382384</v>
      </c>
      <c r="H76" s="43">
        <f>F76*D76/'Tính chọn'!$D$23</f>
        <v>279.46727999999996</v>
      </c>
    </row>
    <row r="77" spans="1:8" x14ac:dyDescent="0.2">
      <c r="A77" s="39">
        <f>63*$B$5</f>
        <v>0.63</v>
      </c>
      <c r="B77" s="40">
        <f>IF(A77&lt;$F$4,GiaDinh_K3!$D$12,IF(A77&lt;$F$5,0,IF(A77&lt;$F$6,-GiaDinh_K3!$D$12,IF(A77&lt;$F$7,0,IF(A77&lt;$F$8,-GiaDinh_K3!$D$12,IF(A77&lt;$F$9,0,IF(A77&lt;$F$10,GiaDinh_K3!$D$12,0)))))))</f>
        <v>0</v>
      </c>
      <c r="C77" s="41">
        <f>IF(A77&lt;$F$4,GiaDinh_K3!$D$12*A77,IF(A77&lt;$F$5,GiaDinh_K3!$D$11,IF(A77&lt;$F$6,GiaDinh_K3!$D$11-GiaDinh_K3!$D$12*(A77-$F$5),IF(A77&lt;$F$7,0,IF(A77&lt;$F$8,-GiaDinh_K3!$D$12*(A77-$F$7),IF(A77&lt;$F$9,-GiaDinh_K3!$D$11,IF(A77&lt;$F$10,-GiaDinh_K3!$D$11+GiaDinh_K3!$D$12*(A77-$F$9),0)))))))</f>
        <v>0</v>
      </c>
      <c r="D77" s="44">
        <f t="shared" si="0"/>
        <v>0.11999999999999995</v>
      </c>
      <c r="E77" s="44">
        <f t="shared" si="1"/>
        <v>4.4594999999999996E-2</v>
      </c>
      <c r="F77" s="40">
        <f>IF(A77&gt;$F$10,0,IF((Params!$C$21+GiaDinh_K3!$D$8*Params!$C$5*C77)&gt;=0,(Params!$C$21+GiaDinh_K3!$D$8*Params!$C$5*C77)*'Tính chọn'!$D$23/Params!$C$16,(Params!$C$21+GiaDinh_K3!$D$8*Params!$C$5*C77)*'Tính chọn'!$D$23*Params!$C$16)+Catalogue!$F$15*C77/'Tính chọn'!$D$23)</f>
        <v>1.8740295480880651</v>
      </c>
      <c r="G77" s="40">
        <f>IF(A77&gt;$F$10,0,IF(('Tính chọn'!$D$6+GiaDinh_K3!$D$8*Params!$C$6*C77)&gt;=0,('Tính chọn'!$D$6+GiaDinh_K3!$D$8*Params!$C$6*C77)*'Tính chọn'!$D$23/Params!$C$16,('Tính chọn'!$D$6+GiaDinh_K3!$D$8*Params!$C$6*C77)*'Tính chọn'!$D$23*Params!$C$16)+Catalogue!$F$15*C77/'Tính chọn'!$D$23)</f>
        <v>0.26602694090382384</v>
      </c>
      <c r="H77" s="43">
        <f>F77*D77/'Tính chọn'!$D$23</f>
        <v>279.46727999999996</v>
      </c>
    </row>
    <row r="78" spans="1:8" x14ac:dyDescent="0.2">
      <c r="A78" s="39">
        <f>64*$B$5</f>
        <v>0.64</v>
      </c>
      <c r="B78" s="40">
        <f>IF(A78&lt;$F$4,GiaDinh_K3!$D$12,IF(A78&lt;$F$5,0,IF(A78&lt;$F$6,-GiaDinh_K3!$D$12,IF(A78&lt;$F$7,0,IF(A78&lt;$F$8,-GiaDinh_K3!$D$12,IF(A78&lt;$F$9,0,IF(A78&lt;$F$10,GiaDinh_K3!$D$12,0)))))))</f>
        <v>0</v>
      </c>
      <c r="C78" s="41">
        <f>IF(A78&lt;$F$4,GiaDinh_K3!$D$12*A78,IF(A78&lt;$F$5,GiaDinh_K3!$D$11,IF(A78&lt;$F$6,GiaDinh_K3!$D$11-GiaDinh_K3!$D$12*(A78-$F$5),IF(A78&lt;$F$7,0,IF(A78&lt;$F$8,-GiaDinh_K3!$D$12*(A78-$F$7),IF(A78&lt;$F$9,-GiaDinh_K3!$D$11,IF(A78&lt;$F$10,-GiaDinh_K3!$D$11+GiaDinh_K3!$D$12*(A78-$F$9),0)))))))</f>
        <v>0</v>
      </c>
      <c r="D78" s="44">
        <f t="shared" si="0"/>
        <v>0.11999999999999995</v>
      </c>
      <c r="E78" s="44">
        <f t="shared" si="1"/>
        <v>4.5794999999999995E-2</v>
      </c>
      <c r="F78" s="40">
        <f>IF(A78&gt;$F$10,0,IF((Params!$C$21+GiaDinh_K3!$D$8*Params!$C$5*C78)&gt;=0,(Params!$C$21+GiaDinh_K3!$D$8*Params!$C$5*C78)*'Tính chọn'!$D$23/Params!$C$16,(Params!$C$21+GiaDinh_K3!$D$8*Params!$C$5*C78)*'Tính chọn'!$D$23*Params!$C$16)+Catalogue!$F$15*C78/'Tính chọn'!$D$23)</f>
        <v>1.8740295480880651</v>
      </c>
      <c r="G78" s="40">
        <f>IF(A78&gt;$F$10,0,IF(('Tính chọn'!$D$6+GiaDinh_K3!$D$8*Params!$C$6*C78)&gt;=0,('Tính chọn'!$D$6+GiaDinh_K3!$D$8*Params!$C$6*C78)*'Tính chọn'!$D$23/Params!$C$16,('Tính chọn'!$D$6+GiaDinh_K3!$D$8*Params!$C$6*C78)*'Tính chọn'!$D$23*Params!$C$16)+Catalogue!$F$15*C78/'Tính chọn'!$D$23)</f>
        <v>0.26602694090382384</v>
      </c>
      <c r="H78" s="43">
        <f>F78*D78/'Tính chọn'!$D$23</f>
        <v>279.46727999999996</v>
      </c>
    </row>
    <row r="79" spans="1:8" x14ac:dyDescent="0.2">
      <c r="A79" s="39">
        <f>65*$B$5</f>
        <v>0.65</v>
      </c>
      <c r="B79" s="40">
        <f>IF(A79&lt;$F$4,GiaDinh_K3!$D$12,IF(A79&lt;$F$5,0,IF(A79&lt;$F$6,-GiaDinh_K3!$D$12,IF(A79&lt;$F$7,0,IF(A79&lt;$F$8,-GiaDinh_K3!$D$12,IF(A79&lt;$F$9,0,IF(A79&lt;$F$10,GiaDinh_K3!$D$12,0)))))))</f>
        <v>0</v>
      </c>
      <c r="C79" s="41">
        <f>IF(A79&lt;$F$4,GiaDinh_K3!$D$12*A79,IF(A79&lt;$F$5,GiaDinh_K3!$D$11,IF(A79&lt;$F$6,GiaDinh_K3!$D$11-GiaDinh_K3!$D$12*(A79-$F$5),IF(A79&lt;$F$7,0,IF(A79&lt;$F$8,-GiaDinh_K3!$D$12*(A79-$F$7),IF(A79&lt;$F$9,-GiaDinh_K3!$D$11,IF(A79&lt;$F$10,-GiaDinh_K3!$D$11+GiaDinh_K3!$D$12*(A79-$F$9),0)))))))</f>
        <v>0</v>
      </c>
      <c r="D79" s="44">
        <f t="shared" ref="D79:D142" si="2">MAX(0,D78+(C78+C79)/2*$B$5)</f>
        <v>0.11999999999999995</v>
      </c>
      <c r="E79" s="44">
        <f t="shared" ref="E79:E142" si="3">E78+(D78+D79)/2*$B$5</f>
        <v>4.6994999999999995E-2</v>
      </c>
      <c r="F79" s="40">
        <f>IF(A79&gt;$F$10,0,IF((Params!$C$21+GiaDinh_K3!$D$8*Params!$C$5*C79)&gt;=0,(Params!$C$21+GiaDinh_K3!$D$8*Params!$C$5*C79)*'Tính chọn'!$D$23/Params!$C$16,(Params!$C$21+GiaDinh_K3!$D$8*Params!$C$5*C79)*'Tính chọn'!$D$23*Params!$C$16)+Catalogue!$F$15*C79/'Tính chọn'!$D$23)</f>
        <v>1.8740295480880651</v>
      </c>
      <c r="G79" s="40">
        <f>IF(A79&gt;$F$10,0,IF(('Tính chọn'!$D$6+GiaDinh_K3!$D$8*Params!$C$6*C79)&gt;=0,('Tính chọn'!$D$6+GiaDinh_K3!$D$8*Params!$C$6*C79)*'Tính chọn'!$D$23/Params!$C$16,('Tính chọn'!$D$6+GiaDinh_K3!$D$8*Params!$C$6*C79)*'Tính chọn'!$D$23*Params!$C$16)+Catalogue!$F$15*C79/'Tính chọn'!$D$23)</f>
        <v>0.26602694090382384</v>
      </c>
      <c r="H79" s="43">
        <f>F79*D79/'Tính chọn'!$D$23</f>
        <v>279.46727999999996</v>
      </c>
    </row>
    <row r="80" spans="1:8" x14ac:dyDescent="0.2">
      <c r="A80" s="39">
        <f>66*$B$5</f>
        <v>0.66</v>
      </c>
      <c r="B80" s="40">
        <f>IF(A80&lt;$F$4,GiaDinh_K3!$D$12,IF(A80&lt;$F$5,0,IF(A80&lt;$F$6,-GiaDinh_K3!$D$12,IF(A80&lt;$F$7,0,IF(A80&lt;$F$8,-GiaDinh_K3!$D$12,IF(A80&lt;$F$9,0,IF(A80&lt;$F$10,GiaDinh_K3!$D$12,0)))))))</f>
        <v>0</v>
      </c>
      <c r="C80" s="41">
        <f>IF(A80&lt;$F$4,GiaDinh_K3!$D$12*A80,IF(A80&lt;$F$5,GiaDinh_K3!$D$11,IF(A80&lt;$F$6,GiaDinh_K3!$D$11-GiaDinh_K3!$D$12*(A80-$F$5),IF(A80&lt;$F$7,0,IF(A80&lt;$F$8,-GiaDinh_K3!$D$12*(A80-$F$7),IF(A80&lt;$F$9,-GiaDinh_K3!$D$11,IF(A80&lt;$F$10,-GiaDinh_K3!$D$11+GiaDinh_K3!$D$12*(A80-$F$9),0)))))))</f>
        <v>0</v>
      </c>
      <c r="D80" s="44">
        <f t="shared" si="2"/>
        <v>0.11999999999999995</v>
      </c>
      <c r="E80" s="44">
        <f t="shared" si="3"/>
        <v>4.8194999999999995E-2</v>
      </c>
      <c r="F80" s="40">
        <f>IF(A80&gt;$F$10,0,IF((Params!$C$21+GiaDinh_K3!$D$8*Params!$C$5*C80)&gt;=0,(Params!$C$21+GiaDinh_K3!$D$8*Params!$C$5*C80)*'Tính chọn'!$D$23/Params!$C$16,(Params!$C$21+GiaDinh_K3!$D$8*Params!$C$5*C80)*'Tính chọn'!$D$23*Params!$C$16)+Catalogue!$F$15*C80/'Tính chọn'!$D$23)</f>
        <v>1.8740295480880651</v>
      </c>
      <c r="G80" s="40">
        <f>IF(A80&gt;$F$10,0,IF(('Tính chọn'!$D$6+GiaDinh_K3!$D$8*Params!$C$6*C80)&gt;=0,('Tính chọn'!$D$6+GiaDinh_K3!$D$8*Params!$C$6*C80)*'Tính chọn'!$D$23/Params!$C$16,('Tính chọn'!$D$6+GiaDinh_K3!$D$8*Params!$C$6*C80)*'Tính chọn'!$D$23*Params!$C$16)+Catalogue!$F$15*C80/'Tính chọn'!$D$23)</f>
        <v>0.26602694090382384</v>
      </c>
      <c r="H80" s="43">
        <f>F80*D80/'Tính chọn'!$D$23</f>
        <v>279.46727999999996</v>
      </c>
    </row>
    <row r="81" spans="1:8" x14ac:dyDescent="0.2">
      <c r="A81" s="39">
        <f>67*$B$5</f>
        <v>0.67</v>
      </c>
      <c r="B81" s="40">
        <f>IF(A81&lt;$F$4,GiaDinh_K3!$D$12,IF(A81&lt;$F$5,0,IF(A81&lt;$F$6,-GiaDinh_K3!$D$12,IF(A81&lt;$F$7,0,IF(A81&lt;$F$8,-GiaDinh_K3!$D$12,IF(A81&lt;$F$9,0,IF(A81&lt;$F$10,GiaDinh_K3!$D$12,0)))))))</f>
        <v>0</v>
      </c>
      <c r="C81" s="41">
        <f>IF(A81&lt;$F$4,GiaDinh_K3!$D$12*A81,IF(A81&lt;$F$5,GiaDinh_K3!$D$11,IF(A81&lt;$F$6,GiaDinh_K3!$D$11-GiaDinh_K3!$D$12*(A81-$F$5),IF(A81&lt;$F$7,0,IF(A81&lt;$F$8,-GiaDinh_K3!$D$12*(A81-$F$7),IF(A81&lt;$F$9,-GiaDinh_K3!$D$11,IF(A81&lt;$F$10,-GiaDinh_K3!$D$11+GiaDinh_K3!$D$12*(A81-$F$9),0)))))))</f>
        <v>0</v>
      </c>
      <c r="D81" s="44">
        <f t="shared" si="2"/>
        <v>0.11999999999999995</v>
      </c>
      <c r="E81" s="44">
        <f t="shared" si="3"/>
        <v>4.9394999999999994E-2</v>
      </c>
      <c r="F81" s="40">
        <f>IF(A81&gt;$F$10,0,IF((Params!$C$21+GiaDinh_K3!$D$8*Params!$C$5*C81)&gt;=0,(Params!$C$21+GiaDinh_K3!$D$8*Params!$C$5*C81)*'Tính chọn'!$D$23/Params!$C$16,(Params!$C$21+GiaDinh_K3!$D$8*Params!$C$5*C81)*'Tính chọn'!$D$23*Params!$C$16)+Catalogue!$F$15*C81/'Tính chọn'!$D$23)</f>
        <v>1.8740295480880651</v>
      </c>
      <c r="G81" s="40">
        <f>IF(A81&gt;$F$10,0,IF(('Tính chọn'!$D$6+GiaDinh_K3!$D$8*Params!$C$6*C81)&gt;=0,('Tính chọn'!$D$6+GiaDinh_K3!$D$8*Params!$C$6*C81)*'Tính chọn'!$D$23/Params!$C$16,('Tính chọn'!$D$6+GiaDinh_K3!$D$8*Params!$C$6*C81)*'Tính chọn'!$D$23*Params!$C$16)+Catalogue!$F$15*C81/'Tính chọn'!$D$23)</f>
        <v>0.26602694090382384</v>
      </c>
      <c r="H81" s="43">
        <f>F81*D81/'Tính chọn'!$D$23</f>
        <v>279.46727999999996</v>
      </c>
    </row>
    <row r="82" spans="1:8" x14ac:dyDescent="0.2">
      <c r="A82" s="39">
        <f>68*$B$5</f>
        <v>0.68</v>
      </c>
      <c r="B82" s="40">
        <f>IF(A82&lt;$F$4,GiaDinh_K3!$D$12,IF(A82&lt;$F$5,0,IF(A82&lt;$F$6,-GiaDinh_K3!$D$12,IF(A82&lt;$F$7,0,IF(A82&lt;$F$8,-GiaDinh_K3!$D$12,IF(A82&lt;$F$9,0,IF(A82&lt;$F$10,GiaDinh_K3!$D$12,0)))))))</f>
        <v>0</v>
      </c>
      <c r="C82" s="41">
        <f>IF(A82&lt;$F$4,GiaDinh_K3!$D$12*A82,IF(A82&lt;$F$5,GiaDinh_K3!$D$11,IF(A82&lt;$F$6,GiaDinh_K3!$D$11-GiaDinh_K3!$D$12*(A82-$F$5),IF(A82&lt;$F$7,0,IF(A82&lt;$F$8,-GiaDinh_K3!$D$12*(A82-$F$7),IF(A82&lt;$F$9,-GiaDinh_K3!$D$11,IF(A82&lt;$F$10,-GiaDinh_K3!$D$11+GiaDinh_K3!$D$12*(A82-$F$9),0)))))))</f>
        <v>0</v>
      </c>
      <c r="D82" s="44">
        <f t="shared" si="2"/>
        <v>0.11999999999999995</v>
      </c>
      <c r="E82" s="44">
        <f t="shared" si="3"/>
        <v>5.0594999999999994E-2</v>
      </c>
      <c r="F82" s="40">
        <f>IF(A82&gt;$F$10,0,IF((Params!$C$21+GiaDinh_K3!$D$8*Params!$C$5*C82)&gt;=0,(Params!$C$21+GiaDinh_K3!$D$8*Params!$C$5*C82)*'Tính chọn'!$D$23/Params!$C$16,(Params!$C$21+GiaDinh_K3!$D$8*Params!$C$5*C82)*'Tính chọn'!$D$23*Params!$C$16)+Catalogue!$F$15*C82/'Tính chọn'!$D$23)</f>
        <v>1.8740295480880651</v>
      </c>
      <c r="G82" s="40">
        <f>IF(A82&gt;$F$10,0,IF(('Tính chọn'!$D$6+GiaDinh_K3!$D$8*Params!$C$6*C82)&gt;=0,('Tính chọn'!$D$6+GiaDinh_K3!$D$8*Params!$C$6*C82)*'Tính chọn'!$D$23/Params!$C$16,('Tính chọn'!$D$6+GiaDinh_K3!$D$8*Params!$C$6*C82)*'Tính chọn'!$D$23*Params!$C$16)+Catalogue!$F$15*C82/'Tính chọn'!$D$23)</f>
        <v>0.26602694090382384</v>
      </c>
      <c r="H82" s="43">
        <f>F82*D82/'Tính chọn'!$D$23</f>
        <v>279.46727999999996</v>
      </c>
    </row>
    <row r="83" spans="1:8" x14ac:dyDescent="0.2">
      <c r="A83" s="39">
        <f>69*$B$5</f>
        <v>0.69000000000000006</v>
      </c>
      <c r="B83" s="40">
        <f>IF(A83&lt;$F$4,GiaDinh_K3!$D$12,IF(A83&lt;$F$5,0,IF(A83&lt;$F$6,-GiaDinh_K3!$D$12,IF(A83&lt;$F$7,0,IF(A83&lt;$F$8,-GiaDinh_K3!$D$12,IF(A83&lt;$F$9,0,IF(A83&lt;$F$10,GiaDinh_K3!$D$12,0)))))))</f>
        <v>0</v>
      </c>
      <c r="C83" s="41">
        <f>IF(A83&lt;$F$4,GiaDinh_K3!$D$12*A83,IF(A83&lt;$F$5,GiaDinh_K3!$D$11,IF(A83&lt;$F$6,GiaDinh_K3!$D$11-GiaDinh_K3!$D$12*(A83-$F$5),IF(A83&lt;$F$7,0,IF(A83&lt;$F$8,-GiaDinh_K3!$D$12*(A83-$F$7),IF(A83&lt;$F$9,-GiaDinh_K3!$D$11,IF(A83&lt;$F$10,-GiaDinh_K3!$D$11+GiaDinh_K3!$D$12*(A83-$F$9),0)))))))</f>
        <v>0</v>
      </c>
      <c r="D83" s="44">
        <f t="shared" si="2"/>
        <v>0.11999999999999995</v>
      </c>
      <c r="E83" s="44">
        <f t="shared" si="3"/>
        <v>5.1794999999999994E-2</v>
      </c>
      <c r="F83" s="40">
        <f>IF(A83&gt;$F$10,0,IF((Params!$C$21+GiaDinh_K3!$D$8*Params!$C$5*C83)&gt;=0,(Params!$C$21+GiaDinh_K3!$D$8*Params!$C$5*C83)*'Tính chọn'!$D$23/Params!$C$16,(Params!$C$21+GiaDinh_K3!$D$8*Params!$C$5*C83)*'Tính chọn'!$D$23*Params!$C$16)+Catalogue!$F$15*C83/'Tính chọn'!$D$23)</f>
        <v>1.8740295480880651</v>
      </c>
      <c r="G83" s="40">
        <f>IF(A83&gt;$F$10,0,IF(('Tính chọn'!$D$6+GiaDinh_K3!$D$8*Params!$C$6*C83)&gt;=0,('Tính chọn'!$D$6+GiaDinh_K3!$D$8*Params!$C$6*C83)*'Tính chọn'!$D$23/Params!$C$16,('Tính chọn'!$D$6+GiaDinh_K3!$D$8*Params!$C$6*C83)*'Tính chọn'!$D$23*Params!$C$16)+Catalogue!$F$15*C83/'Tính chọn'!$D$23)</f>
        <v>0.26602694090382384</v>
      </c>
      <c r="H83" s="43">
        <f>F83*D83/'Tính chọn'!$D$23</f>
        <v>279.46727999999996</v>
      </c>
    </row>
    <row r="84" spans="1:8" x14ac:dyDescent="0.2">
      <c r="A84" s="39">
        <f>70*$B$5</f>
        <v>0.70000000000000007</v>
      </c>
      <c r="B84" s="40">
        <f>IF(A84&lt;$F$4,GiaDinh_K3!$D$12,IF(A84&lt;$F$5,0,IF(A84&lt;$F$6,-GiaDinh_K3!$D$12,IF(A84&lt;$F$7,0,IF(A84&lt;$F$8,-GiaDinh_K3!$D$12,IF(A84&lt;$F$9,0,IF(A84&lt;$F$10,GiaDinh_K3!$D$12,0)))))))</f>
        <v>0</v>
      </c>
      <c r="C84" s="41">
        <f>IF(A84&lt;$F$4,GiaDinh_K3!$D$12*A84,IF(A84&lt;$F$5,GiaDinh_K3!$D$11,IF(A84&lt;$F$6,GiaDinh_K3!$D$11-GiaDinh_K3!$D$12*(A84-$F$5),IF(A84&lt;$F$7,0,IF(A84&lt;$F$8,-GiaDinh_K3!$D$12*(A84-$F$7),IF(A84&lt;$F$9,-GiaDinh_K3!$D$11,IF(A84&lt;$F$10,-GiaDinh_K3!$D$11+GiaDinh_K3!$D$12*(A84-$F$9),0)))))))</f>
        <v>0</v>
      </c>
      <c r="D84" s="44">
        <f t="shared" si="2"/>
        <v>0.11999999999999995</v>
      </c>
      <c r="E84" s="44">
        <f t="shared" si="3"/>
        <v>5.2994999999999994E-2</v>
      </c>
      <c r="F84" s="40">
        <f>IF(A84&gt;$F$10,0,IF((Params!$C$21+GiaDinh_K3!$D$8*Params!$C$5*C84)&gt;=0,(Params!$C$21+GiaDinh_K3!$D$8*Params!$C$5*C84)*'Tính chọn'!$D$23/Params!$C$16,(Params!$C$21+GiaDinh_K3!$D$8*Params!$C$5*C84)*'Tính chọn'!$D$23*Params!$C$16)+Catalogue!$F$15*C84/'Tính chọn'!$D$23)</f>
        <v>1.8740295480880651</v>
      </c>
      <c r="G84" s="40">
        <f>IF(A84&gt;$F$10,0,IF(('Tính chọn'!$D$6+GiaDinh_K3!$D$8*Params!$C$6*C84)&gt;=0,('Tính chọn'!$D$6+GiaDinh_K3!$D$8*Params!$C$6*C84)*'Tính chọn'!$D$23/Params!$C$16,('Tính chọn'!$D$6+GiaDinh_K3!$D$8*Params!$C$6*C84)*'Tính chọn'!$D$23*Params!$C$16)+Catalogue!$F$15*C84/'Tính chọn'!$D$23)</f>
        <v>0.26602694090382384</v>
      </c>
      <c r="H84" s="43">
        <f>F84*D84/'Tính chọn'!$D$23</f>
        <v>279.46727999999996</v>
      </c>
    </row>
    <row r="85" spans="1:8" x14ac:dyDescent="0.2">
      <c r="A85" s="39">
        <f>71*$B$5</f>
        <v>0.71</v>
      </c>
      <c r="B85" s="40">
        <f>IF(A85&lt;$F$4,GiaDinh_K3!$D$12,IF(A85&lt;$F$5,0,IF(A85&lt;$F$6,-GiaDinh_K3!$D$12,IF(A85&lt;$F$7,0,IF(A85&lt;$F$8,-GiaDinh_K3!$D$12,IF(A85&lt;$F$9,0,IF(A85&lt;$F$10,GiaDinh_K3!$D$12,0)))))))</f>
        <v>0</v>
      </c>
      <c r="C85" s="41">
        <f>IF(A85&lt;$F$4,GiaDinh_K3!$D$12*A85,IF(A85&lt;$F$5,GiaDinh_K3!$D$11,IF(A85&lt;$F$6,GiaDinh_K3!$D$11-GiaDinh_K3!$D$12*(A85-$F$5),IF(A85&lt;$F$7,0,IF(A85&lt;$F$8,-GiaDinh_K3!$D$12*(A85-$F$7),IF(A85&lt;$F$9,-GiaDinh_K3!$D$11,IF(A85&lt;$F$10,-GiaDinh_K3!$D$11+GiaDinh_K3!$D$12*(A85-$F$9),0)))))))</f>
        <v>0</v>
      </c>
      <c r="D85" s="44">
        <f t="shared" si="2"/>
        <v>0.11999999999999995</v>
      </c>
      <c r="E85" s="44">
        <f t="shared" si="3"/>
        <v>5.4194999999999993E-2</v>
      </c>
      <c r="F85" s="40">
        <f>IF(A85&gt;$F$10,0,IF((Params!$C$21+GiaDinh_K3!$D$8*Params!$C$5*C85)&gt;=0,(Params!$C$21+GiaDinh_K3!$D$8*Params!$C$5*C85)*'Tính chọn'!$D$23/Params!$C$16,(Params!$C$21+GiaDinh_K3!$D$8*Params!$C$5*C85)*'Tính chọn'!$D$23*Params!$C$16)+Catalogue!$F$15*C85/'Tính chọn'!$D$23)</f>
        <v>1.8740295480880651</v>
      </c>
      <c r="G85" s="40">
        <f>IF(A85&gt;$F$10,0,IF(('Tính chọn'!$D$6+GiaDinh_K3!$D$8*Params!$C$6*C85)&gt;=0,('Tính chọn'!$D$6+GiaDinh_K3!$D$8*Params!$C$6*C85)*'Tính chọn'!$D$23/Params!$C$16,('Tính chọn'!$D$6+GiaDinh_K3!$D$8*Params!$C$6*C85)*'Tính chọn'!$D$23*Params!$C$16)+Catalogue!$F$15*C85/'Tính chọn'!$D$23)</f>
        <v>0.26602694090382384</v>
      </c>
      <c r="H85" s="43">
        <f>F85*D85/'Tính chọn'!$D$23</f>
        <v>279.46727999999996</v>
      </c>
    </row>
    <row r="86" spans="1:8" x14ac:dyDescent="0.2">
      <c r="A86" s="39">
        <f>72*$B$5</f>
        <v>0.72</v>
      </c>
      <c r="B86" s="40">
        <f>IF(A86&lt;$F$4,GiaDinh_K3!$D$12,IF(A86&lt;$F$5,0,IF(A86&lt;$F$6,-GiaDinh_K3!$D$12,IF(A86&lt;$F$7,0,IF(A86&lt;$F$8,-GiaDinh_K3!$D$12,IF(A86&lt;$F$9,0,IF(A86&lt;$F$10,GiaDinh_K3!$D$12,0)))))))</f>
        <v>0</v>
      </c>
      <c r="C86" s="41">
        <f>IF(A86&lt;$F$4,GiaDinh_K3!$D$12*A86,IF(A86&lt;$F$5,GiaDinh_K3!$D$11,IF(A86&lt;$F$6,GiaDinh_K3!$D$11-GiaDinh_K3!$D$12*(A86-$F$5),IF(A86&lt;$F$7,0,IF(A86&lt;$F$8,-GiaDinh_K3!$D$12*(A86-$F$7),IF(A86&lt;$F$9,-GiaDinh_K3!$D$11,IF(A86&lt;$F$10,-GiaDinh_K3!$D$11+GiaDinh_K3!$D$12*(A86-$F$9),0)))))))</f>
        <v>0</v>
      </c>
      <c r="D86" s="44">
        <f t="shared" si="2"/>
        <v>0.11999999999999995</v>
      </c>
      <c r="E86" s="44">
        <f t="shared" si="3"/>
        <v>5.5394999999999993E-2</v>
      </c>
      <c r="F86" s="40">
        <f>IF(A86&gt;$F$10,0,IF((Params!$C$21+GiaDinh_K3!$D$8*Params!$C$5*C86)&gt;=0,(Params!$C$21+GiaDinh_K3!$D$8*Params!$C$5*C86)*'Tính chọn'!$D$23/Params!$C$16,(Params!$C$21+GiaDinh_K3!$D$8*Params!$C$5*C86)*'Tính chọn'!$D$23*Params!$C$16)+Catalogue!$F$15*C86/'Tính chọn'!$D$23)</f>
        <v>1.8740295480880651</v>
      </c>
      <c r="G86" s="40">
        <f>IF(A86&gt;$F$10,0,IF(('Tính chọn'!$D$6+GiaDinh_K3!$D$8*Params!$C$6*C86)&gt;=0,('Tính chọn'!$D$6+GiaDinh_K3!$D$8*Params!$C$6*C86)*'Tính chọn'!$D$23/Params!$C$16,('Tính chọn'!$D$6+GiaDinh_K3!$D$8*Params!$C$6*C86)*'Tính chọn'!$D$23*Params!$C$16)+Catalogue!$F$15*C86/'Tính chọn'!$D$23)</f>
        <v>0.26602694090382384</v>
      </c>
      <c r="H86" s="43">
        <f>F86*D86/'Tính chọn'!$D$23</f>
        <v>279.46727999999996</v>
      </c>
    </row>
    <row r="87" spans="1:8" x14ac:dyDescent="0.2">
      <c r="A87" s="39">
        <f>73*$B$5</f>
        <v>0.73</v>
      </c>
      <c r="B87" s="40">
        <f>IF(A87&lt;$F$4,GiaDinh_K3!$D$12,IF(A87&lt;$F$5,0,IF(A87&lt;$F$6,-GiaDinh_K3!$D$12,IF(A87&lt;$F$7,0,IF(A87&lt;$F$8,-GiaDinh_K3!$D$12,IF(A87&lt;$F$9,0,IF(A87&lt;$F$10,GiaDinh_K3!$D$12,0)))))))</f>
        <v>0</v>
      </c>
      <c r="C87" s="41">
        <f>IF(A87&lt;$F$4,GiaDinh_K3!$D$12*A87,IF(A87&lt;$F$5,GiaDinh_K3!$D$11,IF(A87&lt;$F$6,GiaDinh_K3!$D$11-GiaDinh_K3!$D$12*(A87-$F$5),IF(A87&lt;$F$7,0,IF(A87&lt;$F$8,-GiaDinh_K3!$D$12*(A87-$F$7),IF(A87&lt;$F$9,-GiaDinh_K3!$D$11,IF(A87&lt;$F$10,-GiaDinh_K3!$D$11+GiaDinh_K3!$D$12*(A87-$F$9),0)))))))</f>
        <v>0</v>
      </c>
      <c r="D87" s="44">
        <f t="shared" si="2"/>
        <v>0.11999999999999995</v>
      </c>
      <c r="E87" s="44">
        <f t="shared" si="3"/>
        <v>5.6594999999999993E-2</v>
      </c>
      <c r="F87" s="40">
        <f>IF(A87&gt;$F$10,0,IF((Params!$C$21+GiaDinh_K3!$D$8*Params!$C$5*C87)&gt;=0,(Params!$C$21+GiaDinh_K3!$D$8*Params!$C$5*C87)*'Tính chọn'!$D$23/Params!$C$16,(Params!$C$21+GiaDinh_K3!$D$8*Params!$C$5*C87)*'Tính chọn'!$D$23*Params!$C$16)+Catalogue!$F$15*C87/'Tính chọn'!$D$23)</f>
        <v>1.8740295480880651</v>
      </c>
      <c r="G87" s="40">
        <f>IF(A87&gt;$F$10,0,IF(('Tính chọn'!$D$6+GiaDinh_K3!$D$8*Params!$C$6*C87)&gt;=0,('Tính chọn'!$D$6+GiaDinh_K3!$D$8*Params!$C$6*C87)*'Tính chọn'!$D$23/Params!$C$16,('Tính chọn'!$D$6+GiaDinh_K3!$D$8*Params!$C$6*C87)*'Tính chọn'!$D$23*Params!$C$16)+Catalogue!$F$15*C87/'Tính chọn'!$D$23)</f>
        <v>0.26602694090382384</v>
      </c>
      <c r="H87" s="43">
        <f>F87*D87/'Tính chọn'!$D$23</f>
        <v>279.46727999999996</v>
      </c>
    </row>
    <row r="88" spans="1:8" x14ac:dyDescent="0.2">
      <c r="A88" s="39">
        <f>74*$B$5</f>
        <v>0.74</v>
      </c>
      <c r="B88" s="40">
        <f>IF(A88&lt;$F$4,GiaDinh_K3!$D$12,IF(A88&lt;$F$5,0,IF(A88&lt;$F$6,-GiaDinh_K3!$D$12,IF(A88&lt;$F$7,0,IF(A88&lt;$F$8,-GiaDinh_K3!$D$12,IF(A88&lt;$F$9,0,IF(A88&lt;$F$10,GiaDinh_K3!$D$12,0)))))))</f>
        <v>0</v>
      </c>
      <c r="C88" s="41">
        <f>IF(A88&lt;$F$4,GiaDinh_K3!$D$12*A88,IF(A88&lt;$F$5,GiaDinh_K3!$D$11,IF(A88&lt;$F$6,GiaDinh_K3!$D$11-GiaDinh_K3!$D$12*(A88-$F$5),IF(A88&lt;$F$7,0,IF(A88&lt;$F$8,-GiaDinh_K3!$D$12*(A88-$F$7),IF(A88&lt;$F$9,-GiaDinh_K3!$D$11,IF(A88&lt;$F$10,-GiaDinh_K3!$D$11+GiaDinh_K3!$D$12*(A88-$F$9),0)))))))</f>
        <v>0</v>
      </c>
      <c r="D88" s="44">
        <f t="shared" si="2"/>
        <v>0.11999999999999995</v>
      </c>
      <c r="E88" s="44">
        <f t="shared" si="3"/>
        <v>5.7794999999999992E-2</v>
      </c>
      <c r="F88" s="40">
        <f>IF(A88&gt;$F$10,0,IF((Params!$C$21+GiaDinh_K3!$D$8*Params!$C$5*C88)&gt;=0,(Params!$C$21+GiaDinh_K3!$D$8*Params!$C$5*C88)*'Tính chọn'!$D$23/Params!$C$16,(Params!$C$21+GiaDinh_K3!$D$8*Params!$C$5*C88)*'Tính chọn'!$D$23*Params!$C$16)+Catalogue!$F$15*C88/'Tính chọn'!$D$23)</f>
        <v>1.8740295480880651</v>
      </c>
      <c r="G88" s="40">
        <f>IF(A88&gt;$F$10,0,IF(('Tính chọn'!$D$6+GiaDinh_K3!$D$8*Params!$C$6*C88)&gt;=0,('Tính chọn'!$D$6+GiaDinh_K3!$D$8*Params!$C$6*C88)*'Tính chọn'!$D$23/Params!$C$16,('Tính chọn'!$D$6+GiaDinh_K3!$D$8*Params!$C$6*C88)*'Tính chọn'!$D$23*Params!$C$16)+Catalogue!$F$15*C88/'Tính chọn'!$D$23)</f>
        <v>0.26602694090382384</v>
      </c>
      <c r="H88" s="43">
        <f>F88*D88/'Tính chọn'!$D$23</f>
        <v>279.46727999999996</v>
      </c>
    </row>
    <row r="89" spans="1:8" x14ac:dyDescent="0.2">
      <c r="A89" s="39">
        <f>75*$B$5</f>
        <v>0.75</v>
      </c>
      <c r="B89" s="40">
        <f>IF(A89&lt;$F$4,GiaDinh_K3!$D$12,IF(A89&lt;$F$5,0,IF(A89&lt;$F$6,-GiaDinh_K3!$D$12,IF(A89&lt;$F$7,0,IF(A89&lt;$F$8,-GiaDinh_K3!$D$12,IF(A89&lt;$F$9,0,IF(A89&lt;$F$10,GiaDinh_K3!$D$12,0)))))))</f>
        <v>0</v>
      </c>
      <c r="C89" s="41">
        <f>IF(A89&lt;$F$4,GiaDinh_K3!$D$12*A89,IF(A89&lt;$F$5,GiaDinh_K3!$D$11,IF(A89&lt;$F$6,GiaDinh_K3!$D$11-GiaDinh_K3!$D$12*(A89-$F$5),IF(A89&lt;$F$7,0,IF(A89&lt;$F$8,-GiaDinh_K3!$D$12*(A89-$F$7),IF(A89&lt;$F$9,-GiaDinh_K3!$D$11,IF(A89&lt;$F$10,-GiaDinh_K3!$D$11+GiaDinh_K3!$D$12*(A89-$F$9),0)))))))</f>
        <v>0</v>
      </c>
      <c r="D89" s="44">
        <f t="shared" si="2"/>
        <v>0.11999999999999995</v>
      </c>
      <c r="E89" s="44">
        <f t="shared" si="3"/>
        <v>5.8994999999999992E-2</v>
      </c>
      <c r="F89" s="40">
        <f>IF(A89&gt;$F$10,0,IF((Params!$C$21+GiaDinh_K3!$D$8*Params!$C$5*C89)&gt;=0,(Params!$C$21+GiaDinh_K3!$D$8*Params!$C$5*C89)*'Tính chọn'!$D$23/Params!$C$16,(Params!$C$21+GiaDinh_K3!$D$8*Params!$C$5*C89)*'Tính chọn'!$D$23*Params!$C$16)+Catalogue!$F$15*C89/'Tính chọn'!$D$23)</f>
        <v>1.8740295480880651</v>
      </c>
      <c r="G89" s="40">
        <f>IF(A89&gt;$F$10,0,IF(('Tính chọn'!$D$6+GiaDinh_K3!$D$8*Params!$C$6*C89)&gt;=0,('Tính chọn'!$D$6+GiaDinh_K3!$D$8*Params!$C$6*C89)*'Tính chọn'!$D$23/Params!$C$16,('Tính chọn'!$D$6+GiaDinh_K3!$D$8*Params!$C$6*C89)*'Tính chọn'!$D$23*Params!$C$16)+Catalogue!$F$15*C89/'Tính chọn'!$D$23)</f>
        <v>0.26602694090382384</v>
      </c>
      <c r="H89" s="43">
        <f>F89*D89/'Tính chọn'!$D$23</f>
        <v>279.46727999999996</v>
      </c>
    </row>
    <row r="90" spans="1:8" x14ac:dyDescent="0.2">
      <c r="A90" s="39">
        <f>76*$B$5</f>
        <v>0.76</v>
      </c>
      <c r="B90" s="40">
        <f>IF(A90&lt;$F$4,GiaDinh_K3!$D$12,IF(A90&lt;$F$5,0,IF(A90&lt;$F$6,-GiaDinh_K3!$D$12,IF(A90&lt;$F$7,0,IF(A90&lt;$F$8,-GiaDinh_K3!$D$12,IF(A90&lt;$F$9,0,IF(A90&lt;$F$10,GiaDinh_K3!$D$12,0)))))))</f>
        <v>0</v>
      </c>
      <c r="C90" s="41">
        <f>IF(A90&lt;$F$4,GiaDinh_K3!$D$12*A90,IF(A90&lt;$F$5,GiaDinh_K3!$D$11,IF(A90&lt;$F$6,GiaDinh_K3!$D$11-GiaDinh_K3!$D$12*(A90-$F$5),IF(A90&lt;$F$7,0,IF(A90&lt;$F$8,-GiaDinh_K3!$D$12*(A90-$F$7),IF(A90&lt;$F$9,-GiaDinh_K3!$D$11,IF(A90&lt;$F$10,-GiaDinh_K3!$D$11+GiaDinh_K3!$D$12*(A90-$F$9),0)))))))</f>
        <v>0</v>
      </c>
      <c r="D90" s="44">
        <f t="shared" si="2"/>
        <v>0.11999999999999995</v>
      </c>
      <c r="E90" s="44">
        <f t="shared" si="3"/>
        <v>6.0194999999999992E-2</v>
      </c>
      <c r="F90" s="40">
        <f>IF(A90&gt;$F$10,0,IF((Params!$C$21+GiaDinh_K3!$D$8*Params!$C$5*C90)&gt;=0,(Params!$C$21+GiaDinh_K3!$D$8*Params!$C$5*C90)*'Tính chọn'!$D$23/Params!$C$16,(Params!$C$21+GiaDinh_K3!$D$8*Params!$C$5*C90)*'Tính chọn'!$D$23*Params!$C$16)+Catalogue!$F$15*C90/'Tính chọn'!$D$23)</f>
        <v>1.8740295480880651</v>
      </c>
      <c r="G90" s="40">
        <f>IF(A90&gt;$F$10,0,IF(('Tính chọn'!$D$6+GiaDinh_K3!$D$8*Params!$C$6*C90)&gt;=0,('Tính chọn'!$D$6+GiaDinh_K3!$D$8*Params!$C$6*C90)*'Tính chọn'!$D$23/Params!$C$16,('Tính chọn'!$D$6+GiaDinh_K3!$D$8*Params!$C$6*C90)*'Tính chọn'!$D$23*Params!$C$16)+Catalogue!$F$15*C90/'Tính chọn'!$D$23)</f>
        <v>0.26602694090382384</v>
      </c>
      <c r="H90" s="43">
        <f>F90*D90/'Tính chọn'!$D$23</f>
        <v>279.46727999999996</v>
      </c>
    </row>
    <row r="91" spans="1:8" x14ac:dyDescent="0.2">
      <c r="A91" s="39">
        <f>77*$B$5</f>
        <v>0.77</v>
      </c>
      <c r="B91" s="40">
        <f>IF(A91&lt;$F$4,GiaDinh_K3!$D$12,IF(A91&lt;$F$5,0,IF(A91&lt;$F$6,-GiaDinh_K3!$D$12,IF(A91&lt;$F$7,0,IF(A91&lt;$F$8,-GiaDinh_K3!$D$12,IF(A91&lt;$F$9,0,IF(A91&lt;$F$10,GiaDinh_K3!$D$12,0)))))))</f>
        <v>0</v>
      </c>
      <c r="C91" s="41">
        <f>IF(A91&lt;$F$4,GiaDinh_K3!$D$12*A91,IF(A91&lt;$F$5,GiaDinh_K3!$D$11,IF(A91&lt;$F$6,GiaDinh_K3!$D$11-GiaDinh_K3!$D$12*(A91-$F$5),IF(A91&lt;$F$7,0,IF(A91&lt;$F$8,-GiaDinh_K3!$D$12*(A91-$F$7),IF(A91&lt;$F$9,-GiaDinh_K3!$D$11,IF(A91&lt;$F$10,-GiaDinh_K3!$D$11+GiaDinh_K3!$D$12*(A91-$F$9),0)))))))</f>
        <v>0</v>
      </c>
      <c r="D91" s="44">
        <f t="shared" si="2"/>
        <v>0.11999999999999995</v>
      </c>
      <c r="E91" s="44">
        <f t="shared" si="3"/>
        <v>6.1394999999999991E-2</v>
      </c>
      <c r="F91" s="40">
        <f>IF(A91&gt;$F$10,0,IF((Params!$C$21+GiaDinh_K3!$D$8*Params!$C$5*C91)&gt;=0,(Params!$C$21+GiaDinh_K3!$D$8*Params!$C$5*C91)*'Tính chọn'!$D$23/Params!$C$16,(Params!$C$21+GiaDinh_K3!$D$8*Params!$C$5*C91)*'Tính chọn'!$D$23*Params!$C$16)+Catalogue!$F$15*C91/'Tính chọn'!$D$23)</f>
        <v>1.8740295480880651</v>
      </c>
      <c r="G91" s="40">
        <f>IF(A91&gt;$F$10,0,IF(('Tính chọn'!$D$6+GiaDinh_K3!$D$8*Params!$C$6*C91)&gt;=0,('Tính chọn'!$D$6+GiaDinh_K3!$D$8*Params!$C$6*C91)*'Tính chọn'!$D$23/Params!$C$16,('Tính chọn'!$D$6+GiaDinh_K3!$D$8*Params!$C$6*C91)*'Tính chọn'!$D$23*Params!$C$16)+Catalogue!$F$15*C91/'Tính chọn'!$D$23)</f>
        <v>0.26602694090382384</v>
      </c>
      <c r="H91" s="43">
        <f>F91*D91/'Tính chọn'!$D$23</f>
        <v>279.46727999999996</v>
      </c>
    </row>
    <row r="92" spans="1:8" x14ac:dyDescent="0.2">
      <c r="A92" s="39">
        <f>78*$B$5</f>
        <v>0.78</v>
      </c>
      <c r="B92" s="40">
        <f>IF(A92&lt;$F$4,GiaDinh_K3!$D$12,IF(A92&lt;$F$5,0,IF(A92&lt;$F$6,-GiaDinh_K3!$D$12,IF(A92&lt;$F$7,0,IF(A92&lt;$F$8,-GiaDinh_K3!$D$12,IF(A92&lt;$F$9,0,IF(A92&lt;$F$10,GiaDinh_K3!$D$12,0)))))))</f>
        <v>0</v>
      </c>
      <c r="C92" s="41">
        <f>IF(A92&lt;$F$4,GiaDinh_K3!$D$12*A92,IF(A92&lt;$F$5,GiaDinh_K3!$D$11,IF(A92&lt;$F$6,GiaDinh_K3!$D$11-GiaDinh_K3!$D$12*(A92-$F$5),IF(A92&lt;$F$7,0,IF(A92&lt;$F$8,-GiaDinh_K3!$D$12*(A92-$F$7),IF(A92&lt;$F$9,-GiaDinh_K3!$D$11,IF(A92&lt;$F$10,-GiaDinh_K3!$D$11+GiaDinh_K3!$D$12*(A92-$F$9),0)))))))</f>
        <v>0</v>
      </c>
      <c r="D92" s="44">
        <f t="shared" si="2"/>
        <v>0.11999999999999995</v>
      </c>
      <c r="E92" s="44">
        <f t="shared" si="3"/>
        <v>6.2594999999999984E-2</v>
      </c>
      <c r="F92" s="40">
        <f>IF(A92&gt;$F$10,0,IF((Params!$C$21+GiaDinh_K3!$D$8*Params!$C$5*C92)&gt;=0,(Params!$C$21+GiaDinh_K3!$D$8*Params!$C$5*C92)*'Tính chọn'!$D$23/Params!$C$16,(Params!$C$21+GiaDinh_K3!$D$8*Params!$C$5*C92)*'Tính chọn'!$D$23*Params!$C$16)+Catalogue!$F$15*C92/'Tính chọn'!$D$23)</f>
        <v>1.8740295480880651</v>
      </c>
      <c r="G92" s="40">
        <f>IF(A92&gt;$F$10,0,IF(('Tính chọn'!$D$6+GiaDinh_K3!$D$8*Params!$C$6*C92)&gt;=0,('Tính chọn'!$D$6+GiaDinh_K3!$D$8*Params!$C$6*C92)*'Tính chọn'!$D$23/Params!$C$16,('Tính chọn'!$D$6+GiaDinh_K3!$D$8*Params!$C$6*C92)*'Tính chọn'!$D$23*Params!$C$16)+Catalogue!$F$15*C92/'Tính chọn'!$D$23)</f>
        <v>0.26602694090382384</v>
      </c>
      <c r="H92" s="43">
        <f>F92*D92/'Tính chọn'!$D$23</f>
        <v>279.46727999999996</v>
      </c>
    </row>
    <row r="93" spans="1:8" x14ac:dyDescent="0.2">
      <c r="A93" s="39">
        <f>79*$B$5</f>
        <v>0.79</v>
      </c>
      <c r="B93" s="40">
        <f>IF(A93&lt;$F$4,GiaDinh_K3!$D$12,IF(A93&lt;$F$5,0,IF(A93&lt;$F$6,-GiaDinh_K3!$D$12,IF(A93&lt;$F$7,0,IF(A93&lt;$F$8,-GiaDinh_K3!$D$12,IF(A93&lt;$F$9,0,IF(A93&lt;$F$10,GiaDinh_K3!$D$12,0)))))))</f>
        <v>0</v>
      </c>
      <c r="C93" s="41">
        <f>IF(A93&lt;$F$4,GiaDinh_K3!$D$12*A93,IF(A93&lt;$F$5,GiaDinh_K3!$D$11,IF(A93&lt;$F$6,GiaDinh_K3!$D$11-GiaDinh_K3!$D$12*(A93-$F$5),IF(A93&lt;$F$7,0,IF(A93&lt;$F$8,-GiaDinh_K3!$D$12*(A93-$F$7),IF(A93&lt;$F$9,-GiaDinh_K3!$D$11,IF(A93&lt;$F$10,-GiaDinh_K3!$D$11+GiaDinh_K3!$D$12*(A93-$F$9),0)))))))</f>
        <v>0</v>
      </c>
      <c r="D93" s="44">
        <f t="shared" si="2"/>
        <v>0.11999999999999995</v>
      </c>
      <c r="E93" s="44">
        <f t="shared" si="3"/>
        <v>6.3794999999999977E-2</v>
      </c>
      <c r="F93" s="40">
        <f>IF(A93&gt;$F$10,0,IF((Params!$C$21+GiaDinh_K3!$D$8*Params!$C$5*C93)&gt;=0,(Params!$C$21+GiaDinh_K3!$D$8*Params!$C$5*C93)*'Tính chọn'!$D$23/Params!$C$16,(Params!$C$21+GiaDinh_K3!$D$8*Params!$C$5*C93)*'Tính chọn'!$D$23*Params!$C$16)+Catalogue!$F$15*C93/'Tính chọn'!$D$23)</f>
        <v>1.8740295480880651</v>
      </c>
      <c r="G93" s="40">
        <f>IF(A93&gt;$F$10,0,IF(('Tính chọn'!$D$6+GiaDinh_K3!$D$8*Params!$C$6*C93)&gt;=0,('Tính chọn'!$D$6+GiaDinh_K3!$D$8*Params!$C$6*C93)*'Tính chọn'!$D$23/Params!$C$16,('Tính chọn'!$D$6+GiaDinh_K3!$D$8*Params!$C$6*C93)*'Tính chọn'!$D$23*Params!$C$16)+Catalogue!$F$15*C93/'Tính chọn'!$D$23)</f>
        <v>0.26602694090382384</v>
      </c>
      <c r="H93" s="43">
        <f>F93*D93/'Tính chọn'!$D$23</f>
        <v>279.46727999999996</v>
      </c>
    </row>
    <row r="94" spans="1:8" x14ac:dyDescent="0.2">
      <c r="A94" s="39">
        <f>80*$B$5</f>
        <v>0.8</v>
      </c>
      <c r="B94" s="40">
        <f>IF(A94&lt;$F$4,GiaDinh_K3!$D$12,IF(A94&lt;$F$5,0,IF(A94&lt;$F$6,-GiaDinh_K3!$D$12,IF(A94&lt;$F$7,0,IF(A94&lt;$F$8,-GiaDinh_K3!$D$12,IF(A94&lt;$F$9,0,IF(A94&lt;$F$10,GiaDinh_K3!$D$12,0)))))))</f>
        <v>0</v>
      </c>
      <c r="C94" s="41">
        <f>IF(A94&lt;$F$4,GiaDinh_K3!$D$12*A94,IF(A94&lt;$F$5,GiaDinh_K3!$D$11,IF(A94&lt;$F$6,GiaDinh_K3!$D$11-GiaDinh_K3!$D$12*(A94-$F$5),IF(A94&lt;$F$7,0,IF(A94&lt;$F$8,-GiaDinh_K3!$D$12*(A94-$F$7),IF(A94&lt;$F$9,-GiaDinh_K3!$D$11,IF(A94&lt;$F$10,-GiaDinh_K3!$D$11+GiaDinh_K3!$D$12*(A94-$F$9),0)))))))</f>
        <v>0</v>
      </c>
      <c r="D94" s="44">
        <f t="shared" si="2"/>
        <v>0.11999999999999995</v>
      </c>
      <c r="E94" s="44">
        <f t="shared" si="3"/>
        <v>6.4994999999999969E-2</v>
      </c>
      <c r="F94" s="40">
        <f>IF(A94&gt;$F$10,0,IF((Params!$C$21+GiaDinh_K3!$D$8*Params!$C$5*C94)&gt;=0,(Params!$C$21+GiaDinh_K3!$D$8*Params!$C$5*C94)*'Tính chọn'!$D$23/Params!$C$16,(Params!$C$21+GiaDinh_K3!$D$8*Params!$C$5*C94)*'Tính chọn'!$D$23*Params!$C$16)+Catalogue!$F$15*C94/'Tính chọn'!$D$23)</f>
        <v>1.8740295480880651</v>
      </c>
      <c r="G94" s="40">
        <f>IF(A94&gt;$F$10,0,IF(('Tính chọn'!$D$6+GiaDinh_K3!$D$8*Params!$C$6*C94)&gt;=0,('Tính chọn'!$D$6+GiaDinh_K3!$D$8*Params!$C$6*C94)*'Tính chọn'!$D$23/Params!$C$16,('Tính chọn'!$D$6+GiaDinh_K3!$D$8*Params!$C$6*C94)*'Tính chọn'!$D$23*Params!$C$16)+Catalogue!$F$15*C94/'Tính chọn'!$D$23)</f>
        <v>0.26602694090382384</v>
      </c>
      <c r="H94" s="43">
        <f>F94*D94/'Tính chọn'!$D$23</f>
        <v>279.46727999999996</v>
      </c>
    </row>
    <row r="95" spans="1:8" x14ac:dyDescent="0.2">
      <c r="A95" s="39">
        <f>81*$B$5</f>
        <v>0.81</v>
      </c>
      <c r="B95" s="40">
        <f>IF(A95&lt;$F$4,GiaDinh_K3!$D$12,IF(A95&lt;$F$5,0,IF(A95&lt;$F$6,-GiaDinh_K3!$D$12,IF(A95&lt;$F$7,0,IF(A95&lt;$F$8,-GiaDinh_K3!$D$12,IF(A95&lt;$F$9,0,IF(A95&lt;$F$10,GiaDinh_K3!$D$12,0)))))))</f>
        <v>0</v>
      </c>
      <c r="C95" s="41">
        <f>IF(A95&lt;$F$4,GiaDinh_K3!$D$12*A95,IF(A95&lt;$F$5,GiaDinh_K3!$D$11,IF(A95&lt;$F$6,GiaDinh_K3!$D$11-GiaDinh_K3!$D$12*(A95-$F$5),IF(A95&lt;$F$7,0,IF(A95&lt;$F$8,-GiaDinh_K3!$D$12*(A95-$F$7),IF(A95&lt;$F$9,-GiaDinh_K3!$D$11,IF(A95&lt;$F$10,-GiaDinh_K3!$D$11+GiaDinh_K3!$D$12*(A95-$F$9),0)))))))</f>
        <v>0</v>
      </c>
      <c r="D95" s="44">
        <f t="shared" si="2"/>
        <v>0.11999999999999995</v>
      </c>
      <c r="E95" s="44">
        <f t="shared" si="3"/>
        <v>6.6194999999999962E-2</v>
      </c>
      <c r="F95" s="40">
        <f>IF(A95&gt;$F$10,0,IF((Params!$C$21+GiaDinh_K3!$D$8*Params!$C$5*C95)&gt;=0,(Params!$C$21+GiaDinh_K3!$D$8*Params!$C$5*C95)*'Tính chọn'!$D$23/Params!$C$16,(Params!$C$21+GiaDinh_K3!$D$8*Params!$C$5*C95)*'Tính chọn'!$D$23*Params!$C$16)+Catalogue!$F$15*C95/'Tính chọn'!$D$23)</f>
        <v>1.8740295480880651</v>
      </c>
      <c r="G95" s="40">
        <f>IF(A95&gt;$F$10,0,IF(('Tính chọn'!$D$6+GiaDinh_K3!$D$8*Params!$C$6*C95)&gt;=0,('Tính chọn'!$D$6+GiaDinh_K3!$D$8*Params!$C$6*C95)*'Tính chọn'!$D$23/Params!$C$16,('Tính chọn'!$D$6+GiaDinh_K3!$D$8*Params!$C$6*C95)*'Tính chọn'!$D$23*Params!$C$16)+Catalogue!$F$15*C95/'Tính chọn'!$D$23)</f>
        <v>0.26602694090382384</v>
      </c>
      <c r="H95" s="43">
        <f>F95*D95/'Tính chọn'!$D$23</f>
        <v>279.46727999999996</v>
      </c>
    </row>
    <row r="96" spans="1:8" x14ac:dyDescent="0.2">
      <c r="A96" s="39">
        <f>82*$B$5</f>
        <v>0.82000000000000006</v>
      </c>
      <c r="B96" s="40">
        <f>IF(A96&lt;$F$4,GiaDinh_K3!$D$12,IF(A96&lt;$F$5,0,IF(A96&lt;$F$6,-GiaDinh_K3!$D$12,IF(A96&lt;$F$7,0,IF(A96&lt;$F$8,-GiaDinh_K3!$D$12,IF(A96&lt;$F$9,0,IF(A96&lt;$F$10,GiaDinh_K3!$D$12,0)))))))</f>
        <v>0</v>
      </c>
      <c r="C96" s="41">
        <f>IF(A96&lt;$F$4,GiaDinh_K3!$D$12*A96,IF(A96&lt;$F$5,GiaDinh_K3!$D$11,IF(A96&lt;$F$6,GiaDinh_K3!$D$11-GiaDinh_K3!$D$12*(A96-$F$5),IF(A96&lt;$F$7,0,IF(A96&lt;$F$8,-GiaDinh_K3!$D$12*(A96-$F$7),IF(A96&lt;$F$9,-GiaDinh_K3!$D$11,IF(A96&lt;$F$10,-GiaDinh_K3!$D$11+GiaDinh_K3!$D$12*(A96-$F$9),0)))))))</f>
        <v>0</v>
      </c>
      <c r="D96" s="44">
        <f t="shared" si="2"/>
        <v>0.11999999999999995</v>
      </c>
      <c r="E96" s="44">
        <f t="shared" si="3"/>
        <v>6.7394999999999955E-2</v>
      </c>
      <c r="F96" s="40">
        <f>IF(A96&gt;$F$10,0,IF((Params!$C$21+GiaDinh_K3!$D$8*Params!$C$5*C96)&gt;=0,(Params!$C$21+GiaDinh_K3!$D$8*Params!$C$5*C96)*'Tính chọn'!$D$23/Params!$C$16,(Params!$C$21+GiaDinh_K3!$D$8*Params!$C$5*C96)*'Tính chọn'!$D$23*Params!$C$16)+Catalogue!$F$15*C96/'Tính chọn'!$D$23)</f>
        <v>1.8740295480880651</v>
      </c>
      <c r="G96" s="40">
        <f>IF(A96&gt;$F$10,0,IF(('Tính chọn'!$D$6+GiaDinh_K3!$D$8*Params!$C$6*C96)&gt;=0,('Tính chọn'!$D$6+GiaDinh_K3!$D$8*Params!$C$6*C96)*'Tính chọn'!$D$23/Params!$C$16,('Tính chọn'!$D$6+GiaDinh_K3!$D$8*Params!$C$6*C96)*'Tính chọn'!$D$23*Params!$C$16)+Catalogue!$F$15*C96/'Tính chọn'!$D$23)</f>
        <v>0.26602694090382384</v>
      </c>
      <c r="H96" s="43">
        <f>F96*D96/'Tính chọn'!$D$23</f>
        <v>279.46727999999996</v>
      </c>
    </row>
    <row r="97" spans="1:8" x14ac:dyDescent="0.2">
      <c r="A97" s="39">
        <f>83*$B$5</f>
        <v>0.83000000000000007</v>
      </c>
      <c r="B97" s="40">
        <f>IF(A97&lt;$F$4,GiaDinh_K3!$D$12,IF(A97&lt;$F$5,0,IF(A97&lt;$F$6,-GiaDinh_K3!$D$12,IF(A97&lt;$F$7,0,IF(A97&lt;$F$8,-GiaDinh_K3!$D$12,IF(A97&lt;$F$9,0,IF(A97&lt;$F$10,GiaDinh_K3!$D$12,0)))))))</f>
        <v>0</v>
      </c>
      <c r="C97" s="41">
        <f>IF(A97&lt;$F$4,GiaDinh_K3!$D$12*A97,IF(A97&lt;$F$5,GiaDinh_K3!$D$11,IF(A97&lt;$F$6,GiaDinh_K3!$D$11-GiaDinh_K3!$D$12*(A97-$F$5),IF(A97&lt;$F$7,0,IF(A97&lt;$F$8,-GiaDinh_K3!$D$12*(A97-$F$7),IF(A97&lt;$F$9,-GiaDinh_K3!$D$11,IF(A97&lt;$F$10,-GiaDinh_K3!$D$11+GiaDinh_K3!$D$12*(A97-$F$9),0)))))))</f>
        <v>0</v>
      </c>
      <c r="D97" s="44">
        <f t="shared" si="2"/>
        <v>0.11999999999999995</v>
      </c>
      <c r="E97" s="44">
        <f t="shared" si="3"/>
        <v>6.8594999999999948E-2</v>
      </c>
      <c r="F97" s="40">
        <f>IF(A97&gt;$F$10,0,IF((Params!$C$21+GiaDinh_K3!$D$8*Params!$C$5*C97)&gt;=0,(Params!$C$21+GiaDinh_K3!$D$8*Params!$C$5*C97)*'Tính chọn'!$D$23/Params!$C$16,(Params!$C$21+GiaDinh_K3!$D$8*Params!$C$5*C97)*'Tính chọn'!$D$23*Params!$C$16)+Catalogue!$F$15*C97/'Tính chọn'!$D$23)</f>
        <v>1.8740295480880651</v>
      </c>
      <c r="G97" s="40">
        <f>IF(A97&gt;$F$10,0,IF(('Tính chọn'!$D$6+GiaDinh_K3!$D$8*Params!$C$6*C97)&gt;=0,('Tính chọn'!$D$6+GiaDinh_K3!$D$8*Params!$C$6*C97)*'Tính chọn'!$D$23/Params!$C$16,('Tính chọn'!$D$6+GiaDinh_K3!$D$8*Params!$C$6*C97)*'Tính chọn'!$D$23*Params!$C$16)+Catalogue!$F$15*C97/'Tính chọn'!$D$23)</f>
        <v>0.26602694090382384</v>
      </c>
      <c r="H97" s="43">
        <f>F97*D97/'Tính chọn'!$D$23</f>
        <v>279.46727999999996</v>
      </c>
    </row>
    <row r="98" spans="1:8" x14ac:dyDescent="0.2">
      <c r="A98" s="39">
        <f>84*$B$5</f>
        <v>0.84</v>
      </c>
      <c r="B98" s="40">
        <f>IF(A98&lt;$F$4,GiaDinh_K3!$D$12,IF(A98&lt;$F$5,0,IF(A98&lt;$F$6,-GiaDinh_K3!$D$12,IF(A98&lt;$F$7,0,IF(A98&lt;$F$8,-GiaDinh_K3!$D$12,IF(A98&lt;$F$9,0,IF(A98&lt;$F$10,GiaDinh_K3!$D$12,0)))))))</f>
        <v>0</v>
      </c>
      <c r="C98" s="41">
        <f>IF(A98&lt;$F$4,GiaDinh_K3!$D$12*A98,IF(A98&lt;$F$5,GiaDinh_K3!$D$11,IF(A98&lt;$F$6,GiaDinh_K3!$D$11-GiaDinh_K3!$D$12*(A98-$F$5),IF(A98&lt;$F$7,0,IF(A98&lt;$F$8,-GiaDinh_K3!$D$12*(A98-$F$7),IF(A98&lt;$F$9,-GiaDinh_K3!$D$11,IF(A98&lt;$F$10,-GiaDinh_K3!$D$11+GiaDinh_K3!$D$12*(A98-$F$9),0)))))))</f>
        <v>0</v>
      </c>
      <c r="D98" s="44">
        <f t="shared" si="2"/>
        <v>0.11999999999999995</v>
      </c>
      <c r="E98" s="44">
        <f t="shared" si="3"/>
        <v>6.979499999999994E-2</v>
      </c>
      <c r="F98" s="40">
        <f>IF(A98&gt;$F$10,0,IF((Params!$C$21+GiaDinh_K3!$D$8*Params!$C$5*C98)&gt;=0,(Params!$C$21+GiaDinh_K3!$D$8*Params!$C$5*C98)*'Tính chọn'!$D$23/Params!$C$16,(Params!$C$21+GiaDinh_K3!$D$8*Params!$C$5*C98)*'Tính chọn'!$D$23*Params!$C$16)+Catalogue!$F$15*C98/'Tính chọn'!$D$23)</f>
        <v>1.8740295480880651</v>
      </c>
      <c r="G98" s="40">
        <f>IF(A98&gt;$F$10,0,IF(('Tính chọn'!$D$6+GiaDinh_K3!$D$8*Params!$C$6*C98)&gt;=0,('Tính chọn'!$D$6+GiaDinh_K3!$D$8*Params!$C$6*C98)*'Tính chọn'!$D$23/Params!$C$16,('Tính chọn'!$D$6+GiaDinh_K3!$D$8*Params!$C$6*C98)*'Tính chọn'!$D$23*Params!$C$16)+Catalogue!$F$15*C98/'Tính chọn'!$D$23)</f>
        <v>0.26602694090382384</v>
      </c>
      <c r="H98" s="43">
        <f>F98*D98/'Tính chọn'!$D$23</f>
        <v>279.46727999999996</v>
      </c>
    </row>
    <row r="99" spans="1:8" x14ac:dyDescent="0.2">
      <c r="A99" s="39">
        <f>85*$B$5</f>
        <v>0.85</v>
      </c>
      <c r="B99" s="40">
        <f>IF(A99&lt;$F$4,GiaDinh_K3!$D$12,IF(A99&lt;$F$5,0,IF(A99&lt;$F$6,-GiaDinh_K3!$D$12,IF(A99&lt;$F$7,0,IF(A99&lt;$F$8,-GiaDinh_K3!$D$12,IF(A99&lt;$F$9,0,IF(A99&lt;$F$10,GiaDinh_K3!$D$12,0)))))))</f>
        <v>0</v>
      </c>
      <c r="C99" s="41">
        <f>IF(A99&lt;$F$4,GiaDinh_K3!$D$12*A99,IF(A99&lt;$F$5,GiaDinh_K3!$D$11,IF(A99&lt;$F$6,GiaDinh_K3!$D$11-GiaDinh_K3!$D$12*(A99-$F$5),IF(A99&lt;$F$7,0,IF(A99&lt;$F$8,-GiaDinh_K3!$D$12*(A99-$F$7),IF(A99&lt;$F$9,-GiaDinh_K3!$D$11,IF(A99&lt;$F$10,-GiaDinh_K3!$D$11+GiaDinh_K3!$D$12*(A99-$F$9),0)))))))</f>
        <v>0</v>
      </c>
      <c r="D99" s="44">
        <f t="shared" si="2"/>
        <v>0.11999999999999995</v>
      </c>
      <c r="E99" s="44">
        <f t="shared" si="3"/>
        <v>7.0994999999999933E-2</v>
      </c>
      <c r="F99" s="40">
        <f>IF(A99&gt;$F$10,0,IF((Params!$C$21+GiaDinh_K3!$D$8*Params!$C$5*C99)&gt;=0,(Params!$C$21+GiaDinh_K3!$D$8*Params!$C$5*C99)*'Tính chọn'!$D$23/Params!$C$16,(Params!$C$21+GiaDinh_K3!$D$8*Params!$C$5*C99)*'Tính chọn'!$D$23*Params!$C$16)+Catalogue!$F$15*C99/'Tính chọn'!$D$23)</f>
        <v>1.8740295480880651</v>
      </c>
      <c r="G99" s="40">
        <f>IF(A99&gt;$F$10,0,IF(('Tính chọn'!$D$6+GiaDinh_K3!$D$8*Params!$C$6*C99)&gt;=0,('Tính chọn'!$D$6+GiaDinh_K3!$D$8*Params!$C$6*C99)*'Tính chọn'!$D$23/Params!$C$16,('Tính chọn'!$D$6+GiaDinh_K3!$D$8*Params!$C$6*C99)*'Tính chọn'!$D$23*Params!$C$16)+Catalogue!$F$15*C99/'Tính chọn'!$D$23)</f>
        <v>0.26602694090382384</v>
      </c>
      <c r="H99" s="43">
        <f>F99*D99/'Tính chọn'!$D$23</f>
        <v>279.46727999999996</v>
      </c>
    </row>
    <row r="100" spans="1:8" x14ac:dyDescent="0.2">
      <c r="A100" s="39">
        <f>86*$B$5</f>
        <v>0.86</v>
      </c>
      <c r="B100" s="40">
        <f>IF(A100&lt;$F$4,GiaDinh_K3!$D$12,IF(A100&lt;$F$5,0,IF(A100&lt;$F$6,-GiaDinh_K3!$D$12,IF(A100&lt;$F$7,0,IF(A100&lt;$F$8,-GiaDinh_K3!$D$12,IF(A100&lt;$F$9,0,IF(A100&lt;$F$10,GiaDinh_K3!$D$12,0)))))))</f>
        <v>0</v>
      </c>
      <c r="C100" s="41">
        <f>IF(A100&lt;$F$4,GiaDinh_K3!$D$12*A100,IF(A100&lt;$F$5,GiaDinh_K3!$D$11,IF(A100&lt;$F$6,GiaDinh_K3!$D$11-GiaDinh_K3!$D$12*(A100-$F$5),IF(A100&lt;$F$7,0,IF(A100&lt;$F$8,-GiaDinh_K3!$D$12*(A100-$F$7),IF(A100&lt;$F$9,-GiaDinh_K3!$D$11,IF(A100&lt;$F$10,-GiaDinh_K3!$D$11+GiaDinh_K3!$D$12*(A100-$F$9),0)))))))</f>
        <v>0</v>
      </c>
      <c r="D100" s="44">
        <f t="shared" si="2"/>
        <v>0.11999999999999995</v>
      </c>
      <c r="E100" s="44">
        <f t="shared" si="3"/>
        <v>7.2194999999999926E-2</v>
      </c>
      <c r="F100" s="40">
        <f>IF(A100&gt;$F$10,0,IF((Params!$C$21+GiaDinh_K3!$D$8*Params!$C$5*C100)&gt;=0,(Params!$C$21+GiaDinh_K3!$D$8*Params!$C$5*C100)*'Tính chọn'!$D$23/Params!$C$16,(Params!$C$21+GiaDinh_K3!$D$8*Params!$C$5*C100)*'Tính chọn'!$D$23*Params!$C$16)+Catalogue!$F$15*C100/'Tính chọn'!$D$23)</f>
        <v>1.8740295480880651</v>
      </c>
      <c r="G100" s="40">
        <f>IF(A100&gt;$F$10,0,IF(('Tính chọn'!$D$6+GiaDinh_K3!$D$8*Params!$C$6*C100)&gt;=0,('Tính chọn'!$D$6+GiaDinh_K3!$D$8*Params!$C$6*C100)*'Tính chọn'!$D$23/Params!$C$16,('Tính chọn'!$D$6+GiaDinh_K3!$D$8*Params!$C$6*C100)*'Tính chọn'!$D$23*Params!$C$16)+Catalogue!$F$15*C100/'Tính chọn'!$D$23)</f>
        <v>0.26602694090382384</v>
      </c>
      <c r="H100" s="43">
        <f>F100*D100/'Tính chọn'!$D$23</f>
        <v>279.46727999999996</v>
      </c>
    </row>
    <row r="101" spans="1:8" x14ac:dyDescent="0.2">
      <c r="A101" s="39">
        <f>87*$B$5</f>
        <v>0.87</v>
      </c>
      <c r="B101" s="40">
        <f>IF(A101&lt;$F$4,GiaDinh_K3!$D$12,IF(A101&lt;$F$5,0,IF(A101&lt;$F$6,-GiaDinh_K3!$D$12,IF(A101&lt;$F$7,0,IF(A101&lt;$F$8,-GiaDinh_K3!$D$12,IF(A101&lt;$F$9,0,IF(A101&lt;$F$10,GiaDinh_K3!$D$12,0)))))))</f>
        <v>0</v>
      </c>
      <c r="C101" s="41">
        <f>IF(A101&lt;$F$4,GiaDinh_K3!$D$12*A101,IF(A101&lt;$F$5,GiaDinh_K3!$D$11,IF(A101&lt;$F$6,GiaDinh_K3!$D$11-GiaDinh_K3!$D$12*(A101-$F$5),IF(A101&lt;$F$7,0,IF(A101&lt;$F$8,-GiaDinh_K3!$D$12*(A101-$F$7),IF(A101&lt;$F$9,-GiaDinh_K3!$D$11,IF(A101&lt;$F$10,-GiaDinh_K3!$D$11+GiaDinh_K3!$D$12*(A101-$F$9),0)))))))</f>
        <v>0</v>
      </c>
      <c r="D101" s="44">
        <f t="shared" si="2"/>
        <v>0.11999999999999995</v>
      </c>
      <c r="E101" s="44">
        <f t="shared" si="3"/>
        <v>7.3394999999999919E-2</v>
      </c>
      <c r="F101" s="40">
        <f>IF(A101&gt;$F$10,0,IF((Params!$C$21+GiaDinh_K3!$D$8*Params!$C$5*C101)&gt;=0,(Params!$C$21+GiaDinh_K3!$D$8*Params!$C$5*C101)*'Tính chọn'!$D$23/Params!$C$16,(Params!$C$21+GiaDinh_K3!$D$8*Params!$C$5*C101)*'Tính chọn'!$D$23*Params!$C$16)+Catalogue!$F$15*C101/'Tính chọn'!$D$23)</f>
        <v>1.8740295480880651</v>
      </c>
      <c r="G101" s="40">
        <f>IF(A101&gt;$F$10,0,IF(('Tính chọn'!$D$6+GiaDinh_K3!$D$8*Params!$C$6*C101)&gt;=0,('Tính chọn'!$D$6+GiaDinh_K3!$D$8*Params!$C$6*C101)*'Tính chọn'!$D$23/Params!$C$16,('Tính chọn'!$D$6+GiaDinh_K3!$D$8*Params!$C$6*C101)*'Tính chọn'!$D$23*Params!$C$16)+Catalogue!$F$15*C101/'Tính chọn'!$D$23)</f>
        <v>0.26602694090382384</v>
      </c>
      <c r="H101" s="43">
        <f>F101*D101/'Tính chọn'!$D$23</f>
        <v>279.46727999999996</v>
      </c>
    </row>
    <row r="102" spans="1:8" x14ac:dyDescent="0.2">
      <c r="A102" s="39">
        <f>88*$B$5</f>
        <v>0.88</v>
      </c>
      <c r="B102" s="40">
        <f>IF(A102&lt;$F$4,GiaDinh_K3!$D$12,IF(A102&lt;$F$5,0,IF(A102&lt;$F$6,-GiaDinh_K3!$D$12,IF(A102&lt;$F$7,0,IF(A102&lt;$F$8,-GiaDinh_K3!$D$12,IF(A102&lt;$F$9,0,IF(A102&lt;$F$10,GiaDinh_K3!$D$12,0)))))))</f>
        <v>0</v>
      </c>
      <c r="C102" s="41">
        <f>IF(A102&lt;$F$4,GiaDinh_K3!$D$12*A102,IF(A102&lt;$F$5,GiaDinh_K3!$D$11,IF(A102&lt;$F$6,GiaDinh_K3!$D$11-GiaDinh_K3!$D$12*(A102-$F$5),IF(A102&lt;$F$7,0,IF(A102&lt;$F$8,-GiaDinh_K3!$D$12*(A102-$F$7),IF(A102&lt;$F$9,-GiaDinh_K3!$D$11,IF(A102&lt;$F$10,-GiaDinh_K3!$D$11+GiaDinh_K3!$D$12*(A102-$F$9),0)))))))</f>
        <v>0</v>
      </c>
      <c r="D102" s="44">
        <f t="shared" si="2"/>
        <v>0.11999999999999995</v>
      </c>
      <c r="E102" s="44">
        <f t="shared" si="3"/>
        <v>7.4594999999999911E-2</v>
      </c>
      <c r="F102" s="40">
        <f>IF(A102&gt;$F$10,0,IF((Params!$C$21+GiaDinh_K3!$D$8*Params!$C$5*C102)&gt;=0,(Params!$C$21+GiaDinh_K3!$D$8*Params!$C$5*C102)*'Tính chọn'!$D$23/Params!$C$16,(Params!$C$21+GiaDinh_K3!$D$8*Params!$C$5*C102)*'Tính chọn'!$D$23*Params!$C$16)+Catalogue!$F$15*C102/'Tính chọn'!$D$23)</f>
        <v>1.8740295480880651</v>
      </c>
      <c r="G102" s="40">
        <f>IF(A102&gt;$F$10,0,IF(('Tính chọn'!$D$6+GiaDinh_K3!$D$8*Params!$C$6*C102)&gt;=0,('Tính chọn'!$D$6+GiaDinh_K3!$D$8*Params!$C$6*C102)*'Tính chọn'!$D$23/Params!$C$16,('Tính chọn'!$D$6+GiaDinh_K3!$D$8*Params!$C$6*C102)*'Tính chọn'!$D$23*Params!$C$16)+Catalogue!$F$15*C102/'Tính chọn'!$D$23)</f>
        <v>0.26602694090382384</v>
      </c>
      <c r="H102" s="43">
        <f>F102*D102/'Tính chọn'!$D$23</f>
        <v>279.46727999999996</v>
      </c>
    </row>
    <row r="103" spans="1:8" x14ac:dyDescent="0.2">
      <c r="A103" s="39">
        <f>89*$B$5</f>
        <v>0.89</v>
      </c>
      <c r="B103" s="40">
        <f>IF(A103&lt;$F$4,GiaDinh_K3!$D$12,IF(A103&lt;$F$5,0,IF(A103&lt;$F$6,-GiaDinh_K3!$D$12,IF(A103&lt;$F$7,0,IF(A103&lt;$F$8,-GiaDinh_K3!$D$12,IF(A103&lt;$F$9,0,IF(A103&lt;$F$10,GiaDinh_K3!$D$12,0)))))))</f>
        <v>0</v>
      </c>
      <c r="C103" s="41">
        <f>IF(A103&lt;$F$4,GiaDinh_K3!$D$12*A103,IF(A103&lt;$F$5,GiaDinh_K3!$D$11,IF(A103&lt;$F$6,GiaDinh_K3!$D$11-GiaDinh_K3!$D$12*(A103-$F$5),IF(A103&lt;$F$7,0,IF(A103&lt;$F$8,-GiaDinh_K3!$D$12*(A103-$F$7),IF(A103&lt;$F$9,-GiaDinh_K3!$D$11,IF(A103&lt;$F$10,-GiaDinh_K3!$D$11+GiaDinh_K3!$D$12*(A103-$F$9),0)))))))</f>
        <v>0</v>
      </c>
      <c r="D103" s="44">
        <f t="shared" si="2"/>
        <v>0.11999999999999995</v>
      </c>
      <c r="E103" s="44">
        <f t="shared" si="3"/>
        <v>7.5794999999999904E-2</v>
      </c>
      <c r="F103" s="40">
        <f>IF(A103&gt;$F$10,0,IF((Params!$C$21+GiaDinh_K3!$D$8*Params!$C$5*C103)&gt;=0,(Params!$C$21+GiaDinh_K3!$D$8*Params!$C$5*C103)*'Tính chọn'!$D$23/Params!$C$16,(Params!$C$21+GiaDinh_K3!$D$8*Params!$C$5*C103)*'Tính chọn'!$D$23*Params!$C$16)+Catalogue!$F$15*C103/'Tính chọn'!$D$23)</f>
        <v>1.8740295480880651</v>
      </c>
      <c r="G103" s="40">
        <f>IF(A103&gt;$F$10,0,IF(('Tính chọn'!$D$6+GiaDinh_K3!$D$8*Params!$C$6*C103)&gt;=0,('Tính chọn'!$D$6+GiaDinh_K3!$D$8*Params!$C$6*C103)*'Tính chọn'!$D$23/Params!$C$16,('Tính chọn'!$D$6+GiaDinh_K3!$D$8*Params!$C$6*C103)*'Tính chọn'!$D$23*Params!$C$16)+Catalogue!$F$15*C103/'Tính chọn'!$D$23)</f>
        <v>0.26602694090382384</v>
      </c>
      <c r="H103" s="43">
        <f>F103*D103/'Tính chọn'!$D$23</f>
        <v>279.46727999999996</v>
      </c>
    </row>
    <row r="104" spans="1:8" x14ac:dyDescent="0.2">
      <c r="A104" s="39">
        <f>90*$B$5</f>
        <v>0.9</v>
      </c>
      <c r="B104" s="40">
        <f>IF(A104&lt;$F$4,GiaDinh_K3!$D$12,IF(A104&lt;$F$5,0,IF(A104&lt;$F$6,-GiaDinh_K3!$D$12,IF(A104&lt;$F$7,0,IF(A104&lt;$F$8,-GiaDinh_K3!$D$12,IF(A104&lt;$F$9,0,IF(A104&lt;$F$10,GiaDinh_K3!$D$12,0)))))))</f>
        <v>0</v>
      </c>
      <c r="C104" s="41">
        <f>IF(A104&lt;$F$4,GiaDinh_K3!$D$12*A104,IF(A104&lt;$F$5,GiaDinh_K3!$D$11,IF(A104&lt;$F$6,GiaDinh_K3!$D$11-GiaDinh_K3!$D$12*(A104-$F$5),IF(A104&lt;$F$7,0,IF(A104&lt;$F$8,-GiaDinh_K3!$D$12*(A104-$F$7),IF(A104&lt;$F$9,-GiaDinh_K3!$D$11,IF(A104&lt;$F$10,-GiaDinh_K3!$D$11+GiaDinh_K3!$D$12*(A104-$F$9),0)))))))</f>
        <v>0</v>
      </c>
      <c r="D104" s="44">
        <f t="shared" si="2"/>
        <v>0.11999999999999995</v>
      </c>
      <c r="E104" s="44">
        <f t="shared" si="3"/>
        <v>7.6994999999999897E-2</v>
      </c>
      <c r="F104" s="40">
        <f>IF(A104&gt;$F$10,0,IF((Params!$C$21+GiaDinh_K3!$D$8*Params!$C$5*C104)&gt;=0,(Params!$C$21+GiaDinh_K3!$D$8*Params!$C$5*C104)*'Tính chọn'!$D$23/Params!$C$16,(Params!$C$21+GiaDinh_K3!$D$8*Params!$C$5*C104)*'Tính chọn'!$D$23*Params!$C$16)+Catalogue!$F$15*C104/'Tính chọn'!$D$23)</f>
        <v>1.8740295480880651</v>
      </c>
      <c r="G104" s="40">
        <f>IF(A104&gt;$F$10,0,IF(('Tính chọn'!$D$6+GiaDinh_K3!$D$8*Params!$C$6*C104)&gt;=0,('Tính chọn'!$D$6+GiaDinh_K3!$D$8*Params!$C$6*C104)*'Tính chọn'!$D$23/Params!$C$16,('Tính chọn'!$D$6+GiaDinh_K3!$D$8*Params!$C$6*C104)*'Tính chọn'!$D$23*Params!$C$16)+Catalogue!$F$15*C104/'Tính chọn'!$D$23)</f>
        <v>0.26602694090382384</v>
      </c>
      <c r="H104" s="43">
        <f>F104*D104/'Tính chọn'!$D$23</f>
        <v>279.46727999999996</v>
      </c>
    </row>
    <row r="105" spans="1:8" x14ac:dyDescent="0.2">
      <c r="A105" s="39">
        <f>91*$B$5</f>
        <v>0.91</v>
      </c>
      <c r="B105" s="40">
        <f>IF(A105&lt;$F$4,GiaDinh_K3!$D$12,IF(A105&lt;$F$5,0,IF(A105&lt;$F$6,-GiaDinh_K3!$D$12,IF(A105&lt;$F$7,0,IF(A105&lt;$F$8,-GiaDinh_K3!$D$12,IF(A105&lt;$F$9,0,IF(A105&lt;$F$10,GiaDinh_K3!$D$12,0)))))))</f>
        <v>0</v>
      </c>
      <c r="C105" s="41">
        <f>IF(A105&lt;$F$4,GiaDinh_K3!$D$12*A105,IF(A105&lt;$F$5,GiaDinh_K3!$D$11,IF(A105&lt;$F$6,GiaDinh_K3!$D$11-GiaDinh_K3!$D$12*(A105-$F$5),IF(A105&lt;$F$7,0,IF(A105&lt;$F$8,-GiaDinh_K3!$D$12*(A105-$F$7),IF(A105&lt;$F$9,-GiaDinh_K3!$D$11,IF(A105&lt;$F$10,-GiaDinh_K3!$D$11+GiaDinh_K3!$D$12*(A105-$F$9),0)))))))</f>
        <v>0</v>
      </c>
      <c r="D105" s="44">
        <f t="shared" si="2"/>
        <v>0.11999999999999995</v>
      </c>
      <c r="E105" s="44">
        <f t="shared" si="3"/>
        <v>7.819499999999989E-2</v>
      </c>
      <c r="F105" s="40">
        <f>IF(A105&gt;$F$10,0,IF((Params!$C$21+GiaDinh_K3!$D$8*Params!$C$5*C105)&gt;=0,(Params!$C$21+GiaDinh_K3!$D$8*Params!$C$5*C105)*'Tính chọn'!$D$23/Params!$C$16,(Params!$C$21+GiaDinh_K3!$D$8*Params!$C$5*C105)*'Tính chọn'!$D$23*Params!$C$16)+Catalogue!$F$15*C105/'Tính chọn'!$D$23)</f>
        <v>1.8740295480880651</v>
      </c>
      <c r="G105" s="40">
        <f>IF(A105&gt;$F$10,0,IF(('Tính chọn'!$D$6+GiaDinh_K3!$D$8*Params!$C$6*C105)&gt;=0,('Tính chọn'!$D$6+GiaDinh_K3!$D$8*Params!$C$6*C105)*'Tính chọn'!$D$23/Params!$C$16,('Tính chọn'!$D$6+GiaDinh_K3!$D$8*Params!$C$6*C105)*'Tính chọn'!$D$23*Params!$C$16)+Catalogue!$F$15*C105/'Tính chọn'!$D$23)</f>
        <v>0.26602694090382384</v>
      </c>
      <c r="H105" s="43">
        <f>F105*D105/'Tính chọn'!$D$23</f>
        <v>279.46727999999996</v>
      </c>
    </row>
    <row r="106" spans="1:8" x14ac:dyDescent="0.2">
      <c r="A106" s="39">
        <f>92*$B$5</f>
        <v>0.92</v>
      </c>
      <c r="B106" s="40">
        <f>IF(A106&lt;$F$4,GiaDinh_K3!$D$12,IF(A106&lt;$F$5,0,IF(A106&lt;$F$6,-GiaDinh_K3!$D$12,IF(A106&lt;$F$7,0,IF(A106&lt;$F$8,-GiaDinh_K3!$D$12,IF(A106&lt;$F$9,0,IF(A106&lt;$F$10,GiaDinh_K3!$D$12,0)))))))</f>
        <v>0</v>
      </c>
      <c r="C106" s="41">
        <f>IF(A106&lt;$F$4,GiaDinh_K3!$D$12*A106,IF(A106&lt;$F$5,GiaDinh_K3!$D$11,IF(A106&lt;$F$6,GiaDinh_K3!$D$11-GiaDinh_K3!$D$12*(A106-$F$5),IF(A106&lt;$F$7,0,IF(A106&lt;$F$8,-GiaDinh_K3!$D$12*(A106-$F$7),IF(A106&lt;$F$9,-GiaDinh_K3!$D$11,IF(A106&lt;$F$10,-GiaDinh_K3!$D$11+GiaDinh_K3!$D$12*(A106-$F$9),0)))))))</f>
        <v>0</v>
      </c>
      <c r="D106" s="44">
        <f t="shared" si="2"/>
        <v>0.11999999999999995</v>
      </c>
      <c r="E106" s="44">
        <f t="shared" si="3"/>
        <v>7.9394999999999882E-2</v>
      </c>
      <c r="F106" s="40">
        <f>IF(A106&gt;$F$10,0,IF((Params!$C$21+GiaDinh_K3!$D$8*Params!$C$5*C106)&gt;=0,(Params!$C$21+GiaDinh_K3!$D$8*Params!$C$5*C106)*'Tính chọn'!$D$23/Params!$C$16,(Params!$C$21+GiaDinh_K3!$D$8*Params!$C$5*C106)*'Tính chọn'!$D$23*Params!$C$16)+Catalogue!$F$15*C106/'Tính chọn'!$D$23)</f>
        <v>1.8740295480880651</v>
      </c>
      <c r="G106" s="40">
        <f>IF(A106&gt;$F$10,0,IF(('Tính chọn'!$D$6+GiaDinh_K3!$D$8*Params!$C$6*C106)&gt;=0,('Tính chọn'!$D$6+GiaDinh_K3!$D$8*Params!$C$6*C106)*'Tính chọn'!$D$23/Params!$C$16,('Tính chọn'!$D$6+GiaDinh_K3!$D$8*Params!$C$6*C106)*'Tính chọn'!$D$23*Params!$C$16)+Catalogue!$F$15*C106/'Tính chọn'!$D$23)</f>
        <v>0.26602694090382384</v>
      </c>
      <c r="H106" s="43">
        <f>F106*D106/'Tính chọn'!$D$23</f>
        <v>279.46727999999996</v>
      </c>
    </row>
    <row r="107" spans="1:8" x14ac:dyDescent="0.2">
      <c r="A107" s="39">
        <f>93*$B$5</f>
        <v>0.93</v>
      </c>
      <c r="B107" s="40">
        <f>IF(A107&lt;$F$4,GiaDinh_K3!$D$12,IF(A107&lt;$F$5,0,IF(A107&lt;$F$6,-GiaDinh_K3!$D$12,IF(A107&lt;$F$7,0,IF(A107&lt;$F$8,-GiaDinh_K3!$D$12,IF(A107&lt;$F$9,0,IF(A107&lt;$F$10,GiaDinh_K3!$D$12,0)))))))</f>
        <v>0</v>
      </c>
      <c r="C107" s="41">
        <f>IF(A107&lt;$F$4,GiaDinh_K3!$D$12*A107,IF(A107&lt;$F$5,GiaDinh_K3!$D$11,IF(A107&lt;$F$6,GiaDinh_K3!$D$11-GiaDinh_K3!$D$12*(A107-$F$5),IF(A107&lt;$F$7,0,IF(A107&lt;$F$8,-GiaDinh_K3!$D$12*(A107-$F$7),IF(A107&lt;$F$9,-GiaDinh_K3!$D$11,IF(A107&lt;$F$10,-GiaDinh_K3!$D$11+GiaDinh_K3!$D$12*(A107-$F$9),0)))))))</f>
        <v>0</v>
      </c>
      <c r="D107" s="44">
        <f t="shared" si="2"/>
        <v>0.11999999999999995</v>
      </c>
      <c r="E107" s="44">
        <f t="shared" si="3"/>
        <v>8.0594999999999875E-2</v>
      </c>
      <c r="F107" s="40">
        <f>IF(A107&gt;$F$10,0,IF((Params!$C$21+GiaDinh_K3!$D$8*Params!$C$5*C107)&gt;=0,(Params!$C$21+GiaDinh_K3!$D$8*Params!$C$5*C107)*'Tính chọn'!$D$23/Params!$C$16,(Params!$C$21+GiaDinh_K3!$D$8*Params!$C$5*C107)*'Tính chọn'!$D$23*Params!$C$16)+Catalogue!$F$15*C107/'Tính chọn'!$D$23)</f>
        <v>1.8740295480880651</v>
      </c>
      <c r="G107" s="40">
        <f>IF(A107&gt;$F$10,0,IF(('Tính chọn'!$D$6+GiaDinh_K3!$D$8*Params!$C$6*C107)&gt;=0,('Tính chọn'!$D$6+GiaDinh_K3!$D$8*Params!$C$6*C107)*'Tính chọn'!$D$23/Params!$C$16,('Tính chọn'!$D$6+GiaDinh_K3!$D$8*Params!$C$6*C107)*'Tính chọn'!$D$23*Params!$C$16)+Catalogue!$F$15*C107/'Tính chọn'!$D$23)</f>
        <v>0.26602694090382384</v>
      </c>
      <c r="H107" s="43">
        <f>F107*D107/'Tính chọn'!$D$23</f>
        <v>279.46727999999996</v>
      </c>
    </row>
    <row r="108" spans="1:8" x14ac:dyDescent="0.2">
      <c r="A108" s="39">
        <f>94*$B$5</f>
        <v>0.94000000000000006</v>
      </c>
      <c r="B108" s="40">
        <f>IF(A108&lt;$F$4,GiaDinh_K3!$D$12,IF(A108&lt;$F$5,0,IF(A108&lt;$F$6,-GiaDinh_K3!$D$12,IF(A108&lt;$F$7,0,IF(A108&lt;$F$8,-GiaDinh_K3!$D$12,IF(A108&lt;$F$9,0,IF(A108&lt;$F$10,GiaDinh_K3!$D$12,0)))))))</f>
        <v>0</v>
      </c>
      <c r="C108" s="41">
        <f>IF(A108&lt;$F$4,GiaDinh_K3!$D$12*A108,IF(A108&lt;$F$5,GiaDinh_K3!$D$11,IF(A108&lt;$F$6,GiaDinh_K3!$D$11-GiaDinh_K3!$D$12*(A108-$F$5),IF(A108&lt;$F$7,0,IF(A108&lt;$F$8,-GiaDinh_K3!$D$12*(A108-$F$7),IF(A108&lt;$F$9,-GiaDinh_K3!$D$11,IF(A108&lt;$F$10,-GiaDinh_K3!$D$11+GiaDinh_K3!$D$12*(A108-$F$9),0)))))))</f>
        <v>0</v>
      </c>
      <c r="D108" s="44">
        <f t="shared" si="2"/>
        <v>0.11999999999999995</v>
      </c>
      <c r="E108" s="44">
        <f t="shared" si="3"/>
        <v>8.1794999999999868E-2</v>
      </c>
      <c r="F108" s="40">
        <f>IF(A108&gt;$F$10,0,IF((Params!$C$21+GiaDinh_K3!$D$8*Params!$C$5*C108)&gt;=0,(Params!$C$21+GiaDinh_K3!$D$8*Params!$C$5*C108)*'Tính chọn'!$D$23/Params!$C$16,(Params!$C$21+GiaDinh_K3!$D$8*Params!$C$5*C108)*'Tính chọn'!$D$23*Params!$C$16)+Catalogue!$F$15*C108/'Tính chọn'!$D$23)</f>
        <v>1.8740295480880651</v>
      </c>
      <c r="G108" s="40">
        <f>IF(A108&gt;$F$10,0,IF(('Tính chọn'!$D$6+GiaDinh_K3!$D$8*Params!$C$6*C108)&gt;=0,('Tính chọn'!$D$6+GiaDinh_K3!$D$8*Params!$C$6*C108)*'Tính chọn'!$D$23/Params!$C$16,('Tính chọn'!$D$6+GiaDinh_K3!$D$8*Params!$C$6*C108)*'Tính chọn'!$D$23*Params!$C$16)+Catalogue!$F$15*C108/'Tính chọn'!$D$23)</f>
        <v>0.26602694090382384</v>
      </c>
      <c r="H108" s="43">
        <f>F108*D108/'Tính chọn'!$D$23</f>
        <v>279.46727999999996</v>
      </c>
    </row>
    <row r="109" spans="1:8" x14ac:dyDescent="0.2">
      <c r="A109" s="39">
        <f>95*$B$5</f>
        <v>0.95000000000000007</v>
      </c>
      <c r="B109" s="40">
        <f>IF(A109&lt;$F$4,GiaDinh_K3!$D$12,IF(A109&lt;$F$5,0,IF(A109&lt;$F$6,-GiaDinh_K3!$D$12,IF(A109&lt;$F$7,0,IF(A109&lt;$F$8,-GiaDinh_K3!$D$12,IF(A109&lt;$F$9,0,IF(A109&lt;$F$10,GiaDinh_K3!$D$12,0)))))))</f>
        <v>0</v>
      </c>
      <c r="C109" s="41">
        <f>IF(A109&lt;$F$4,GiaDinh_K3!$D$12*A109,IF(A109&lt;$F$5,GiaDinh_K3!$D$11,IF(A109&lt;$F$6,GiaDinh_K3!$D$11-GiaDinh_K3!$D$12*(A109-$F$5),IF(A109&lt;$F$7,0,IF(A109&lt;$F$8,-GiaDinh_K3!$D$12*(A109-$F$7),IF(A109&lt;$F$9,-GiaDinh_K3!$D$11,IF(A109&lt;$F$10,-GiaDinh_K3!$D$11+GiaDinh_K3!$D$12*(A109-$F$9),0)))))))</f>
        <v>0</v>
      </c>
      <c r="D109" s="44">
        <f t="shared" si="2"/>
        <v>0.11999999999999995</v>
      </c>
      <c r="E109" s="44">
        <f t="shared" si="3"/>
        <v>8.2994999999999861E-2</v>
      </c>
      <c r="F109" s="40">
        <f>IF(A109&gt;$F$10,0,IF((Params!$C$21+GiaDinh_K3!$D$8*Params!$C$5*C109)&gt;=0,(Params!$C$21+GiaDinh_K3!$D$8*Params!$C$5*C109)*'Tính chọn'!$D$23/Params!$C$16,(Params!$C$21+GiaDinh_K3!$D$8*Params!$C$5*C109)*'Tính chọn'!$D$23*Params!$C$16)+Catalogue!$F$15*C109/'Tính chọn'!$D$23)</f>
        <v>1.8740295480880651</v>
      </c>
      <c r="G109" s="40">
        <f>IF(A109&gt;$F$10,0,IF(('Tính chọn'!$D$6+GiaDinh_K3!$D$8*Params!$C$6*C109)&gt;=0,('Tính chọn'!$D$6+GiaDinh_K3!$D$8*Params!$C$6*C109)*'Tính chọn'!$D$23/Params!$C$16,('Tính chọn'!$D$6+GiaDinh_K3!$D$8*Params!$C$6*C109)*'Tính chọn'!$D$23*Params!$C$16)+Catalogue!$F$15*C109/'Tính chọn'!$D$23)</f>
        <v>0.26602694090382384</v>
      </c>
      <c r="H109" s="43">
        <f>F109*D109/'Tính chọn'!$D$23</f>
        <v>279.46727999999996</v>
      </c>
    </row>
    <row r="110" spans="1:8" x14ac:dyDescent="0.2">
      <c r="A110" s="39">
        <f>96*$B$5</f>
        <v>0.96</v>
      </c>
      <c r="B110" s="40">
        <f>IF(A110&lt;$F$4,GiaDinh_K3!$D$12,IF(A110&lt;$F$5,0,IF(A110&lt;$F$6,-GiaDinh_K3!$D$12,IF(A110&lt;$F$7,0,IF(A110&lt;$F$8,-GiaDinh_K3!$D$12,IF(A110&lt;$F$9,0,IF(A110&lt;$F$10,GiaDinh_K3!$D$12,0)))))))</f>
        <v>0</v>
      </c>
      <c r="C110" s="41">
        <f>IF(A110&lt;$F$4,GiaDinh_K3!$D$12*A110,IF(A110&lt;$F$5,GiaDinh_K3!$D$11,IF(A110&lt;$F$6,GiaDinh_K3!$D$11-GiaDinh_K3!$D$12*(A110-$F$5),IF(A110&lt;$F$7,0,IF(A110&lt;$F$8,-GiaDinh_K3!$D$12*(A110-$F$7),IF(A110&lt;$F$9,-GiaDinh_K3!$D$11,IF(A110&lt;$F$10,-GiaDinh_K3!$D$11+GiaDinh_K3!$D$12*(A110-$F$9),0)))))))</f>
        <v>0</v>
      </c>
      <c r="D110" s="44">
        <f t="shared" si="2"/>
        <v>0.11999999999999995</v>
      </c>
      <c r="E110" s="44">
        <f t="shared" si="3"/>
        <v>8.4194999999999853E-2</v>
      </c>
      <c r="F110" s="40">
        <f>IF(A110&gt;$F$10,0,IF((Params!$C$21+GiaDinh_K3!$D$8*Params!$C$5*C110)&gt;=0,(Params!$C$21+GiaDinh_K3!$D$8*Params!$C$5*C110)*'Tính chọn'!$D$23/Params!$C$16,(Params!$C$21+GiaDinh_K3!$D$8*Params!$C$5*C110)*'Tính chọn'!$D$23*Params!$C$16)+Catalogue!$F$15*C110/'Tính chọn'!$D$23)</f>
        <v>1.8740295480880651</v>
      </c>
      <c r="G110" s="40">
        <f>IF(A110&gt;$F$10,0,IF(('Tính chọn'!$D$6+GiaDinh_K3!$D$8*Params!$C$6*C110)&gt;=0,('Tính chọn'!$D$6+GiaDinh_K3!$D$8*Params!$C$6*C110)*'Tính chọn'!$D$23/Params!$C$16,('Tính chọn'!$D$6+GiaDinh_K3!$D$8*Params!$C$6*C110)*'Tính chọn'!$D$23*Params!$C$16)+Catalogue!$F$15*C110/'Tính chọn'!$D$23)</f>
        <v>0.26602694090382384</v>
      </c>
      <c r="H110" s="43">
        <f>F110*D110/'Tính chọn'!$D$23</f>
        <v>279.46727999999996</v>
      </c>
    </row>
    <row r="111" spans="1:8" x14ac:dyDescent="0.2">
      <c r="A111" s="39">
        <f>97*$B$5</f>
        <v>0.97</v>
      </c>
      <c r="B111" s="40">
        <f>IF(A111&lt;$F$4,GiaDinh_K3!$D$12,IF(A111&lt;$F$5,0,IF(A111&lt;$F$6,-GiaDinh_K3!$D$12,IF(A111&lt;$F$7,0,IF(A111&lt;$F$8,-GiaDinh_K3!$D$12,IF(A111&lt;$F$9,0,IF(A111&lt;$F$10,GiaDinh_K3!$D$12,0)))))))</f>
        <v>0</v>
      </c>
      <c r="C111" s="41">
        <f>IF(A111&lt;$F$4,GiaDinh_K3!$D$12*A111,IF(A111&lt;$F$5,GiaDinh_K3!$D$11,IF(A111&lt;$F$6,GiaDinh_K3!$D$11-GiaDinh_K3!$D$12*(A111-$F$5),IF(A111&lt;$F$7,0,IF(A111&lt;$F$8,-GiaDinh_K3!$D$12*(A111-$F$7),IF(A111&lt;$F$9,-GiaDinh_K3!$D$11,IF(A111&lt;$F$10,-GiaDinh_K3!$D$11+GiaDinh_K3!$D$12*(A111-$F$9),0)))))))</f>
        <v>0</v>
      </c>
      <c r="D111" s="44">
        <f t="shared" si="2"/>
        <v>0.11999999999999995</v>
      </c>
      <c r="E111" s="44">
        <f t="shared" si="3"/>
        <v>8.5394999999999846E-2</v>
      </c>
      <c r="F111" s="40">
        <f>IF(A111&gt;$F$10,0,IF((Params!$C$21+GiaDinh_K3!$D$8*Params!$C$5*C111)&gt;=0,(Params!$C$21+GiaDinh_K3!$D$8*Params!$C$5*C111)*'Tính chọn'!$D$23/Params!$C$16,(Params!$C$21+GiaDinh_K3!$D$8*Params!$C$5*C111)*'Tính chọn'!$D$23*Params!$C$16)+Catalogue!$F$15*C111/'Tính chọn'!$D$23)</f>
        <v>1.8740295480880651</v>
      </c>
      <c r="G111" s="40">
        <f>IF(A111&gt;$F$10,0,IF(('Tính chọn'!$D$6+GiaDinh_K3!$D$8*Params!$C$6*C111)&gt;=0,('Tính chọn'!$D$6+GiaDinh_K3!$D$8*Params!$C$6*C111)*'Tính chọn'!$D$23/Params!$C$16,('Tính chọn'!$D$6+GiaDinh_K3!$D$8*Params!$C$6*C111)*'Tính chọn'!$D$23*Params!$C$16)+Catalogue!$F$15*C111/'Tính chọn'!$D$23)</f>
        <v>0.26602694090382384</v>
      </c>
      <c r="H111" s="43">
        <f>F111*D111/'Tính chọn'!$D$23</f>
        <v>279.46727999999996</v>
      </c>
    </row>
    <row r="112" spans="1:8" x14ac:dyDescent="0.2">
      <c r="A112" s="39">
        <f>98*$B$5</f>
        <v>0.98</v>
      </c>
      <c r="B112" s="40">
        <f>IF(A112&lt;$F$4,GiaDinh_K3!$D$12,IF(A112&lt;$F$5,0,IF(A112&lt;$F$6,-GiaDinh_K3!$D$12,IF(A112&lt;$F$7,0,IF(A112&lt;$F$8,-GiaDinh_K3!$D$12,IF(A112&lt;$F$9,0,IF(A112&lt;$F$10,GiaDinh_K3!$D$12,0)))))))</f>
        <v>0</v>
      </c>
      <c r="C112" s="41">
        <f>IF(A112&lt;$F$4,GiaDinh_K3!$D$12*A112,IF(A112&lt;$F$5,GiaDinh_K3!$D$11,IF(A112&lt;$F$6,GiaDinh_K3!$D$11-GiaDinh_K3!$D$12*(A112-$F$5),IF(A112&lt;$F$7,0,IF(A112&lt;$F$8,-GiaDinh_K3!$D$12*(A112-$F$7),IF(A112&lt;$F$9,-GiaDinh_K3!$D$11,IF(A112&lt;$F$10,-GiaDinh_K3!$D$11+GiaDinh_K3!$D$12*(A112-$F$9),0)))))))</f>
        <v>0</v>
      </c>
      <c r="D112" s="44">
        <f t="shared" si="2"/>
        <v>0.11999999999999995</v>
      </c>
      <c r="E112" s="44">
        <f t="shared" si="3"/>
        <v>8.6594999999999839E-2</v>
      </c>
      <c r="F112" s="40">
        <f>IF(A112&gt;$F$10,0,IF((Params!$C$21+GiaDinh_K3!$D$8*Params!$C$5*C112)&gt;=0,(Params!$C$21+GiaDinh_K3!$D$8*Params!$C$5*C112)*'Tính chọn'!$D$23/Params!$C$16,(Params!$C$21+GiaDinh_K3!$D$8*Params!$C$5*C112)*'Tính chọn'!$D$23*Params!$C$16)+Catalogue!$F$15*C112/'Tính chọn'!$D$23)</f>
        <v>1.8740295480880651</v>
      </c>
      <c r="G112" s="40">
        <f>IF(A112&gt;$F$10,0,IF(('Tính chọn'!$D$6+GiaDinh_K3!$D$8*Params!$C$6*C112)&gt;=0,('Tính chọn'!$D$6+GiaDinh_K3!$D$8*Params!$C$6*C112)*'Tính chọn'!$D$23/Params!$C$16,('Tính chọn'!$D$6+GiaDinh_K3!$D$8*Params!$C$6*C112)*'Tính chọn'!$D$23*Params!$C$16)+Catalogue!$F$15*C112/'Tính chọn'!$D$23)</f>
        <v>0.26602694090382384</v>
      </c>
      <c r="H112" s="43">
        <f>F112*D112/'Tính chọn'!$D$23</f>
        <v>279.46727999999996</v>
      </c>
    </row>
    <row r="113" spans="1:8" x14ac:dyDescent="0.2">
      <c r="A113" s="39">
        <f>99*$B$5</f>
        <v>0.99</v>
      </c>
      <c r="B113" s="40">
        <f>IF(A113&lt;$F$4,GiaDinh_K3!$D$12,IF(A113&lt;$F$5,0,IF(A113&lt;$F$6,-GiaDinh_K3!$D$12,IF(A113&lt;$F$7,0,IF(A113&lt;$F$8,-GiaDinh_K3!$D$12,IF(A113&lt;$F$9,0,IF(A113&lt;$F$10,GiaDinh_K3!$D$12,0)))))))</f>
        <v>0</v>
      </c>
      <c r="C113" s="41">
        <f>IF(A113&lt;$F$4,GiaDinh_K3!$D$12*A113,IF(A113&lt;$F$5,GiaDinh_K3!$D$11,IF(A113&lt;$F$6,GiaDinh_K3!$D$11-GiaDinh_K3!$D$12*(A113-$F$5),IF(A113&lt;$F$7,0,IF(A113&lt;$F$8,-GiaDinh_K3!$D$12*(A113-$F$7),IF(A113&lt;$F$9,-GiaDinh_K3!$D$11,IF(A113&lt;$F$10,-GiaDinh_K3!$D$11+GiaDinh_K3!$D$12*(A113-$F$9),0)))))))</f>
        <v>0</v>
      </c>
      <c r="D113" s="44">
        <f t="shared" si="2"/>
        <v>0.11999999999999995</v>
      </c>
      <c r="E113" s="44">
        <f t="shared" si="3"/>
        <v>8.7794999999999832E-2</v>
      </c>
      <c r="F113" s="40">
        <f>IF(A113&gt;$F$10,0,IF((Params!$C$21+GiaDinh_K3!$D$8*Params!$C$5*C113)&gt;=0,(Params!$C$21+GiaDinh_K3!$D$8*Params!$C$5*C113)*'Tính chọn'!$D$23/Params!$C$16,(Params!$C$21+GiaDinh_K3!$D$8*Params!$C$5*C113)*'Tính chọn'!$D$23*Params!$C$16)+Catalogue!$F$15*C113/'Tính chọn'!$D$23)</f>
        <v>1.8740295480880651</v>
      </c>
      <c r="G113" s="40">
        <f>IF(A113&gt;$F$10,0,IF(('Tính chọn'!$D$6+GiaDinh_K3!$D$8*Params!$C$6*C113)&gt;=0,('Tính chọn'!$D$6+GiaDinh_K3!$D$8*Params!$C$6*C113)*'Tính chọn'!$D$23/Params!$C$16,('Tính chọn'!$D$6+GiaDinh_K3!$D$8*Params!$C$6*C113)*'Tính chọn'!$D$23*Params!$C$16)+Catalogue!$F$15*C113/'Tính chọn'!$D$23)</f>
        <v>0.26602694090382384</v>
      </c>
      <c r="H113" s="43">
        <f>F113*D113/'Tính chọn'!$D$23</f>
        <v>279.46727999999996</v>
      </c>
    </row>
    <row r="114" spans="1:8" x14ac:dyDescent="0.2">
      <c r="A114" s="39">
        <f>100*$B$5</f>
        <v>1</v>
      </c>
      <c r="B114" s="40">
        <f>IF(A114&lt;$F$4,GiaDinh_K3!$D$12,IF(A114&lt;$F$5,0,IF(A114&lt;$F$6,-GiaDinh_K3!$D$12,IF(A114&lt;$F$7,0,IF(A114&lt;$F$8,-GiaDinh_K3!$D$12,IF(A114&lt;$F$9,0,IF(A114&lt;$F$10,GiaDinh_K3!$D$12,0)))))))</f>
        <v>0</v>
      </c>
      <c r="C114" s="41">
        <f>IF(A114&lt;$F$4,GiaDinh_K3!$D$12*A114,IF(A114&lt;$F$5,GiaDinh_K3!$D$11,IF(A114&lt;$F$6,GiaDinh_K3!$D$11-GiaDinh_K3!$D$12*(A114-$F$5),IF(A114&lt;$F$7,0,IF(A114&lt;$F$8,-GiaDinh_K3!$D$12*(A114-$F$7),IF(A114&lt;$F$9,-GiaDinh_K3!$D$11,IF(A114&lt;$F$10,-GiaDinh_K3!$D$11+GiaDinh_K3!$D$12*(A114-$F$9),0)))))))</f>
        <v>0</v>
      </c>
      <c r="D114" s="44">
        <f t="shared" si="2"/>
        <v>0.11999999999999995</v>
      </c>
      <c r="E114" s="44">
        <f t="shared" si="3"/>
        <v>8.8994999999999824E-2</v>
      </c>
      <c r="F114" s="40">
        <f>IF(A114&gt;$F$10,0,IF((Params!$C$21+GiaDinh_K3!$D$8*Params!$C$5*C114)&gt;=0,(Params!$C$21+GiaDinh_K3!$D$8*Params!$C$5*C114)*'Tính chọn'!$D$23/Params!$C$16,(Params!$C$21+GiaDinh_K3!$D$8*Params!$C$5*C114)*'Tính chọn'!$D$23*Params!$C$16)+Catalogue!$F$15*C114/'Tính chọn'!$D$23)</f>
        <v>1.8740295480880651</v>
      </c>
      <c r="G114" s="40">
        <f>IF(A114&gt;$F$10,0,IF(('Tính chọn'!$D$6+GiaDinh_K3!$D$8*Params!$C$6*C114)&gt;=0,('Tính chọn'!$D$6+GiaDinh_K3!$D$8*Params!$C$6*C114)*'Tính chọn'!$D$23/Params!$C$16,('Tính chọn'!$D$6+GiaDinh_K3!$D$8*Params!$C$6*C114)*'Tính chọn'!$D$23*Params!$C$16)+Catalogue!$F$15*C114/'Tính chọn'!$D$23)</f>
        <v>0.26602694090382384</v>
      </c>
      <c r="H114" s="43">
        <f>F114*D114/'Tính chọn'!$D$23</f>
        <v>279.46727999999996</v>
      </c>
    </row>
    <row r="115" spans="1:8" x14ac:dyDescent="0.2">
      <c r="A115" s="39">
        <f>101*$B$5</f>
        <v>1.01</v>
      </c>
      <c r="B115" s="40">
        <f>IF(A115&lt;$F$4,GiaDinh_K3!$D$12,IF(A115&lt;$F$5,0,IF(A115&lt;$F$6,-GiaDinh_K3!$D$12,IF(A115&lt;$F$7,0,IF(A115&lt;$F$8,-GiaDinh_K3!$D$12,IF(A115&lt;$F$9,0,IF(A115&lt;$F$10,GiaDinh_K3!$D$12,0)))))))</f>
        <v>0</v>
      </c>
      <c r="C115" s="41">
        <f>IF(A115&lt;$F$4,GiaDinh_K3!$D$12*A115,IF(A115&lt;$F$5,GiaDinh_K3!$D$11,IF(A115&lt;$F$6,GiaDinh_K3!$D$11-GiaDinh_K3!$D$12*(A115-$F$5),IF(A115&lt;$F$7,0,IF(A115&lt;$F$8,-GiaDinh_K3!$D$12*(A115-$F$7),IF(A115&lt;$F$9,-GiaDinh_K3!$D$11,IF(A115&lt;$F$10,-GiaDinh_K3!$D$11+GiaDinh_K3!$D$12*(A115-$F$9),0)))))))</f>
        <v>0</v>
      </c>
      <c r="D115" s="44">
        <f t="shared" si="2"/>
        <v>0.11999999999999995</v>
      </c>
      <c r="E115" s="44">
        <f t="shared" si="3"/>
        <v>9.0194999999999817E-2</v>
      </c>
      <c r="F115" s="40">
        <f>IF(A115&gt;$F$10,0,IF((Params!$C$21+GiaDinh_K3!$D$8*Params!$C$5*C115)&gt;=0,(Params!$C$21+GiaDinh_K3!$D$8*Params!$C$5*C115)*'Tính chọn'!$D$23/Params!$C$16,(Params!$C$21+GiaDinh_K3!$D$8*Params!$C$5*C115)*'Tính chọn'!$D$23*Params!$C$16)+Catalogue!$F$15*C115/'Tính chọn'!$D$23)</f>
        <v>1.8740295480880651</v>
      </c>
      <c r="G115" s="40">
        <f>IF(A115&gt;$F$10,0,IF(('Tính chọn'!$D$6+GiaDinh_K3!$D$8*Params!$C$6*C115)&gt;=0,('Tính chọn'!$D$6+GiaDinh_K3!$D$8*Params!$C$6*C115)*'Tính chọn'!$D$23/Params!$C$16,('Tính chọn'!$D$6+GiaDinh_K3!$D$8*Params!$C$6*C115)*'Tính chọn'!$D$23*Params!$C$16)+Catalogue!$F$15*C115/'Tính chọn'!$D$23)</f>
        <v>0.26602694090382384</v>
      </c>
      <c r="H115" s="43">
        <f>F115*D115/'Tính chọn'!$D$23</f>
        <v>279.46727999999996</v>
      </c>
    </row>
    <row r="116" spans="1:8" x14ac:dyDescent="0.2">
      <c r="A116" s="39">
        <f>102*$B$5</f>
        <v>1.02</v>
      </c>
      <c r="B116" s="40">
        <f>IF(A116&lt;$F$4,GiaDinh_K3!$D$12,IF(A116&lt;$F$5,0,IF(A116&lt;$F$6,-GiaDinh_K3!$D$12,IF(A116&lt;$F$7,0,IF(A116&lt;$F$8,-GiaDinh_K3!$D$12,IF(A116&lt;$F$9,0,IF(A116&lt;$F$10,GiaDinh_K3!$D$12,0)))))))</f>
        <v>0</v>
      </c>
      <c r="C116" s="41">
        <f>IF(A116&lt;$F$4,GiaDinh_K3!$D$12*A116,IF(A116&lt;$F$5,GiaDinh_K3!$D$11,IF(A116&lt;$F$6,GiaDinh_K3!$D$11-GiaDinh_K3!$D$12*(A116-$F$5),IF(A116&lt;$F$7,0,IF(A116&lt;$F$8,-GiaDinh_K3!$D$12*(A116-$F$7),IF(A116&lt;$F$9,-GiaDinh_K3!$D$11,IF(A116&lt;$F$10,-GiaDinh_K3!$D$11+GiaDinh_K3!$D$12*(A116-$F$9),0)))))))</f>
        <v>0</v>
      </c>
      <c r="D116" s="44">
        <f t="shared" si="2"/>
        <v>0.11999999999999995</v>
      </c>
      <c r="E116" s="44">
        <f t="shared" si="3"/>
        <v>9.139499999999981E-2</v>
      </c>
      <c r="F116" s="40">
        <f>IF(A116&gt;$F$10,0,IF((Params!$C$21+GiaDinh_K3!$D$8*Params!$C$5*C116)&gt;=0,(Params!$C$21+GiaDinh_K3!$D$8*Params!$C$5*C116)*'Tính chọn'!$D$23/Params!$C$16,(Params!$C$21+GiaDinh_K3!$D$8*Params!$C$5*C116)*'Tính chọn'!$D$23*Params!$C$16)+Catalogue!$F$15*C116/'Tính chọn'!$D$23)</f>
        <v>1.8740295480880651</v>
      </c>
      <c r="G116" s="40">
        <f>IF(A116&gt;$F$10,0,IF(('Tính chọn'!$D$6+GiaDinh_K3!$D$8*Params!$C$6*C116)&gt;=0,('Tính chọn'!$D$6+GiaDinh_K3!$D$8*Params!$C$6*C116)*'Tính chọn'!$D$23/Params!$C$16,('Tính chọn'!$D$6+GiaDinh_K3!$D$8*Params!$C$6*C116)*'Tính chọn'!$D$23*Params!$C$16)+Catalogue!$F$15*C116/'Tính chọn'!$D$23)</f>
        <v>0.26602694090382384</v>
      </c>
      <c r="H116" s="43">
        <f>F116*D116/'Tính chọn'!$D$23</f>
        <v>279.46727999999996</v>
      </c>
    </row>
    <row r="117" spans="1:8" x14ac:dyDescent="0.2">
      <c r="A117" s="39">
        <f>103*$B$5</f>
        <v>1.03</v>
      </c>
      <c r="B117" s="40">
        <f>IF(A117&lt;$F$4,GiaDinh_K3!$D$12,IF(A117&lt;$F$5,0,IF(A117&lt;$F$6,-GiaDinh_K3!$D$12,IF(A117&lt;$F$7,0,IF(A117&lt;$F$8,-GiaDinh_K3!$D$12,IF(A117&lt;$F$9,0,IF(A117&lt;$F$10,GiaDinh_K3!$D$12,0)))))))</f>
        <v>0</v>
      </c>
      <c r="C117" s="41">
        <f>IF(A117&lt;$F$4,GiaDinh_K3!$D$12*A117,IF(A117&lt;$F$5,GiaDinh_K3!$D$11,IF(A117&lt;$F$6,GiaDinh_K3!$D$11-GiaDinh_K3!$D$12*(A117-$F$5),IF(A117&lt;$F$7,0,IF(A117&lt;$F$8,-GiaDinh_K3!$D$12*(A117-$F$7),IF(A117&lt;$F$9,-GiaDinh_K3!$D$11,IF(A117&lt;$F$10,-GiaDinh_K3!$D$11+GiaDinh_K3!$D$12*(A117-$F$9),0)))))))</f>
        <v>0</v>
      </c>
      <c r="D117" s="44">
        <f t="shared" si="2"/>
        <v>0.11999999999999995</v>
      </c>
      <c r="E117" s="44">
        <f t="shared" si="3"/>
        <v>9.2594999999999802E-2</v>
      </c>
      <c r="F117" s="40">
        <f>IF(A117&gt;$F$10,0,IF((Params!$C$21+GiaDinh_K3!$D$8*Params!$C$5*C117)&gt;=0,(Params!$C$21+GiaDinh_K3!$D$8*Params!$C$5*C117)*'Tính chọn'!$D$23/Params!$C$16,(Params!$C$21+GiaDinh_K3!$D$8*Params!$C$5*C117)*'Tính chọn'!$D$23*Params!$C$16)+Catalogue!$F$15*C117/'Tính chọn'!$D$23)</f>
        <v>1.8740295480880651</v>
      </c>
      <c r="G117" s="40">
        <f>IF(A117&gt;$F$10,0,IF(('Tính chọn'!$D$6+GiaDinh_K3!$D$8*Params!$C$6*C117)&gt;=0,('Tính chọn'!$D$6+GiaDinh_K3!$D$8*Params!$C$6*C117)*'Tính chọn'!$D$23/Params!$C$16,('Tính chọn'!$D$6+GiaDinh_K3!$D$8*Params!$C$6*C117)*'Tính chọn'!$D$23*Params!$C$16)+Catalogue!$F$15*C117/'Tính chọn'!$D$23)</f>
        <v>0.26602694090382384</v>
      </c>
      <c r="H117" s="43">
        <f>F117*D117/'Tính chọn'!$D$23</f>
        <v>279.46727999999996</v>
      </c>
    </row>
    <row r="118" spans="1:8" x14ac:dyDescent="0.2">
      <c r="A118" s="39">
        <f>104*$B$5</f>
        <v>1.04</v>
      </c>
      <c r="B118" s="40">
        <f>IF(A118&lt;$F$4,GiaDinh_K3!$D$12,IF(A118&lt;$F$5,0,IF(A118&lt;$F$6,-GiaDinh_K3!$D$12,IF(A118&lt;$F$7,0,IF(A118&lt;$F$8,-GiaDinh_K3!$D$12,IF(A118&lt;$F$9,0,IF(A118&lt;$F$10,GiaDinh_K3!$D$12,0)))))))</f>
        <v>0</v>
      </c>
      <c r="C118" s="41">
        <f>IF(A118&lt;$F$4,GiaDinh_K3!$D$12*A118,IF(A118&lt;$F$5,GiaDinh_K3!$D$11,IF(A118&lt;$F$6,GiaDinh_K3!$D$11-GiaDinh_K3!$D$12*(A118-$F$5),IF(A118&lt;$F$7,0,IF(A118&lt;$F$8,-GiaDinh_K3!$D$12*(A118-$F$7),IF(A118&lt;$F$9,-GiaDinh_K3!$D$11,IF(A118&lt;$F$10,-GiaDinh_K3!$D$11+GiaDinh_K3!$D$12*(A118-$F$9),0)))))))</f>
        <v>0</v>
      </c>
      <c r="D118" s="44">
        <f t="shared" si="2"/>
        <v>0.11999999999999995</v>
      </c>
      <c r="E118" s="44">
        <f t="shared" si="3"/>
        <v>9.3794999999999795E-2</v>
      </c>
      <c r="F118" s="40">
        <f>IF(A118&gt;$F$10,0,IF((Params!$C$21+GiaDinh_K3!$D$8*Params!$C$5*C118)&gt;=0,(Params!$C$21+GiaDinh_K3!$D$8*Params!$C$5*C118)*'Tính chọn'!$D$23/Params!$C$16,(Params!$C$21+GiaDinh_K3!$D$8*Params!$C$5*C118)*'Tính chọn'!$D$23*Params!$C$16)+Catalogue!$F$15*C118/'Tính chọn'!$D$23)</f>
        <v>1.8740295480880651</v>
      </c>
      <c r="G118" s="40">
        <f>IF(A118&gt;$F$10,0,IF(('Tính chọn'!$D$6+GiaDinh_K3!$D$8*Params!$C$6*C118)&gt;=0,('Tính chọn'!$D$6+GiaDinh_K3!$D$8*Params!$C$6*C118)*'Tính chọn'!$D$23/Params!$C$16,('Tính chọn'!$D$6+GiaDinh_K3!$D$8*Params!$C$6*C118)*'Tính chọn'!$D$23*Params!$C$16)+Catalogue!$F$15*C118/'Tính chọn'!$D$23)</f>
        <v>0.26602694090382384</v>
      </c>
      <c r="H118" s="43">
        <f>F118*D118/'Tính chọn'!$D$23</f>
        <v>279.46727999999996</v>
      </c>
    </row>
    <row r="119" spans="1:8" x14ac:dyDescent="0.2">
      <c r="A119" s="39">
        <f>105*$B$5</f>
        <v>1.05</v>
      </c>
      <c r="B119" s="40">
        <f>IF(A119&lt;$F$4,GiaDinh_K3!$D$12,IF(A119&lt;$F$5,0,IF(A119&lt;$F$6,-GiaDinh_K3!$D$12,IF(A119&lt;$F$7,0,IF(A119&lt;$F$8,-GiaDinh_K3!$D$12,IF(A119&lt;$F$9,0,IF(A119&lt;$F$10,GiaDinh_K3!$D$12,0)))))))</f>
        <v>0</v>
      </c>
      <c r="C119" s="41">
        <f>IF(A119&lt;$F$4,GiaDinh_K3!$D$12*A119,IF(A119&lt;$F$5,GiaDinh_K3!$D$11,IF(A119&lt;$F$6,GiaDinh_K3!$D$11-GiaDinh_K3!$D$12*(A119-$F$5),IF(A119&lt;$F$7,0,IF(A119&lt;$F$8,-GiaDinh_K3!$D$12*(A119-$F$7),IF(A119&lt;$F$9,-GiaDinh_K3!$D$11,IF(A119&lt;$F$10,-GiaDinh_K3!$D$11+GiaDinh_K3!$D$12*(A119-$F$9),0)))))))</f>
        <v>0</v>
      </c>
      <c r="D119" s="44">
        <f t="shared" si="2"/>
        <v>0.11999999999999995</v>
      </c>
      <c r="E119" s="44">
        <f t="shared" si="3"/>
        <v>9.4994999999999788E-2</v>
      </c>
      <c r="F119" s="40">
        <f>IF(A119&gt;$F$10,0,IF((Params!$C$21+GiaDinh_K3!$D$8*Params!$C$5*C119)&gt;=0,(Params!$C$21+GiaDinh_K3!$D$8*Params!$C$5*C119)*'Tính chọn'!$D$23/Params!$C$16,(Params!$C$21+GiaDinh_K3!$D$8*Params!$C$5*C119)*'Tính chọn'!$D$23*Params!$C$16)+Catalogue!$F$15*C119/'Tính chọn'!$D$23)</f>
        <v>1.8740295480880651</v>
      </c>
      <c r="G119" s="40">
        <f>IF(A119&gt;$F$10,0,IF(('Tính chọn'!$D$6+GiaDinh_K3!$D$8*Params!$C$6*C119)&gt;=0,('Tính chọn'!$D$6+GiaDinh_K3!$D$8*Params!$C$6*C119)*'Tính chọn'!$D$23/Params!$C$16,('Tính chọn'!$D$6+GiaDinh_K3!$D$8*Params!$C$6*C119)*'Tính chọn'!$D$23*Params!$C$16)+Catalogue!$F$15*C119/'Tính chọn'!$D$23)</f>
        <v>0.26602694090382384</v>
      </c>
      <c r="H119" s="43">
        <f>F119*D119/'Tính chọn'!$D$23</f>
        <v>279.46727999999996</v>
      </c>
    </row>
    <row r="120" spans="1:8" x14ac:dyDescent="0.2">
      <c r="A120" s="39">
        <f>106*$B$5</f>
        <v>1.06</v>
      </c>
      <c r="B120" s="40">
        <f>IF(A120&lt;$F$4,GiaDinh_K3!$D$12,IF(A120&lt;$F$5,0,IF(A120&lt;$F$6,-GiaDinh_K3!$D$12,IF(A120&lt;$F$7,0,IF(A120&lt;$F$8,-GiaDinh_K3!$D$12,IF(A120&lt;$F$9,0,IF(A120&lt;$F$10,GiaDinh_K3!$D$12,0)))))))</f>
        <v>0</v>
      </c>
      <c r="C120" s="41">
        <f>IF(A120&lt;$F$4,GiaDinh_K3!$D$12*A120,IF(A120&lt;$F$5,GiaDinh_K3!$D$11,IF(A120&lt;$F$6,GiaDinh_K3!$D$11-GiaDinh_K3!$D$12*(A120-$F$5),IF(A120&lt;$F$7,0,IF(A120&lt;$F$8,-GiaDinh_K3!$D$12*(A120-$F$7),IF(A120&lt;$F$9,-GiaDinh_K3!$D$11,IF(A120&lt;$F$10,-GiaDinh_K3!$D$11+GiaDinh_K3!$D$12*(A120-$F$9),0)))))))</f>
        <v>0</v>
      </c>
      <c r="D120" s="44">
        <f t="shared" si="2"/>
        <v>0.11999999999999995</v>
      </c>
      <c r="E120" s="44">
        <f t="shared" si="3"/>
        <v>9.6194999999999781E-2</v>
      </c>
      <c r="F120" s="40">
        <f>IF(A120&gt;$F$10,0,IF((Params!$C$21+GiaDinh_K3!$D$8*Params!$C$5*C120)&gt;=0,(Params!$C$21+GiaDinh_K3!$D$8*Params!$C$5*C120)*'Tính chọn'!$D$23/Params!$C$16,(Params!$C$21+GiaDinh_K3!$D$8*Params!$C$5*C120)*'Tính chọn'!$D$23*Params!$C$16)+Catalogue!$F$15*C120/'Tính chọn'!$D$23)</f>
        <v>1.8740295480880651</v>
      </c>
      <c r="G120" s="40">
        <f>IF(A120&gt;$F$10,0,IF(('Tính chọn'!$D$6+GiaDinh_K3!$D$8*Params!$C$6*C120)&gt;=0,('Tính chọn'!$D$6+GiaDinh_K3!$D$8*Params!$C$6*C120)*'Tính chọn'!$D$23/Params!$C$16,('Tính chọn'!$D$6+GiaDinh_K3!$D$8*Params!$C$6*C120)*'Tính chọn'!$D$23*Params!$C$16)+Catalogue!$F$15*C120/'Tính chọn'!$D$23)</f>
        <v>0.26602694090382384</v>
      </c>
      <c r="H120" s="43">
        <f>F120*D120/'Tính chọn'!$D$23</f>
        <v>279.46727999999996</v>
      </c>
    </row>
    <row r="121" spans="1:8" x14ac:dyDescent="0.2">
      <c r="A121" s="39">
        <f>107*$B$5</f>
        <v>1.07</v>
      </c>
      <c r="B121" s="40">
        <f>IF(A121&lt;$F$4,GiaDinh_K3!$D$12,IF(A121&lt;$F$5,0,IF(A121&lt;$F$6,-GiaDinh_K3!$D$12,IF(A121&lt;$F$7,0,IF(A121&lt;$F$8,-GiaDinh_K3!$D$12,IF(A121&lt;$F$9,0,IF(A121&lt;$F$10,GiaDinh_K3!$D$12,0)))))))</f>
        <v>0</v>
      </c>
      <c r="C121" s="41">
        <f>IF(A121&lt;$F$4,GiaDinh_K3!$D$12*A121,IF(A121&lt;$F$5,GiaDinh_K3!$D$11,IF(A121&lt;$F$6,GiaDinh_K3!$D$11-GiaDinh_K3!$D$12*(A121-$F$5),IF(A121&lt;$F$7,0,IF(A121&lt;$F$8,-GiaDinh_K3!$D$12*(A121-$F$7),IF(A121&lt;$F$9,-GiaDinh_K3!$D$11,IF(A121&lt;$F$10,-GiaDinh_K3!$D$11+GiaDinh_K3!$D$12*(A121-$F$9),0)))))))</f>
        <v>0</v>
      </c>
      <c r="D121" s="44">
        <f t="shared" si="2"/>
        <v>0.11999999999999995</v>
      </c>
      <c r="E121" s="44">
        <f t="shared" si="3"/>
        <v>9.7394999999999773E-2</v>
      </c>
      <c r="F121" s="40">
        <f>IF(A121&gt;$F$10,0,IF((Params!$C$21+GiaDinh_K3!$D$8*Params!$C$5*C121)&gt;=0,(Params!$C$21+GiaDinh_K3!$D$8*Params!$C$5*C121)*'Tính chọn'!$D$23/Params!$C$16,(Params!$C$21+GiaDinh_K3!$D$8*Params!$C$5*C121)*'Tính chọn'!$D$23*Params!$C$16)+Catalogue!$F$15*C121/'Tính chọn'!$D$23)</f>
        <v>1.8740295480880651</v>
      </c>
      <c r="G121" s="40">
        <f>IF(A121&gt;$F$10,0,IF(('Tính chọn'!$D$6+GiaDinh_K3!$D$8*Params!$C$6*C121)&gt;=0,('Tính chọn'!$D$6+GiaDinh_K3!$D$8*Params!$C$6*C121)*'Tính chọn'!$D$23/Params!$C$16,('Tính chọn'!$D$6+GiaDinh_K3!$D$8*Params!$C$6*C121)*'Tính chọn'!$D$23*Params!$C$16)+Catalogue!$F$15*C121/'Tính chọn'!$D$23)</f>
        <v>0.26602694090382384</v>
      </c>
      <c r="H121" s="43">
        <f>F121*D121/'Tính chọn'!$D$23</f>
        <v>279.46727999999996</v>
      </c>
    </row>
    <row r="122" spans="1:8" x14ac:dyDescent="0.2">
      <c r="A122" s="39">
        <f>108*$B$5</f>
        <v>1.08</v>
      </c>
      <c r="B122" s="40">
        <f>IF(A122&lt;$F$4,GiaDinh_K3!$D$12,IF(A122&lt;$F$5,0,IF(A122&lt;$F$6,-GiaDinh_K3!$D$12,IF(A122&lt;$F$7,0,IF(A122&lt;$F$8,-GiaDinh_K3!$D$12,IF(A122&lt;$F$9,0,IF(A122&lt;$F$10,GiaDinh_K3!$D$12,0)))))))</f>
        <v>0</v>
      </c>
      <c r="C122" s="41">
        <f>IF(A122&lt;$F$4,GiaDinh_K3!$D$12*A122,IF(A122&lt;$F$5,GiaDinh_K3!$D$11,IF(A122&lt;$F$6,GiaDinh_K3!$D$11-GiaDinh_K3!$D$12*(A122-$F$5),IF(A122&lt;$F$7,0,IF(A122&lt;$F$8,-GiaDinh_K3!$D$12*(A122-$F$7),IF(A122&lt;$F$9,-GiaDinh_K3!$D$11,IF(A122&lt;$F$10,-GiaDinh_K3!$D$11+GiaDinh_K3!$D$12*(A122-$F$9),0)))))))</f>
        <v>0</v>
      </c>
      <c r="D122" s="44">
        <f t="shared" si="2"/>
        <v>0.11999999999999995</v>
      </c>
      <c r="E122" s="44">
        <f t="shared" si="3"/>
        <v>9.8594999999999766E-2</v>
      </c>
      <c r="F122" s="40">
        <f>IF(A122&gt;$F$10,0,IF((Params!$C$21+GiaDinh_K3!$D$8*Params!$C$5*C122)&gt;=0,(Params!$C$21+GiaDinh_K3!$D$8*Params!$C$5*C122)*'Tính chọn'!$D$23/Params!$C$16,(Params!$C$21+GiaDinh_K3!$D$8*Params!$C$5*C122)*'Tính chọn'!$D$23*Params!$C$16)+Catalogue!$F$15*C122/'Tính chọn'!$D$23)</f>
        <v>1.8740295480880651</v>
      </c>
      <c r="G122" s="40">
        <f>IF(A122&gt;$F$10,0,IF(('Tính chọn'!$D$6+GiaDinh_K3!$D$8*Params!$C$6*C122)&gt;=0,('Tính chọn'!$D$6+GiaDinh_K3!$D$8*Params!$C$6*C122)*'Tính chọn'!$D$23/Params!$C$16,('Tính chọn'!$D$6+GiaDinh_K3!$D$8*Params!$C$6*C122)*'Tính chọn'!$D$23*Params!$C$16)+Catalogue!$F$15*C122/'Tính chọn'!$D$23)</f>
        <v>0.26602694090382384</v>
      </c>
      <c r="H122" s="43">
        <f>F122*D122/'Tính chọn'!$D$23</f>
        <v>279.46727999999996</v>
      </c>
    </row>
    <row r="123" spans="1:8" x14ac:dyDescent="0.2">
      <c r="A123" s="39">
        <f>109*$B$5</f>
        <v>1.0900000000000001</v>
      </c>
      <c r="B123" s="40">
        <f>IF(A123&lt;$F$4,GiaDinh_K3!$D$12,IF(A123&lt;$F$5,0,IF(A123&lt;$F$6,-GiaDinh_K3!$D$12,IF(A123&lt;$F$7,0,IF(A123&lt;$F$8,-GiaDinh_K3!$D$12,IF(A123&lt;$F$9,0,IF(A123&lt;$F$10,GiaDinh_K3!$D$12,0)))))))</f>
        <v>0</v>
      </c>
      <c r="C123" s="41">
        <f>IF(A123&lt;$F$4,GiaDinh_K3!$D$12*A123,IF(A123&lt;$F$5,GiaDinh_K3!$D$11,IF(A123&lt;$F$6,GiaDinh_K3!$D$11-GiaDinh_K3!$D$12*(A123-$F$5),IF(A123&lt;$F$7,0,IF(A123&lt;$F$8,-GiaDinh_K3!$D$12*(A123-$F$7),IF(A123&lt;$F$9,-GiaDinh_K3!$D$11,IF(A123&lt;$F$10,-GiaDinh_K3!$D$11+GiaDinh_K3!$D$12*(A123-$F$9),0)))))))</f>
        <v>0</v>
      </c>
      <c r="D123" s="44">
        <f t="shared" si="2"/>
        <v>0.11999999999999995</v>
      </c>
      <c r="E123" s="44">
        <f t="shared" si="3"/>
        <v>9.9794999999999759E-2</v>
      </c>
      <c r="F123" s="40">
        <f>IF(A123&gt;$F$10,0,IF((Params!$C$21+GiaDinh_K3!$D$8*Params!$C$5*C123)&gt;=0,(Params!$C$21+GiaDinh_K3!$D$8*Params!$C$5*C123)*'Tính chọn'!$D$23/Params!$C$16,(Params!$C$21+GiaDinh_K3!$D$8*Params!$C$5*C123)*'Tính chọn'!$D$23*Params!$C$16)+Catalogue!$F$15*C123/'Tính chọn'!$D$23)</f>
        <v>1.8740295480880651</v>
      </c>
      <c r="G123" s="40">
        <f>IF(A123&gt;$F$10,0,IF(('Tính chọn'!$D$6+GiaDinh_K3!$D$8*Params!$C$6*C123)&gt;=0,('Tính chọn'!$D$6+GiaDinh_K3!$D$8*Params!$C$6*C123)*'Tính chọn'!$D$23/Params!$C$16,('Tính chọn'!$D$6+GiaDinh_K3!$D$8*Params!$C$6*C123)*'Tính chọn'!$D$23*Params!$C$16)+Catalogue!$F$15*C123/'Tính chọn'!$D$23)</f>
        <v>0.26602694090382384</v>
      </c>
      <c r="H123" s="43">
        <f>F123*D123/'Tính chọn'!$D$23</f>
        <v>279.46727999999996</v>
      </c>
    </row>
    <row r="124" spans="1:8" x14ac:dyDescent="0.2">
      <c r="A124" s="39">
        <f>110*$B$5</f>
        <v>1.1000000000000001</v>
      </c>
      <c r="B124" s="40">
        <f>IF(A124&lt;$F$4,GiaDinh_K3!$D$12,IF(A124&lt;$F$5,0,IF(A124&lt;$F$6,-GiaDinh_K3!$D$12,IF(A124&lt;$F$7,0,IF(A124&lt;$F$8,-GiaDinh_K3!$D$12,IF(A124&lt;$F$9,0,IF(A124&lt;$F$10,GiaDinh_K3!$D$12,0)))))))</f>
        <v>0</v>
      </c>
      <c r="C124" s="41">
        <f>IF(A124&lt;$F$4,GiaDinh_K3!$D$12*A124,IF(A124&lt;$F$5,GiaDinh_K3!$D$11,IF(A124&lt;$F$6,GiaDinh_K3!$D$11-GiaDinh_K3!$D$12*(A124-$F$5),IF(A124&lt;$F$7,0,IF(A124&lt;$F$8,-GiaDinh_K3!$D$12*(A124-$F$7),IF(A124&lt;$F$9,-GiaDinh_K3!$D$11,IF(A124&lt;$F$10,-GiaDinh_K3!$D$11+GiaDinh_K3!$D$12*(A124-$F$9),0)))))))</f>
        <v>0</v>
      </c>
      <c r="D124" s="44">
        <f t="shared" si="2"/>
        <v>0.11999999999999995</v>
      </c>
      <c r="E124" s="44">
        <f t="shared" si="3"/>
        <v>0.10099499999999975</v>
      </c>
      <c r="F124" s="40">
        <f>IF(A124&gt;$F$10,0,IF((Params!$C$21+GiaDinh_K3!$D$8*Params!$C$5*C124)&gt;=0,(Params!$C$21+GiaDinh_K3!$D$8*Params!$C$5*C124)*'Tính chọn'!$D$23/Params!$C$16,(Params!$C$21+GiaDinh_K3!$D$8*Params!$C$5*C124)*'Tính chọn'!$D$23*Params!$C$16)+Catalogue!$F$15*C124/'Tính chọn'!$D$23)</f>
        <v>1.8740295480880651</v>
      </c>
      <c r="G124" s="40">
        <f>IF(A124&gt;$F$10,0,IF(('Tính chọn'!$D$6+GiaDinh_K3!$D$8*Params!$C$6*C124)&gt;=0,('Tính chọn'!$D$6+GiaDinh_K3!$D$8*Params!$C$6*C124)*'Tính chọn'!$D$23/Params!$C$16,('Tính chọn'!$D$6+GiaDinh_K3!$D$8*Params!$C$6*C124)*'Tính chọn'!$D$23*Params!$C$16)+Catalogue!$F$15*C124/'Tính chọn'!$D$23)</f>
        <v>0.26602694090382384</v>
      </c>
      <c r="H124" s="43">
        <f>F124*D124/'Tính chọn'!$D$23</f>
        <v>279.46727999999996</v>
      </c>
    </row>
    <row r="125" spans="1:8" x14ac:dyDescent="0.2">
      <c r="A125" s="39">
        <f>111*$B$5</f>
        <v>1.1100000000000001</v>
      </c>
      <c r="B125" s="40">
        <f>IF(A125&lt;$F$4,GiaDinh_K3!$D$12,IF(A125&lt;$F$5,0,IF(A125&lt;$F$6,-GiaDinh_K3!$D$12,IF(A125&lt;$F$7,0,IF(A125&lt;$F$8,-GiaDinh_K3!$D$12,IF(A125&lt;$F$9,0,IF(A125&lt;$F$10,GiaDinh_K3!$D$12,0)))))))</f>
        <v>0</v>
      </c>
      <c r="C125" s="41">
        <f>IF(A125&lt;$F$4,GiaDinh_K3!$D$12*A125,IF(A125&lt;$F$5,GiaDinh_K3!$D$11,IF(A125&lt;$F$6,GiaDinh_K3!$D$11-GiaDinh_K3!$D$12*(A125-$F$5),IF(A125&lt;$F$7,0,IF(A125&lt;$F$8,-GiaDinh_K3!$D$12*(A125-$F$7),IF(A125&lt;$F$9,-GiaDinh_K3!$D$11,IF(A125&lt;$F$10,-GiaDinh_K3!$D$11+GiaDinh_K3!$D$12*(A125-$F$9),0)))))))</f>
        <v>0</v>
      </c>
      <c r="D125" s="44">
        <f t="shared" si="2"/>
        <v>0.11999999999999995</v>
      </c>
      <c r="E125" s="44">
        <f t="shared" si="3"/>
        <v>0.10219499999999974</v>
      </c>
      <c r="F125" s="40">
        <f>IF(A125&gt;$F$10,0,IF((Params!$C$21+GiaDinh_K3!$D$8*Params!$C$5*C125)&gt;=0,(Params!$C$21+GiaDinh_K3!$D$8*Params!$C$5*C125)*'Tính chọn'!$D$23/Params!$C$16,(Params!$C$21+GiaDinh_K3!$D$8*Params!$C$5*C125)*'Tính chọn'!$D$23*Params!$C$16)+Catalogue!$F$15*C125/'Tính chọn'!$D$23)</f>
        <v>1.8740295480880651</v>
      </c>
      <c r="G125" s="40">
        <f>IF(A125&gt;$F$10,0,IF(('Tính chọn'!$D$6+GiaDinh_K3!$D$8*Params!$C$6*C125)&gt;=0,('Tính chọn'!$D$6+GiaDinh_K3!$D$8*Params!$C$6*C125)*'Tính chọn'!$D$23/Params!$C$16,('Tính chọn'!$D$6+GiaDinh_K3!$D$8*Params!$C$6*C125)*'Tính chọn'!$D$23*Params!$C$16)+Catalogue!$F$15*C125/'Tính chọn'!$D$23)</f>
        <v>0.26602694090382384</v>
      </c>
      <c r="H125" s="43">
        <f>F125*D125/'Tính chọn'!$D$23</f>
        <v>279.46727999999996</v>
      </c>
    </row>
    <row r="126" spans="1:8" x14ac:dyDescent="0.2">
      <c r="A126" s="39">
        <f>112*$B$5</f>
        <v>1.1200000000000001</v>
      </c>
      <c r="B126" s="40">
        <f>IF(A126&lt;$F$4,GiaDinh_K3!$D$12,IF(A126&lt;$F$5,0,IF(A126&lt;$F$6,-GiaDinh_K3!$D$12,IF(A126&lt;$F$7,0,IF(A126&lt;$F$8,-GiaDinh_K3!$D$12,IF(A126&lt;$F$9,0,IF(A126&lt;$F$10,GiaDinh_K3!$D$12,0)))))))</f>
        <v>0</v>
      </c>
      <c r="C126" s="41">
        <f>IF(A126&lt;$F$4,GiaDinh_K3!$D$12*A126,IF(A126&lt;$F$5,GiaDinh_K3!$D$11,IF(A126&lt;$F$6,GiaDinh_K3!$D$11-GiaDinh_K3!$D$12*(A126-$F$5),IF(A126&lt;$F$7,0,IF(A126&lt;$F$8,-GiaDinh_K3!$D$12*(A126-$F$7),IF(A126&lt;$F$9,-GiaDinh_K3!$D$11,IF(A126&lt;$F$10,-GiaDinh_K3!$D$11+GiaDinh_K3!$D$12*(A126-$F$9),0)))))))</f>
        <v>0</v>
      </c>
      <c r="D126" s="44">
        <f t="shared" si="2"/>
        <v>0.11999999999999995</v>
      </c>
      <c r="E126" s="44">
        <f t="shared" si="3"/>
        <v>0.10339499999999974</v>
      </c>
      <c r="F126" s="40">
        <f>IF(A126&gt;$F$10,0,IF((Params!$C$21+GiaDinh_K3!$D$8*Params!$C$5*C126)&gt;=0,(Params!$C$21+GiaDinh_K3!$D$8*Params!$C$5*C126)*'Tính chọn'!$D$23/Params!$C$16,(Params!$C$21+GiaDinh_K3!$D$8*Params!$C$5*C126)*'Tính chọn'!$D$23*Params!$C$16)+Catalogue!$F$15*C126/'Tính chọn'!$D$23)</f>
        <v>1.8740295480880651</v>
      </c>
      <c r="G126" s="40">
        <f>IF(A126&gt;$F$10,0,IF(('Tính chọn'!$D$6+GiaDinh_K3!$D$8*Params!$C$6*C126)&gt;=0,('Tính chọn'!$D$6+GiaDinh_K3!$D$8*Params!$C$6*C126)*'Tính chọn'!$D$23/Params!$C$16,('Tính chọn'!$D$6+GiaDinh_K3!$D$8*Params!$C$6*C126)*'Tính chọn'!$D$23*Params!$C$16)+Catalogue!$F$15*C126/'Tính chọn'!$D$23)</f>
        <v>0.26602694090382384</v>
      </c>
      <c r="H126" s="43">
        <f>F126*D126/'Tính chọn'!$D$23</f>
        <v>279.46727999999996</v>
      </c>
    </row>
    <row r="127" spans="1:8" x14ac:dyDescent="0.2">
      <c r="A127" s="39">
        <f>113*$B$5</f>
        <v>1.1300000000000001</v>
      </c>
      <c r="B127" s="40">
        <f>IF(A127&lt;$F$4,GiaDinh_K3!$D$12,IF(A127&lt;$F$5,0,IF(A127&lt;$F$6,-GiaDinh_K3!$D$12,IF(A127&lt;$F$7,0,IF(A127&lt;$F$8,-GiaDinh_K3!$D$12,IF(A127&lt;$F$9,0,IF(A127&lt;$F$10,GiaDinh_K3!$D$12,0)))))))</f>
        <v>0</v>
      </c>
      <c r="C127" s="41">
        <f>IF(A127&lt;$F$4,GiaDinh_K3!$D$12*A127,IF(A127&lt;$F$5,GiaDinh_K3!$D$11,IF(A127&lt;$F$6,GiaDinh_K3!$D$11-GiaDinh_K3!$D$12*(A127-$F$5),IF(A127&lt;$F$7,0,IF(A127&lt;$F$8,-GiaDinh_K3!$D$12*(A127-$F$7),IF(A127&lt;$F$9,-GiaDinh_K3!$D$11,IF(A127&lt;$F$10,-GiaDinh_K3!$D$11+GiaDinh_K3!$D$12*(A127-$F$9),0)))))))</f>
        <v>0</v>
      </c>
      <c r="D127" s="44">
        <f t="shared" si="2"/>
        <v>0.11999999999999995</v>
      </c>
      <c r="E127" s="44">
        <f t="shared" si="3"/>
        <v>0.10459499999999973</v>
      </c>
      <c r="F127" s="40">
        <f>IF(A127&gt;$F$10,0,IF((Params!$C$21+GiaDinh_K3!$D$8*Params!$C$5*C127)&gt;=0,(Params!$C$21+GiaDinh_K3!$D$8*Params!$C$5*C127)*'Tính chọn'!$D$23/Params!$C$16,(Params!$C$21+GiaDinh_K3!$D$8*Params!$C$5*C127)*'Tính chọn'!$D$23*Params!$C$16)+Catalogue!$F$15*C127/'Tính chọn'!$D$23)</f>
        <v>1.8740295480880651</v>
      </c>
      <c r="G127" s="40">
        <f>IF(A127&gt;$F$10,0,IF(('Tính chọn'!$D$6+GiaDinh_K3!$D$8*Params!$C$6*C127)&gt;=0,('Tính chọn'!$D$6+GiaDinh_K3!$D$8*Params!$C$6*C127)*'Tính chọn'!$D$23/Params!$C$16,('Tính chọn'!$D$6+GiaDinh_K3!$D$8*Params!$C$6*C127)*'Tính chọn'!$D$23*Params!$C$16)+Catalogue!$F$15*C127/'Tính chọn'!$D$23)</f>
        <v>0.26602694090382384</v>
      </c>
      <c r="H127" s="43">
        <f>F127*D127/'Tính chọn'!$D$23</f>
        <v>279.46727999999996</v>
      </c>
    </row>
    <row r="128" spans="1:8" x14ac:dyDescent="0.2">
      <c r="A128" s="39">
        <f>114*$B$5</f>
        <v>1.1400000000000001</v>
      </c>
      <c r="B128" s="40">
        <f>IF(A128&lt;$F$4,GiaDinh_K3!$D$12,IF(A128&lt;$F$5,0,IF(A128&lt;$F$6,-GiaDinh_K3!$D$12,IF(A128&lt;$F$7,0,IF(A128&lt;$F$8,-GiaDinh_K3!$D$12,IF(A128&lt;$F$9,0,IF(A128&lt;$F$10,GiaDinh_K3!$D$12,0)))))))</f>
        <v>0</v>
      </c>
      <c r="C128" s="41">
        <f>IF(A128&lt;$F$4,GiaDinh_K3!$D$12*A128,IF(A128&lt;$F$5,GiaDinh_K3!$D$11,IF(A128&lt;$F$6,GiaDinh_K3!$D$11-GiaDinh_K3!$D$12*(A128-$F$5),IF(A128&lt;$F$7,0,IF(A128&lt;$F$8,-GiaDinh_K3!$D$12*(A128-$F$7),IF(A128&lt;$F$9,-GiaDinh_K3!$D$11,IF(A128&lt;$F$10,-GiaDinh_K3!$D$11+GiaDinh_K3!$D$12*(A128-$F$9),0)))))))</f>
        <v>0</v>
      </c>
      <c r="D128" s="44">
        <f t="shared" si="2"/>
        <v>0.11999999999999995</v>
      </c>
      <c r="E128" s="44">
        <f t="shared" si="3"/>
        <v>0.10579499999999972</v>
      </c>
      <c r="F128" s="40">
        <f>IF(A128&gt;$F$10,0,IF((Params!$C$21+GiaDinh_K3!$D$8*Params!$C$5*C128)&gt;=0,(Params!$C$21+GiaDinh_K3!$D$8*Params!$C$5*C128)*'Tính chọn'!$D$23/Params!$C$16,(Params!$C$21+GiaDinh_K3!$D$8*Params!$C$5*C128)*'Tính chọn'!$D$23*Params!$C$16)+Catalogue!$F$15*C128/'Tính chọn'!$D$23)</f>
        <v>1.8740295480880651</v>
      </c>
      <c r="G128" s="40">
        <f>IF(A128&gt;$F$10,0,IF(('Tính chọn'!$D$6+GiaDinh_K3!$D$8*Params!$C$6*C128)&gt;=0,('Tính chọn'!$D$6+GiaDinh_K3!$D$8*Params!$C$6*C128)*'Tính chọn'!$D$23/Params!$C$16,('Tính chọn'!$D$6+GiaDinh_K3!$D$8*Params!$C$6*C128)*'Tính chọn'!$D$23*Params!$C$16)+Catalogue!$F$15*C128/'Tính chọn'!$D$23)</f>
        <v>0.26602694090382384</v>
      </c>
      <c r="H128" s="43">
        <f>F128*D128/'Tính chọn'!$D$23</f>
        <v>279.46727999999996</v>
      </c>
    </row>
    <row r="129" spans="1:8" x14ac:dyDescent="0.2">
      <c r="A129" s="39">
        <f>115*$B$5</f>
        <v>1.1500000000000001</v>
      </c>
      <c r="B129" s="40">
        <f>IF(A129&lt;$F$4,GiaDinh_K3!$D$12,IF(A129&lt;$F$5,0,IF(A129&lt;$F$6,-GiaDinh_K3!$D$12,IF(A129&lt;$F$7,0,IF(A129&lt;$F$8,-GiaDinh_K3!$D$12,IF(A129&lt;$F$9,0,IF(A129&lt;$F$10,GiaDinh_K3!$D$12,0)))))))</f>
        <v>0</v>
      </c>
      <c r="C129" s="41">
        <f>IF(A129&lt;$F$4,GiaDinh_K3!$D$12*A129,IF(A129&lt;$F$5,GiaDinh_K3!$D$11,IF(A129&lt;$F$6,GiaDinh_K3!$D$11-GiaDinh_K3!$D$12*(A129-$F$5),IF(A129&lt;$F$7,0,IF(A129&lt;$F$8,-GiaDinh_K3!$D$12*(A129-$F$7),IF(A129&lt;$F$9,-GiaDinh_K3!$D$11,IF(A129&lt;$F$10,-GiaDinh_K3!$D$11+GiaDinh_K3!$D$12*(A129-$F$9),0)))))))</f>
        <v>0</v>
      </c>
      <c r="D129" s="44">
        <f t="shared" si="2"/>
        <v>0.11999999999999995</v>
      </c>
      <c r="E129" s="44">
        <f t="shared" si="3"/>
        <v>0.10699499999999972</v>
      </c>
      <c r="F129" s="40">
        <f>IF(A129&gt;$F$10,0,IF((Params!$C$21+GiaDinh_K3!$D$8*Params!$C$5*C129)&gt;=0,(Params!$C$21+GiaDinh_K3!$D$8*Params!$C$5*C129)*'Tính chọn'!$D$23/Params!$C$16,(Params!$C$21+GiaDinh_K3!$D$8*Params!$C$5*C129)*'Tính chọn'!$D$23*Params!$C$16)+Catalogue!$F$15*C129/'Tính chọn'!$D$23)</f>
        <v>1.8740295480880651</v>
      </c>
      <c r="G129" s="40">
        <f>IF(A129&gt;$F$10,0,IF(('Tính chọn'!$D$6+GiaDinh_K3!$D$8*Params!$C$6*C129)&gt;=0,('Tính chọn'!$D$6+GiaDinh_K3!$D$8*Params!$C$6*C129)*'Tính chọn'!$D$23/Params!$C$16,('Tính chọn'!$D$6+GiaDinh_K3!$D$8*Params!$C$6*C129)*'Tính chọn'!$D$23*Params!$C$16)+Catalogue!$F$15*C129/'Tính chọn'!$D$23)</f>
        <v>0.26602694090382384</v>
      </c>
      <c r="H129" s="43">
        <f>F129*D129/'Tính chọn'!$D$23</f>
        <v>279.46727999999996</v>
      </c>
    </row>
    <row r="130" spans="1:8" x14ac:dyDescent="0.2">
      <c r="A130" s="39">
        <f>116*$B$5</f>
        <v>1.1599999999999999</v>
      </c>
      <c r="B130" s="40">
        <f>IF(A130&lt;$F$4,GiaDinh_K3!$D$12,IF(A130&lt;$F$5,0,IF(A130&lt;$F$6,-GiaDinh_K3!$D$12,IF(A130&lt;$F$7,0,IF(A130&lt;$F$8,-GiaDinh_K3!$D$12,IF(A130&lt;$F$9,0,IF(A130&lt;$F$10,GiaDinh_K3!$D$12,0)))))))</f>
        <v>0</v>
      </c>
      <c r="C130" s="41">
        <f>IF(A130&lt;$F$4,GiaDinh_K3!$D$12*A130,IF(A130&lt;$F$5,GiaDinh_K3!$D$11,IF(A130&lt;$F$6,GiaDinh_K3!$D$11-GiaDinh_K3!$D$12*(A130-$F$5),IF(A130&lt;$F$7,0,IF(A130&lt;$F$8,-GiaDinh_K3!$D$12*(A130-$F$7),IF(A130&lt;$F$9,-GiaDinh_K3!$D$11,IF(A130&lt;$F$10,-GiaDinh_K3!$D$11+GiaDinh_K3!$D$12*(A130-$F$9),0)))))))</f>
        <v>0</v>
      </c>
      <c r="D130" s="44">
        <f t="shared" si="2"/>
        <v>0.11999999999999995</v>
      </c>
      <c r="E130" s="44">
        <f t="shared" si="3"/>
        <v>0.10819499999999971</v>
      </c>
      <c r="F130" s="40">
        <f>IF(A130&gt;$F$10,0,IF((Params!$C$21+GiaDinh_K3!$D$8*Params!$C$5*C130)&gt;=0,(Params!$C$21+GiaDinh_K3!$D$8*Params!$C$5*C130)*'Tính chọn'!$D$23/Params!$C$16,(Params!$C$21+GiaDinh_K3!$D$8*Params!$C$5*C130)*'Tính chọn'!$D$23*Params!$C$16)+Catalogue!$F$15*C130/'Tính chọn'!$D$23)</f>
        <v>1.8740295480880651</v>
      </c>
      <c r="G130" s="40">
        <f>IF(A130&gt;$F$10,0,IF(('Tính chọn'!$D$6+GiaDinh_K3!$D$8*Params!$C$6*C130)&gt;=0,('Tính chọn'!$D$6+GiaDinh_K3!$D$8*Params!$C$6*C130)*'Tính chọn'!$D$23/Params!$C$16,('Tính chọn'!$D$6+GiaDinh_K3!$D$8*Params!$C$6*C130)*'Tính chọn'!$D$23*Params!$C$16)+Catalogue!$F$15*C130/'Tính chọn'!$D$23)</f>
        <v>0.26602694090382384</v>
      </c>
      <c r="H130" s="43">
        <f>F130*D130/'Tính chọn'!$D$23</f>
        <v>279.46727999999996</v>
      </c>
    </row>
    <row r="131" spans="1:8" x14ac:dyDescent="0.2">
      <c r="A131" s="39">
        <f>117*$B$5</f>
        <v>1.17</v>
      </c>
      <c r="B131" s="40">
        <f>IF(A131&lt;$F$4,GiaDinh_K3!$D$12,IF(A131&lt;$F$5,0,IF(A131&lt;$F$6,-GiaDinh_K3!$D$12,IF(A131&lt;$F$7,0,IF(A131&lt;$F$8,-GiaDinh_K3!$D$12,IF(A131&lt;$F$9,0,IF(A131&lt;$F$10,GiaDinh_K3!$D$12,0)))))))</f>
        <v>0</v>
      </c>
      <c r="C131" s="41">
        <f>IF(A131&lt;$F$4,GiaDinh_K3!$D$12*A131,IF(A131&lt;$F$5,GiaDinh_K3!$D$11,IF(A131&lt;$F$6,GiaDinh_K3!$D$11-GiaDinh_K3!$D$12*(A131-$F$5),IF(A131&lt;$F$7,0,IF(A131&lt;$F$8,-GiaDinh_K3!$D$12*(A131-$F$7),IF(A131&lt;$F$9,-GiaDinh_K3!$D$11,IF(A131&lt;$F$10,-GiaDinh_K3!$D$11+GiaDinh_K3!$D$12*(A131-$F$9),0)))))))</f>
        <v>0</v>
      </c>
      <c r="D131" s="44">
        <f t="shared" si="2"/>
        <v>0.11999999999999995</v>
      </c>
      <c r="E131" s="44">
        <f t="shared" si="3"/>
        <v>0.1093949999999997</v>
      </c>
      <c r="F131" s="40">
        <f>IF(A131&gt;$F$10,0,IF((Params!$C$21+GiaDinh_K3!$D$8*Params!$C$5*C131)&gt;=0,(Params!$C$21+GiaDinh_K3!$D$8*Params!$C$5*C131)*'Tính chọn'!$D$23/Params!$C$16,(Params!$C$21+GiaDinh_K3!$D$8*Params!$C$5*C131)*'Tính chọn'!$D$23*Params!$C$16)+Catalogue!$F$15*C131/'Tính chọn'!$D$23)</f>
        <v>1.8740295480880651</v>
      </c>
      <c r="G131" s="40">
        <f>IF(A131&gt;$F$10,0,IF(('Tính chọn'!$D$6+GiaDinh_K3!$D$8*Params!$C$6*C131)&gt;=0,('Tính chọn'!$D$6+GiaDinh_K3!$D$8*Params!$C$6*C131)*'Tính chọn'!$D$23/Params!$C$16,('Tính chọn'!$D$6+GiaDinh_K3!$D$8*Params!$C$6*C131)*'Tính chọn'!$D$23*Params!$C$16)+Catalogue!$F$15*C131/'Tính chọn'!$D$23)</f>
        <v>0.26602694090382384</v>
      </c>
      <c r="H131" s="43">
        <f>F131*D131/'Tính chọn'!$D$23</f>
        <v>279.46727999999996</v>
      </c>
    </row>
    <row r="132" spans="1:8" x14ac:dyDescent="0.2">
      <c r="A132" s="39">
        <f>118*$B$5</f>
        <v>1.18</v>
      </c>
      <c r="B132" s="40">
        <f>IF(A132&lt;$F$4,GiaDinh_K3!$D$12,IF(A132&lt;$F$5,0,IF(A132&lt;$F$6,-GiaDinh_K3!$D$12,IF(A132&lt;$F$7,0,IF(A132&lt;$F$8,-GiaDinh_K3!$D$12,IF(A132&lt;$F$9,0,IF(A132&lt;$F$10,GiaDinh_K3!$D$12,0)))))))</f>
        <v>0</v>
      </c>
      <c r="C132" s="41">
        <f>IF(A132&lt;$F$4,GiaDinh_K3!$D$12*A132,IF(A132&lt;$F$5,GiaDinh_K3!$D$11,IF(A132&lt;$F$6,GiaDinh_K3!$D$11-GiaDinh_K3!$D$12*(A132-$F$5),IF(A132&lt;$F$7,0,IF(A132&lt;$F$8,-GiaDinh_K3!$D$12*(A132-$F$7),IF(A132&lt;$F$9,-GiaDinh_K3!$D$11,IF(A132&lt;$F$10,-GiaDinh_K3!$D$11+GiaDinh_K3!$D$12*(A132-$F$9),0)))))))</f>
        <v>0</v>
      </c>
      <c r="D132" s="44">
        <f t="shared" si="2"/>
        <v>0.11999999999999995</v>
      </c>
      <c r="E132" s="44">
        <f t="shared" si="3"/>
        <v>0.11059499999999969</v>
      </c>
      <c r="F132" s="40">
        <f>IF(A132&gt;$F$10,0,IF((Params!$C$21+GiaDinh_K3!$D$8*Params!$C$5*C132)&gt;=0,(Params!$C$21+GiaDinh_K3!$D$8*Params!$C$5*C132)*'Tính chọn'!$D$23/Params!$C$16,(Params!$C$21+GiaDinh_K3!$D$8*Params!$C$5*C132)*'Tính chọn'!$D$23*Params!$C$16)+Catalogue!$F$15*C132/'Tính chọn'!$D$23)</f>
        <v>1.8740295480880651</v>
      </c>
      <c r="G132" s="40">
        <f>IF(A132&gt;$F$10,0,IF(('Tính chọn'!$D$6+GiaDinh_K3!$D$8*Params!$C$6*C132)&gt;=0,('Tính chọn'!$D$6+GiaDinh_K3!$D$8*Params!$C$6*C132)*'Tính chọn'!$D$23/Params!$C$16,('Tính chọn'!$D$6+GiaDinh_K3!$D$8*Params!$C$6*C132)*'Tính chọn'!$D$23*Params!$C$16)+Catalogue!$F$15*C132/'Tính chọn'!$D$23)</f>
        <v>0.26602694090382384</v>
      </c>
      <c r="H132" s="43">
        <f>F132*D132/'Tính chọn'!$D$23</f>
        <v>279.46727999999996</v>
      </c>
    </row>
    <row r="133" spans="1:8" x14ac:dyDescent="0.2">
      <c r="A133" s="39">
        <f>119*$B$5</f>
        <v>1.19</v>
      </c>
      <c r="B133" s="40">
        <f>IF(A133&lt;$F$4,GiaDinh_K3!$D$12,IF(A133&lt;$F$5,0,IF(A133&lt;$F$6,-GiaDinh_K3!$D$12,IF(A133&lt;$F$7,0,IF(A133&lt;$F$8,-GiaDinh_K3!$D$12,IF(A133&lt;$F$9,0,IF(A133&lt;$F$10,GiaDinh_K3!$D$12,0)))))))</f>
        <v>0</v>
      </c>
      <c r="C133" s="41">
        <f>IF(A133&lt;$F$4,GiaDinh_K3!$D$12*A133,IF(A133&lt;$F$5,GiaDinh_K3!$D$11,IF(A133&lt;$F$6,GiaDinh_K3!$D$11-GiaDinh_K3!$D$12*(A133-$F$5),IF(A133&lt;$F$7,0,IF(A133&lt;$F$8,-GiaDinh_K3!$D$12*(A133-$F$7),IF(A133&lt;$F$9,-GiaDinh_K3!$D$11,IF(A133&lt;$F$10,-GiaDinh_K3!$D$11+GiaDinh_K3!$D$12*(A133-$F$9),0)))))))</f>
        <v>0</v>
      </c>
      <c r="D133" s="44">
        <f t="shared" si="2"/>
        <v>0.11999999999999995</v>
      </c>
      <c r="E133" s="44">
        <f t="shared" si="3"/>
        <v>0.11179499999999969</v>
      </c>
      <c r="F133" s="40">
        <f>IF(A133&gt;$F$10,0,IF((Params!$C$21+GiaDinh_K3!$D$8*Params!$C$5*C133)&gt;=0,(Params!$C$21+GiaDinh_K3!$D$8*Params!$C$5*C133)*'Tính chọn'!$D$23/Params!$C$16,(Params!$C$21+GiaDinh_K3!$D$8*Params!$C$5*C133)*'Tính chọn'!$D$23*Params!$C$16)+Catalogue!$F$15*C133/'Tính chọn'!$D$23)</f>
        <v>1.8740295480880651</v>
      </c>
      <c r="G133" s="40">
        <f>IF(A133&gt;$F$10,0,IF(('Tính chọn'!$D$6+GiaDinh_K3!$D$8*Params!$C$6*C133)&gt;=0,('Tính chọn'!$D$6+GiaDinh_K3!$D$8*Params!$C$6*C133)*'Tính chọn'!$D$23/Params!$C$16,('Tính chọn'!$D$6+GiaDinh_K3!$D$8*Params!$C$6*C133)*'Tính chọn'!$D$23*Params!$C$16)+Catalogue!$F$15*C133/'Tính chọn'!$D$23)</f>
        <v>0.26602694090382384</v>
      </c>
      <c r="H133" s="43">
        <f>F133*D133/'Tính chọn'!$D$23</f>
        <v>279.46727999999996</v>
      </c>
    </row>
    <row r="134" spans="1:8" x14ac:dyDescent="0.2">
      <c r="A134" s="39">
        <f>120*$B$5</f>
        <v>1.2</v>
      </c>
      <c r="B134" s="40">
        <f>IF(A134&lt;$F$4,GiaDinh_K3!$D$12,IF(A134&lt;$F$5,0,IF(A134&lt;$F$6,-GiaDinh_K3!$D$12,IF(A134&lt;$F$7,0,IF(A134&lt;$F$8,-GiaDinh_K3!$D$12,IF(A134&lt;$F$9,0,IF(A134&lt;$F$10,GiaDinh_K3!$D$12,0)))))))</f>
        <v>0</v>
      </c>
      <c r="C134" s="41">
        <f>IF(A134&lt;$F$4,GiaDinh_K3!$D$12*A134,IF(A134&lt;$F$5,GiaDinh_K3!$D$11,IF(A134&lt;$F$6,GiaDinh_K3!$D$11-GiaDinh_K3!$D$12*(A134-$F$5),IF(A134&lt;$F$7,0,IF(A134&lt;$F$8,-GiaDinh_K3!$D$12*(A134-$F$7),IF(A134&lt;$F$9,-GiaDinh_K3!$D$11,IF(A134&lt;$F$10,-GiaDinh_K3!$D$11+GiaDinh_K3!$D$12*(A134-$F$9),0)))))))</f>
        <v>0</v>
      </c>
      <c r="D134" s="44">
        <f t="shared" si="2"/>
        <v>0.11999999999999995</v>
      </c>
      <c r="E134" s="44">
        <f t="shared" si="3"/>
        <v>0.11299499999999968</v>
      </c>
      <c r="F134" s="40">
        <f>IF(A134&gt;$F$10,0,IF((Params!$C$21+GiaDinh_K3!$D$8*Params!$C$5*C134)&gt;=0,(Params!$C$21+GiaDinh_K3!$D$8*Params!$C$5*C134)*'Tính chọn'!$D$23/Params!$C$16,(Params!$C$21+GiaDinh_K3!$D$8*Params!$C$5*C134)*'Tính chọn'!$D$23*Params!$C$16)+Catalogue!$F$15*C134/'Tính chọn'!$D$23)</f>
        <v>1.8740295480880651</v>
      </c>
      <c r="G134" s="40">
        <f>IF(A134&gt;$F$10,0,IF(('Tính chọn'!$D$6+GiaDinh_K3!$D$8*Params!$C$6*C134)&gt;=0,('Tính chọn'!$D$6+GiaDinh_K3!$D$8*Params!$C$6*C134)*'Tính chọn'!$D$23/Params!$C$16,('Tính chọn'!$D$6+GiaDinh_K3!$D$8*Params!$C$6*C134)*'Tính chọn'!$D$23*Params!$C$16)+Catalogue!$F$15*C134/'Tính chọn'!$D$23)</f>
        <v>0.26602694090382384</v>
      </c>
      <c r="H134" s="43">
        <f>F134*D134/'Tính chọn'!$D$23</f>
        <v>279.46727999999996</v>
      </c>
    </row>
    <row r="135" spans="1:8" x14ac:dyDescent="0.2">
      <c r="A135" s="39">
        <f>121*$B$5</f>
        <v>1.21</v>
      </c>
      <c r="B135" s="40">
        <f>IF(A135&lt;$F$4,GiaDinh_K3!$D$12,IF(A135&lt;$F$5,0,IF(A135&lt;$F$6,-GiaDinh_K3!$D$12,IF(A135&lt;$F$7,0,IF(A135&lt;$F$8,-GiaDinh_K3!$D$12,IF(A135&lt;$F$9,0,IF(A135&lt;$F$10,GiaDinh_K3!$D$12,0)))))))</f>
        <v>0</v>
      </c>
      <c r="C135" s="41">
        <f>IF(A135&lt;$F$4,GiaDinh_K3!$D$12*A135,IF(A135&lt;$F$5,GiaDinh_K3!$D$11,IF(A135&lt;$F$6,GiaDinh_K3!$D$11-GiaDinh_K3!$D$12*(A135-$F$5),IF(A135&lt;$F$7,0,IF(A135&lt;$F$8,-GiaDinh_K3!$D$12*(A135-$F$7),IF(A135&lt;$F$9,-GiaDinh_K3!$D$11,IF(A135&lt;$F$10,-GiaDinh_K3!$D$11+GiaDinh_K3!$D$12*(A135-$F$9),0)))))))</f>
        <v>0</v>
      </c>
      <c r="D135" s="44">
        <f t="shared" si="2"/>
        <v>0.11999999999999995</v>
      </c>
      <c r="E135" s="44">
        <f t="shared" si="3"/>
        <v>0.11419499999999967</v>
      </c>
      <c r="F135" s="40">
        <f>IF(A135&gt;$F$10,0,IF((Params!$C$21+GiaDinh_K3!$D$8*Params!$C$5*C135)&gt;=0,(Params!$C$21+GiaDinh_K3!$D$8*Params!$C$5*C135)*'Tính chọn'!$D$23/Params!$C$16,(Params!$C$21+GiaDinh_K3!$D$8*Params!$C$5*C135)*'Tính chọn'!$D$23*Params!$C$16)+Catalogue!$F$15*C135/'Tính chọn'!$D$23)</f>
        <v>1.8740295480880651</v>
      </c>
      <c r="G135" s="40">
        <f>IF(A135&gt;$F$10,0,IF(('Tính chọn'!$D$6+GiaDinh_K3!$D$8*Params!$C$6*C135)&gt;=0,('Tính chọn'!$D$6+GiaDinh_K3!$D$8*Params!$C$6*C135)*'Tính chọn'!$D$23/Params!$C$16,('Tính chọn'!$D$6+GiaDinh_K3!$D$8*Params!$C$6*C135)*'Tính chọn'!$D$23*Params!$C$16)+Catalogue!$F$15*C135/'Tính chọn'!$D$23)</f>
        <v>0.26602694090382384</v>
      </c>
      <c r="H135" s="43">
        <f>F135*D135/'Tính chọn'!$D$23</f>
        <v>279.46727999999996</v>
      </c>
    </row>
    <row r="136" spans="1:8" x14ac:dyDescent="0.2">
      <c r="A136" s="39">
        <f>122*$B$5</f>
        <v>1.22</v>
      </c>
      <c r="B136" s="40">
        <f>IF(A136&lt;$F$4,GiaDinh_K3!$D$12,IF(A136&lt;$F$5,0,IF(A136&lt;$F$6,-GiaDinh_K3!$D$12,IF(A136&lt;$F$7,0,IF(A136&lt;$F$8,-GiaDinh_K3!$D$12,IF(A136&lt;$F$9,0,IF(A136&lt;$F$10,GiaDinh_K3!$D$12,0)))))))</f>
        <v>0</v>
      </c>
      <c r="C136" s="41">
        <f>IF(A136&lt;$F$4,GiaDinh_K3!$D$12*A136,IF(A136&lt;$F$5,GiaDinh_K3!$D$11,IF(A136&lt;$F$6,GiaDinh_K3!$D$11-GiaDinh_K3!$D$12*(A136-$F$5),IF(A136&lt;$F$7,0,IF(A136&lt;$F$8,-GiaDinh_K3!$D$12*(A136-$F$7),IF(A136&lt;$F$9,-GiaDinh_K3!$D$11,IF(A136&lt;$F$10,-GiaDinh_K3!$D$11+GiaDinh_K3!$D$12*(A136-$F$9),0)))))))</f>
        <v>0</v>
      </c>
      <c r="D136" s="44">
        <f t="shared" si="2"/>
        <v>0.11999999999999995</v>
      </c>
      <c r="E136" s="44">
        <f t="shared" si="3"/>
        <v>0.11539499999999966</v>
      </c>
      <c r="F136" s="40">
        <f>IF(A136&gt;$F$10,0,IF((Params!$C$21+GiaDinh_K3!$D$8*Params!$C$5*C136)&gt;=0,(Params!$C$21+GiaDinh_K3!$D$8*Params!$C$5*C136)*'Tính chọn'!$D$23/Params!$C$16,(Params!$C$21+GiaDinh_K3!$D$8*Params!$C$5*C136)*'Tính chọn'!$D$23*Params!$C$16)+Catalogue!$F$15*C136/'Tính chọn'!$D$23)</f>
        <v>1.8740295480880651</v>
      </c>
      <c r="G136" s="40">
        <f>IF(A136&gt;$F$10,0,IF(('Tính chọn'!$D$6+GiaDinh_K3!$D$8*Params!$C$6*C136)&gt;=0,('Tính chọn'!$D$6+GiaDinh_K3!$D$8*Params!$C$6*C136)*'Tính chọn'!$D$23/Params!$C$16,('Tính chọn'!$D$6+GiaDinh_K3!$D$8*Params!$C$6*C136)*'Tính chọn'!$D$23*Params!$C$16)+Catalogue!$F$15*C136/'Tính chọn'!$D$23)</f>
        <v>0.26602694090382384</v>
      </c>
      <c r="H136" s="43">
        <f>F136*D136/'Tính chọn'!$D$23</f>
        <v>279.46727999999996</v>
      </c>
    </row>
    <row r="137" spans="1:8" x14ac:dyDescent="0.2">
      <c r="A137" s="39">
        <f>123*$B$5</f>
        <v>1.23</v>
      </c>
      <c r="B137" s="40">
        <f>IF(A137&lt;$F$4,GiaDinh_K3!$D$12,IF(A137&lt;$F$5,0,IF(A137&lt;$F$6,-GiaDinh_K3!$D$12,IF(A137&lt;$F$7,0,IF(A137&lt;$F$8,-GiaDinh_K3!$D$12,IF(A137&lt;$F$9,0,IF(A137&lt;$F$10,GiaDinh_K3!$D$12,0)))))))</f>
        <v>0</v>
      </c>
      <c r="C137" s="41">
        <f>IF(A137&lt;$F$4,GiaDinh_K3!$D$12*A137,IF(A137&lt;$F$5,GiaDinh_K3!$D$11,IF(A137&lt;$F$6,GiaDinh_K3!$D$11-GiaDinh_K3!$D$12*(A137-$F$5),IF(A137&lt;$F$7,0,IF(A137&lt;$F$8,-GiaDinh_K3!$D$12*(A137-$F$7),IF(A137&lt;$F$9,-GiaDinh_K3!$D$11,IF(A137&lt;$F$10,-GiaDinh_K3!$D$11+GiaDinh_K3!$D$12*(A137-$F$9),0)))))))</f>
        <v>0</v>
      </c>
      <c r="D137" s="44">
        <f t="shared" si="2"/>
        <v>0.11999999999999995</v>
      </c>
      <c r="E137" s="44">
        <f t="shared" si="3"/>
        <v>0.11659499999999966</v>
      </c>
      <c r="F137" s="40">
        <f>IF(A137&gt;$F$10,0,IF((Params!$C$21+GiaDinh_K3!$D$8*Params!$C$5*C137)&gt;=0,(Params!$C$21+GiaDinh_K3!$D$8*Params!$C$5*C137)*'Tính chọn'!$D$23/Params!$C$16,(Params!$C$21+GiaDinh_K3!$D$8*Params!$C$5*C137)*'Tính chọn'!$D$23*Params!$C$16)+Catalogue!$F$15*C137/'Tính chọn'!$D$23)</f>
        <v>1.8740295480880651</v>
      </c>
      <c r="G137" s="40">
        <f>IF(A137&gt;$F$10,0,IF(('Tính chọn'!$D$6+GiaDinh_K3!$D$8*Params!$C$6*C137)&gt;=0,('Tính chọn'!$D$6+GiaDinh_K3!$D$8*Params!$C$6*C137)*'Tính chọn'!$D$23/Params!$C$16,('Tính chọn'!$D$6+GiaDinh_K3!$D$8*Params!$C$6*C137)*'Tính chọn'!$D$23*Params!$C$16)+Catalogue!$F$15*C137/'Tính chọn'!$D$23)</f>
        <v>0.26602694090382384</v>
      </c>
      <c r="H137" s="43">
        <f>F137*D137/'Tính chọn'!$D$23</f>
        <v>279.46727999999996</v>
      </c>
    </row>
    <row r="138" spans="1:8" x14ac:dyDescent="0.2">
      <c r="A138" s="39">
        <f>124*$B$5</f>
        <v>1.24</v>
      </c>
      <c r="B138" s="40">
        <f>IF(A138&lt;$F$4,GiaDinh_K3!$D$12,IF(A138&lt;$F$5,0,IF(A138&lt;$F$6,-GiaDinh_K3!$D$12,IF(A138&lt;$F$7,0,IF(A138&lt;$F$8,-GiaDinh_K3!$D$12,IF(A138&lt;$F$9,0,IF(A138&lt;$F$10,GiaDinh_K3!$D$12,0)))))))</f>
        <v>0</v>
      </c>
      <c r="C138" s="41">
        <f>IF(A138&lt;$F$4,GiaDinh_K3!$D$12*A138,IF(A138&lt;$F$5,GiaDinh_K3!$D$11,IF(A138&lt;$F$6,GiaDinh_K3!$D$11-GiaDinh_K3!$D$12*(A138-$F$5),IF(A138&lt;$F$7,0,IF(A138&lt;$F$8,-GiaDinh_K3!$D$12*(A138-$F$7),IF(A138&lt;$F$9,-GiaDinh_K3!$D$11,IF(A138&lt;$F$10,-GiaDinh_K3!$D$11+GiaDinh_K3!$D$12*(A138-$F$9),0)))))))</f>
        <v>0</v>
      </c>
      <c r="D138" s="44">
        <f t="shared" si="2"/>
        <v>0.11999999999999995</v>
      </c>
      <c r="E138" s="44">
        <f t="shared" si="3"/>
        <v>0.11779499999999965</v>
      </c>
      <c r="F138" s="40">
        <f>IF(A138&gt;$F$10,0,IF((Params!$C$21+GiaDinh_K3!$D$8*Params!$C$5*C138)&gt;=0,(Params!$C$21+GiaDinh_K3!$D$8*Params!$C$5*C138)*'Tính chọn'!$D$23/Params!$C$16,(Params!$C$21+GiaDinh_K3!$D$8*Params!$C$5*C138)*'Tính chọn'!$D$23*Params!$C$16)+Catalogue!$F$15*C138/'Tính chọn'!$D$23)</f>
        <v>1.8740295480880651</v>
      </c>
      <c r="G138" s="40">
        <f>IF(A138&gt;$F$10,0,IF(('Tính chọn'!$D$6+GiaDinh_K3!$D$8*Params!$C$6*C138)&gt;=0,('Tính chọn'!$D$6+GiaDinh_K3!$D$8*Params!$C$6*C138)*'Tính chọn'!$D$23/Params!$C$16,('Tính chọn'!$D$6+GiaDinh_K3!$D$8*Params!$C$6*C138)*'Tính chọn'!$D$23*Params!$C$16)+Catalogue!$F$15*C138/'Tính chọn'!$D$23)</f>
        <v>0.26602694090382384</v>
      </c>
      <c r="H138" s="43">
        <f>F138*D138/'Tính chọn'!$D$23</f>
        <v>279.46727999999996</v>
      </c>
    </row>
    <row r="139" spans="1:8" x14ac:dyDescent="0.2">
      <c r="A139" s="39">
        <f>125*$B$5</f>
        <v>1.25</v>
      </c>
      <c r="B139" s="40">
        <f>IF(A139&lt;$F$4,GiaDinh_K3!$D$12,IF(A139&lt;$F$5,0,IF(A139&lt;$F$6,-GiaDinh_K3!$D$12,IF(A139&lt;$F$7,0,IF(A139&lt;$F$8,-GiaDinh_K3!$D$12,IF(A139&lt;$F$9,0,IF(A139&lt;$F$10,GiaDinh_K3!$D$12,0)))))))</f>
        <v>0</v>
      </c>
      <c r="C139" s="41">
        <f>IF(A139&lt;$F$4,GiaDinh_K3!$D$12*A139,IF(A139&lt;$F$5,GiaDinh_K3!$D$11,IF(A139&lt;$F$6,GiaDinh_K3!$D$11-GiaDinh_K3!$D$12*(A139-$F$5),IF(A139&lt;$F$7,0,IF(A139&lt;$F$8,-GiaDinh_K3!$D$12*(A139-$F$7),IF(A139&lt;$F$9,-GiaDinh_K3!$D$11,IF(A139&lt;$F$10,-GiaDinh_K3!$D$11+GiaDinh_K3!$D$12*(A139-$F$9),0)))))))</f>
        <v>0</v>
      </c>
      <c r="D139" s="44">
        <f t="shared" si="2"/>
        <v>0.11999999999999995</v>
      </c>
      <c r="E139" s="44">
        <f t="shared" si="3"/>
        <v>0.11899499999999964</v>
      </c>
      <c r="F139" s="40">
        <f>IF(A139&gt;$F$10,0,IF((Params!$C$21+GiaDinh_K3!$D$8*Params!$C$5*C139)&gt;=0,(Params!$C$21+GiaDinh_K3!$D$8*Params!$C$5*C139)*'Tính chọn'!$D$23/Params!$C$16,(Params!$C$21+GiaDinh_K3!$D$8*Params!$C$5*C139)*'Tính chọn'!$D$23*Params!$C$16)+Catalogue!$F$15*C139/'Tính chọn'!$D$23)</f>
        <v>1.8740295480880651</v>
      </c>
      <c r="G139" s="40">
        <f>IF(A139&gt;$F$10,0,IF(('Tính chọn'!$D$6+GiaDinh_K3!$D$8*Params!$C$6*C139)&gt;=0,('Tính chọn'!$D$6+GiaDinh_K3!$D$8*Params!$C$6*C139)*'Tính chọn'!$D$23/Params!$C$16,('Tính chọn'!$D$6+GiaDinh_K3!$D$8*Params!$C$6*C139)*'Tính chọn'!$D$23*Params!$C$16)+Catalogue!$F$15*C139/'Tính chọn'!$D$23)</f>
        <v>0.26602694090382384</v>
      </c>
      <c r="H139" s="43">
        <f>F139*D139/'Tính chọn'!$D$23</f>
        <v>279.46727999999996</v>
      </c>
    </row>
    <row r="140" spans="1:8" x14ac:dyDescent="0.2">
      <c r="A140" s="39">
        <f>126*$B$5</f>
        <v>1.26</v>
      </c>
      <c r="B140" s="40">
        <f>IF(A140&lt;$F$4,GiaDinh_K3!$D$12,IF(A140&lt;$F$5,0,IF(A140&lt;$F$6,-GiaDinh_K3!$D$12,IF(A140&lt;$F$7,0,IF(A140&lt;$F$8,-GiaDinh_K3!$D$12,IF(A140&lt;$F$9,0,IF(A140&lt;$F$10,GiaDinh_K3!$D$12,0)))))))</f>
        <v>0</v>
      </c>
      <c r="C140" s="41">
        <f>IF(A140&lt;$F$4,GiaDinh_K3!$D$12*A140,IF(A140&lt;$F$5,GiaDinh_K3!$D$11,IF(A140&lt;$F$6,GiaDinh_K3!$D$11-GiaDinh_K3!$D$12*(A140-$F$5),IF(A140&lt;$F$7,0,IF(A140&lt;$F$8,-GiaDinh_K3!$D$12*(A140-$F$7),IF(A140&lt;$F$9,-GiaDinh_K3!$D$11,IF(A140&lt;$F$10,-GiaDinh_K3!$D$11+GiaDinh_K3!$D$12*(A140-$F$9),0)))))))</f>
        <v>0</v>
      </c>
      <c r="D140" s="44">
        <f t="shared" si="2"/>
        <v>0.11999999999999995</v>
      </c>
      <c r="E140" s="44">
        <f t="shared" si="3"/>
        <v>0.12019499999999964</v>
      </c>
      <c r="F140" s="40">
        <f>IF(A140&gt;$F$10,0,IF((Params!$C$21+GiaDinh_K3!$D$8*Params!$C$5*C140)&gt;=0,(Params!$C$21+GiaDinh_K3!$D$8*Params!$C$5*C140)*'Tính chọn'!$D$23/Params!$C$16,(Params!$C$21+GiaDinh_K3!$D$8*Params!$C$5*C140)*'Tính chọn'!$D$23*Params!$C$16)+Catalogue!$F$15*C140/'Tính chọn'!$D$23)</f>
        <v>1.8740295480880651</v>
      </c>
      <c r="G140" s="40">
        <f>IF(A140&gt;$F$10,0,IF(('Tính chọn'!$D$6+GiaDinh_K3!$D$8*Params!$C$6*C140)&gt;=0,('Tính chọn'!$D$6+GiaDinh_K3!$D$8*Params!$C$6*C140)*'Tính chọn'!$D$23/Params!$C$16,('Tính chọn'!$D$6+GiaDinh_K3!$D$8*Params!$C$6*C140)*'Tính chọn'!$D$23*Params!$C$16)+Catalogue!$F$15*C140/'Tính chọn'!$D$23)</f>
        <v>0.26602694090382384</v>
      </c>
      <c r="H140" s="43">
        <f>F140*D140/'Tính chọn'!$D$23</f>
        <v>279.46727999999996</v>
      </c>
    </row>
    <row r="141" spans="1:8" x14ac:dyDescent="0.2">
      <c r="A141" s="39">
        <f>127*$B$5</f>
        <v>1.27</v>
      </c>
      <c r="B141" s="40">
        <f>IF(A141&lt;$F$4,GiaDinh_K3!$D$12,IF(A141&lt;$F$5,0,IF(A141&lt;$F$6,-GiaDinh_K3!$D$12,IF(A141&lt;$F$7,0,IF(A141&lt;$F$8,-GiaDinh_K3!$D$12,IF(A141&lt;$F$9,0,IF(A141&lt;$F$10,GiaDinh_K3!$D$12,0)))))))</f>
        <v>0</v>
      </c>
      <c r="C141" s="41">
        <f>IF(A141&lt;$F$4,GiaDinh_K3!$D$12*A141,IF(A141&lt;$F$5,GiaDinh_K3!$D$11,IF(A141&lt;$F$6,GiaDinh_K3!$D$11-GiaDinh_K3!$D$12*(A141-$F$5),IF(A141&lt;$F$7,0,IF(A141&lt;$F$8,-GiaDinh_K3!$D$12*(A141-$F$7),IF(A141&lt;$F$9,-GiaDinh_K3!$D$11,IF(A141&lt;$F$10,-GiaDinh_K3!$D$11+GiaDinh_K3!$D$12*(A141-$F$9),0)))))))</f>
        <v>0</v>
      </c>
      <c r="D141" s="44">
        <f t="shared" si="2"/>
        <v>0.11999999999999995</v>
      </c>
      <c r="E141" s="44">
        <f t="shared" si="3"/>
        <v>0.12139499999999963</v>
      </c>
      <c r="F141" s="40">
        <f>IF(A141&gt;$F$10,0,IF((Params!$C$21+GiaDinh_K3!$D$8*Params!$C$5*C141)&gt;=0,(Params!$C$21+GiaDinh_K3!$D$8*Params!$C$5*C141)*'Tính chọn'!$D$23/Params!$C$16,(Params!$C$21+GiaDinh_K3!$D$8*Params!$C$5*C141)*'Tính chọn'!$D$23*Params!$C$16)+Catalogue!$F$15*C141/'Tính chọn'!$D$23)</f>
        <v>1.8740295480880651</v>
      </c>
      <c r="G141" s="40">
        <f>IF(A141&gt;$F$10,0,IF(('Tính chọn'!$D$6+GiaDinh_K3!$D$8*Params!$C$6*C141)&gt;=0,('Tính chọn'!$D$6+GiaDinh_K3!$D$8*Params!$C$6*C141)*'Tính chọn'!$D$23/Params!$C$16,('Tính chọn'!$D$6+GiaDinh_K3!$D$8*Params!$C$6*C141)*'Tính chọn'!$D$23*Params!$C$16)+Catalogue!$F$15*C141/'Tính chọn'!$D$23)</f>
        <v>0.26602694090382384</v>
      </c>
      <c r="H141" s="43">
        <f>F141*D141/'Tính chọn'!$D$23</f>
        <v>279.46727999999996</v>
      </c>
    </row>
    <row r="142" spans="1:8" x14ac:dyDescent="0.2">
      <c r="A142" s="39">
        <f>128*$B$5</f>
        <v>1.28</v>
      </c>
      <c r="B142" s="40">
        <f>IF(A142&lt;$F$4,GiaDinh_K3!$D$12,IF(A142&lt;$F$5,0,IF(A142&lt;$F$6,-GiaDinh_K3!$D$12,IF(A142&lt;$F$7,0,IF(A142&lt;$F$8,-GiaDinh_K3!$D$12,IF(A142&lt;$F$9,0,IF(A142&lt;$F$10,GiaDinh_K3!$D$12,0)))))))</f>
        <v>0</v>
      </c>
      <c r="C142" s="41">
        <f>IF(A142&lt;$F$4,GiaDinh_K3!$D$12*A142,IF(A142&lt;$F$5,GiaDinh_K3!$D$11,IF(A142&lt;$F$6,GiaDinh_K3!$D$11-GiaDinh_K3!$D$12*(A142-$F$5),IF(A142&lt;$F$7,0,IF(A142&lt;$F$8,-GiaDinh_K3!$D$12*(A142-$F$7),IF(A142&lt;$F$9,-GiaDinh_K3!$D$11,IF(A142&lt;$F$10,-GiaDinh_K3!$D$11+GiaDinh_K3!$D$12*(A142-$F$9),0)))))))</f>
        <v>0</v>
      </c>
      <c r="D142" s="44">
        <f t="shared" si="2"/>
        <v>0.11999999999999995</v>
      </c>
      <c r="E142" s="44">
        <f t="shared" si="3"/>
        <v>0.12259499999999962</v>
      </c>
      <c r="F142" s="40">
        <f>IF(A142&gt;$F$10,0,IF((Params!$C$21+GiaDinh_K3!$D$8*Params!$C$5*C142)&gt;=0,(Params!$C$21+GiaDinh_K3!$D$8*Params!$C$5*C142)*'Tính chọn'!$D$23/Params!$C$16,(Params!$C$21+GiaDinh_K3!$D$8*Params!$C$5*C142)*'Tính chọn'!$D$23*Params!$C$16)+Catalogue!$F$15*C142/'Tính chọn'!$D$23)</f>
        <v>1.8740295480880651</v>
      </c>
      <c r="G142" s="40">
        <f>IF(A142&gt;$F$10,0,IF(('Tính chọn'!$D$6+GiaDinh_K3!$D$8*Params!$C$6*C142)&gt;=0,('Tính chọn'!$D$6+GiaDinh_K3!$D$8*Params!$C$6*C142)*'Tính chọn'!$D$23/Params!$C$16,('Tính chọn'!$D$6+GiaDinh_K3!$D$8*Params!$C$6*C142)*'Tính chọn'!$D$23*Params!$C$16)+Catalogue!$F$15*C142/'Tính chọn'!$D$23)</f>
        <v>0.26602694090382384</v>
      </c>
      <c r="H142" s="43">
        <f>F142*D142/'Tính chọn'!$D$23</f>
        <v>279.46727999999996</v>
      </c>
    </row>
    <row r="143" spans="1:8" x14ac:dyDescent="0.2">
      <c r="A143" s="39">
        <f>129*$B$5</f>
        <v>1.29</v>
      </c>
      <c r="B143" s="40">
        <f>IF(A143&lt;$F$4,GiaDinh_K3!$D$12,IF(A143&lt;$F$5,0,IF(A143&lt;$F$6,-GiaDinh_K3!$D$12,IF(A143&lt;$F$7,0,IF(A143&lt;$F$8,-GiaDinh_K3!$D$12,IF(A143&lt;$F$9,0,IF(A143&lt;$F$10,GiaDinh_K3!$D$12,0)))))))</f>
        <v>0</v>
      </c>
      <c r="C143" s="41">
        <f>IF(A143&lt;$F$4,GiaDinh_K3!$D$12*A143,IF(A143&lt;$F$5,GiaDinh_K3!$D$11,IF(A143&lt;$F$6,GiaDinh_K3!$D$11-GiaDinh_K3!$D$12*(A143-$F$5),IF(A143&lt;$F$7,0,IF(A143&lt;$F$8,-GiaDinh_K3!$D$12*(A143-$F$7),IF(A143&lt;$F$9,-GiaDinh_K3!$D$11,IF(A143&lt;$F$10,-GiaDinh_K3!$D$11+GiaDinh_K3!$D$12*(A143-$F$9),0)))))))</f>
        <v>0</v>
      </c>
      <c r="D143" s="44">
        <f t="shared" ref="D143:D206" si="4">MAX(0,D142+(C142+C143)/2*$B$5)</f>
        <v>0.11999999999999995</v>
      </c>
      <c r="E143" s="44">
        <f t="shared" ref="E143:E206" si="5">E142+(D142+D143)/2*$B$5</f>
        <v>0.12379499999999961</v>
      </c>
      <c r="F143" s="40">
        <f>IF(A143&gt;$F$10,0,IF((Params!$C$21+GiaDinh_K3!$D$8*Params!$C$5*C143)&gt;=0,(Params!$C$21+GiaDinh_K3!$D$8*Params!$C$5*C143)*'Tính chọn'!$D$23/Params!$C$16,(Params!$C$21+GiaDinh_K3!$D$8*Params!$C$5*C143)*'Tính chọn'!$D$23*Params!$C$16)+Catalogue!$F$15*C143/'Tính chọn'!$D$23)</f>
        <v>1.8740295480880651</v>
      </c>
      <c r="G143" s="40">
        <f>IF(A143&gt;$F$10,0,IF(('Tính chọn'!$D$6+GiaDinh_K3!$D$8*Params!$C$6*C143)&gt;=0,('Tính chọn'!$D$6+GiaDinh_K3!$D$8*Params!$C$6*C143)*'Tính chọn'!$D$23/Params!$C$16,('Tính chọn'!$D$6+GiaDinh_K3!$D$8*Params!$C$6*C143)*'Tính chọn'!$D$23*Params!$C$16)+Catalogue!$F$15*C143/'Tính chọn'!$D$23)</f>
        <v>0.26602694090382384</v>
      </c>
      <c r="H143" s="43">
        <f>F143*D143/'Tính chọn'!$D$23</f>
        <v>279.46727999999996</v>
      </c>
    </row>
    <row r="144" spans="1:8" x14ac:dyDescent="0.2">
      <c r="A144" s="39">
        <f>130*$B$5</f>
        <v>1.3</v>
      </c>
      <c r="B144" s="40">
        <f>IF(A144&lt;$F$4,GiaDinh_K3!$D$12,IF(A144&lt;$F$5,0,IF(A144&lt;$F$6,-GiaDinh_K3!$D$12,IF(A144&lt;$F$7,0,IF(A144&lt;$F$8,-GiaDinh_K3!$D$12,IF(A144&lt;$F$9,0,IF(A144&lt;$F$10,GiaDinh_K3!$D$12,0)))))))</f>
        <v>0</v>
      </c>
      <c r="C144" s="41">
        <f>IF(A144&lt;$F$4,GiaDinh_K3!$D$12*A144,IF(A144&lt;$F$5,GiaDinh_K3!$D$11,IF(A144&lt;$F$6,GiaDinh_K3!$D$11-GiaDinh_K3!$D$12*(A144-$F$5),IF(A144&lt;$F$7,0,IF(A144&lt;$F$8,-GiaDinh_K3!$D$12*(A144-$F$7),IF(A144&lt;$F$9,-GiaDinh_K3!$D$11,IF(A144&lt;$F$10,-GiaDinh_K3!$D$11+GiaDinh_K3!$D$12*(A144-$F$9),0)))))))</f>
        <v>0</v>
      </c>
      <c r="D144" s="44">
        <f t="shared" si="4"/>
        <v>0.11999999999999995</v>
      </c>
      <c r="E144" s="44">
        <f t="shared" si="5"/>
        <v>0.12499499999999961</v>
      </c>
      <c r="F144" s="40">
        <f>IF(A144&gt;$F$10,0,IF((Params!$C$21+GiaDinh_K3!$D$8*Params!$C$5*C144)&gt;=0,(Params!$C$21+GiaDinh_K3!$D$8*Params!$C$5*C144)*'Tính chọn'!$D$23/Params!$C$16,(Params!$C$21+GiaDinh_K3!$D$8*Params!$C$5*C144)*'Tính chọn'!$D$23*Params!$C$16)+Catalogue!$F$15*C144/'Tính chọn'!$D$23)</f>
        <v>1.8740295480880651</v>
      </c>
      <c r="G144" s="40">
        <f>IF(A144&gt;$F$10,0,IF(('Tính chọn'!$D$6+GiaDinh_K3!$D$8*Params!$C$6*C144)&gt;=0,('Tính chọn'!$D$6+GiaDinh_K3!$D$8*Params!$C$6*C144)*'Tính chọn'!$D$23/Params!$C$16,('Tính chọn'!$D$6+GiaDinh_K3!$D$8*Params!$C$6*C144)*'Tính chọn'!$D$23*Params!$C$16)+Catalogue!$F$15*C144/'Tính chọn'!$D$23)</f>
        <v>0.26602694090382384</v>
      </c>
      <c r="H144" s="43">
        <f>F144*D144/'Tính chọn'!$D$23</f>
        <v>279.46727999999996</v>
      </c>
    </row>
    <row r="145" spans="1:8" x14ac:dyDescent="0.2">
      <c r="A145" s="39">
        <f>131*$B$5</f>
        <v>1.31</v>
      </c>
      <c r="B145" s="40">
        <f>IF(A145&lt;$F$4,GiaDinh_K3!$D$12,IF(A145&lt;$F$5,0,IF(A145&lt;$F$6,-GiaDinh_K3!$D$12,IF(A145&lt;$F$7,0,IF(A145&lt;$F$8,-GiaDinh_K3!$D$12,IF(A145&lt;$F$9,0,IF(A145&lt;$F$10,GiaDinh_K3!$D$12,0)))))))</f>
        <v>0</v>
      </c>
      <c r="C145" s="41">
        <f>IF(A145&lt;$F$4,GiaDinh_K3!$D$12*A145,IF(A145&lt;$F$5,GiaDinh_K3!$D$11,IF(A145&lt;$F$6,GiaDinh_K3!$D$11-GiaDinh_K3!$D$12*(A145-$F$5),IF(A145&lt;$F$7,0,IF(A145&lt;$F$8,-GiaDinh_K3!$D$12*(A145-$F$7),IF(A145&lt;$F$9,-GiaDinh_K3!$D$11,IF(A145&lt;$F$10,-GiaDinh_K3!$D$11+GiaDinh_K3!$D$12*(A145-$F$9),0)))))))</f>
        <v>0</v>
      </c>
      <c r="D145" s="44">
        <f t="shared" si="4"/>
        <v>0.11999999999999995</v>
      </c>
      <c r="E145" s="44">
        <f t="shared" si="5"/>
        <v>0.12619499999999961</v>
      </c>
      <c r="F145" s="40">
        <f>IF(A145&gt;$F$10,0,IF((Params!$C$21+GiaDinh_K3!$D$8*Params!$C$5*C145)&gt;=0,(Params!$C$21+GiaDinh_K3!$D$8*Params!$C$5*C145)*'Tính chọn'!$D$23/Params!$C$16,(Params!$C$21+GiaDinh_K3!$D$8*Params!$C$5*C145)*'Tính chọn'!$D$23*Params!$C$16)+Catalogue!$F$15*C145/'Tính chọn'!$D$23)</f>
        <v>1.8740295480880651</v>
      </c>
      <c r="G145" s="40">
        <f>IF(A145&gt;$F$10,0,IF(('Tính chọn'!$D$6+GiaDinh_K3!$D$8*Params!$C$6*C145)&gt;=0,('Tính chọn'!$D$6+GiaDinh_K3!$D$8*Params!$C$6*C145)*'Tính chọn'!$D$23/Params!$C$16,('Tính chọn'!$D$6+GiaDinh_K3!$D$8*Params!$C$6*C145)*'Tính chọn'!$D$23*Params!$C$16)+Catalogue!$F$15*C145/'Tính chọn'!$D$23)</f>
        <v>0.26602694090382384</v>
      </c>
      <c r="H145" s="43">
        <f>F145*D145/'Tính chọn'!$D$23</f>
        <v>279.46727999999996</v>
      </c>
    </row>
    <row r="146" spans="1:8" x14ac:dyDescent="0.2">
      <c r="A146" s="39">
        <f>132*$B$5</f>
        <v>1.32</v>
      </c>
      <c r="B146" s="40">
        <f>IF(A146&lt;$F$4,GiaDinh_K3!$D$12,IF(A146&lt;$F$5,0,IF(A146&lt;$F$6,-GiaDinh_K3!$D$12,IF(A146&lt;$F$7,0,IF(A146&lt;$F$8,-GiaDinh_K3!$D$12,IF(A146&lt;$F$9,0,IF(A146&lt;$F$10,GiaDinh_K3!$D$12,0)))))))</f>
        <v>0</v>
      </c>
      <c r="C146" s="41">
        <f>IF(A146&lt;$F$4,GiaDinh_K3!$D$12*A146,IF(A146&lt;$F$5,GiaDinh_K3!$D$11,IF(A146&lt;$F$6,GiaDinh_K3!$D$11-GiaDinh_K3!$D$12*(A146-$F$5),IF(A146&lt;$F$7,0,IF(A146&lt;$F$8,-GiaDinh_K3!$D$12*(A146-$F$7),IF(A146&lt;$F$9,-GiaDinh_K3!$D$11,IF(A146&lt;$F$10,-GiaDinh_K3!$D$11+GiaDinh_K3!$D$12*(A146-$F$9),0)))))))</f>
        <v>0</v>
      </c>
      <c r="D146" s="44">
        <f t="shared" si="4"/>
        <v>0.11999999999999995</v>
      </c>
      <c r="E146" s="44">
        <f t="shared" si="5"/>
        <v>0.12739499999999962</v>
      </c>
      <c r="F146" s="40">
        <f>IF(A146&gt;$F$10,0,IF((Params!$C$21+GiaDinh_K3!$D$8*Params!$C$5*C146)&gt;=0,(Params!$C$21+GiaDinh_K3!$D$8*Params!$C$5*C146)*'Tính chọn'!$D$23/Params!$C$16,(Params!$C$21+GiaDinh_K3!$D$8*Params!$C$5*C146)*'Tính chọn'!$D$23*Params!$C$16)+Catalogue!$F$15*C146/'Tính chọn'!$D$23)</f>
        <v>1.8740295480880651</v>
      </c>
      <c r="G146" s="40">
        <f>IF(A146&gt;$F$10,0,IF(('Tính chọn'!$D$6+GiaDinh_K3!$D$8*Params!$C$6*C146)&gt;=0,('Tính chọn'!$D$6+GiaDinh_K3!$D$8*Params!$C$6*C146)*'Tính chọn'!$D$23/Params!$C$16,('Tính chọn'!$D$6+GiaDinh_K3!$D$8*Params!$C$6*C146)*'Tính chọn'!$D$23*Params!$C$16)+Catalogue!$F$15*C146/'Tính chọn'!$D$23)</f>
        <v>0.26602694090382384</v>
      </c>
      <c r="H146" s="43">
        <f>F146*D146/'Tính chọn'!$D$23</f>
        <v>279.46727999999996</v>
      </c>
    </row>
    <row r="147" spans="1:8" x14ac:dyDescent="0.2">
      <c r="A147" s="39">
        <f>133*$B$5</f>
        <v>1.33</v>
      </c>
      <c r="B147" s="40">
        <f>IF(A147&lt;$F$4,GiaDinh_K3!$D$12,IF(A147&lt;$F$5,0,IF(A147&lt;$F$6,-GiaDinh_K3!$D$12,IF(A147&lt;$F$7,0,IF(A147&lt;$F$8,-GiaDinh_K3!$D$12,IF(A147&lt;$F$9,0,IF(A147&lt;$F$10,GiaDinh_K3!$D$12,0)))))))</f>
        <v>0</v>
      </c>
      <c r="C147" s="41">
        <f>IF(A147&lt;$F$4,GiaDinh_K3!$D$12*A147,IF(A147&lt;$F$5,GiaDinh_K3!$D$11,IF(A147&lt;$F$6,GiaDinh_K3!$D$11-GiaDinh_K3!$D$12*(A147-$F$5),IF(A147&lt;$F$7,0,IF(A147&lt;$F$8,-GiaDinh_K3!$D$12*(A147-$F$7),IF(A147&lt;$F$9,-GiaDinh_K3!$D$11,IF(A147&lt;$F$10,-GiaDinh_K3!$D$11+GiaDinh_K3!$D$12*(A147-$F$9),0)))))))</f>
        <v>0</v>
      </c>
      <c r="D147" s="44">
        <f t="shared" si="4"/>
        <v>0.11999999999999995</v>
      </c>
      <c r="E147" s="44">
        <f t="shared" si="5"/>
        <v>0.12859499999999963</v>
      </c>
      <c r="F147" s="40">
        <f>IF(A147&gt;$F$10,0,IF((Params!$C$21+GiaDinh_K3!$D$8*Params!$C$5*C147)&gt;=0,(Params!$C$21+GiaDinh_K3!$D$8*Params!$C$5*C147)*'Tính chọn'!$D$23/Params!$C$16,(Params!$C$21+GiaDinh_K3!$D$8*Params!$C$5*C147)*'Tính chọn'!$D$23*Params!$C$16)+Catalogue!$F$15*C147/'Tính chọn'!$D$23)</f>
        <v>1.8740295480880651</v>
      </c>
      <c r="G147" s="40">
        <f>IF(A147&gt;$F$10,0,IF(('Tính chọn'!$D$6+GiaDinh_K3!$D$8*Params!$C$6*C147)&gt;=0,('Tính chọn'!$D$6+GiaDinh_K3!$D$8*Params!$C$6*C147)*'Tính chọn'!$D$23/Params!$C$16,('Tính chọn'!$D$6+GiaDinh_K3!$D$8*Params!$C$6*C147)*'Tính chọn'!$D$23*Params!$C$16)+Catalogue!$F$15*C147/'Tính chọn'!$D$23)</f>
        <v>0.26602694090382384</v>
      </c>
      <c r="H147" s="43">
        <f>F147*D147/'Tính chọn'!$D$23</f>
        <v>279.46727999999996</v>
      </c>
    </row>
    <row r="148" spans="1:8" x14ac:dyDescent="0.2">
      <c r="A148" s="39">
        <f>134*$B$5</f>
        <v>1.34</v>
      </c>
      <c r="B148" s="40">
        <f>IF(A148&lt;$F$4,GiaDinh_K3!$D$12,IF(A148&lt;$F$5,0,IF(A148&lt;$F$6,-GiaDinh_K3!$D$12,IF(A148&lt;$F$7,0,IF(A148&lt;$F$8,-GiaDinh_K3!$D$12,IF(A148&lt;$F$9,0,IF(A148&lt;$F$10,GiaDinh_K3!$D$12,0)))))))</f>
        <v>0</v>
      </c>
      <c r="C148" s="41">
        <f>IF(A148&lt;$F$4,GiaDinh_K3!$D$12*A148,IF(A148&lt;$F$5,GiaDinh_K3!$D$11,IF(A148&lt;$F$6,GiaDinh_K3!$D$11-GiaDinh_K3!$D$12*(A148-$F$5),IF(A148&lt;$F$7,0,IF(A148&lt;$F$8,-GiaDinh_K3!$D$12*(A148-$F$7),IF(A148&lt;$F$9,-GiaDinh_K3!$D$11,IF(A148&lt;$F$10,-GiaDinh_K3!$D$11+GiaDinh_K3!$D$12*(A148-$F$9),0)))))))</f>
        <v>0</v>
      </c>
      <c r="D148" s="44">
        <f t="shared" si="4"/>
        <v>0.11999999999999995</v>
      </c>
      <c r="E148" s="44">
        <f t="shared" si="5"/>
        <v>0.12979499999999963</v>
      </c>
      <c r="F148" s="40">
        <f>IF(A148&gt;$F$10,0,IF((Params!$C$21+GiaDinh_K3!$D$8*Params!$C$5*C148)&gt;=0,(Params!$C$21+GiaDinh_K3!$D$8*Params!$C$5*C148)*'Tính chọn'!$D$23/Params!$C$16,(Params!$C$21+GiaDinh_K3!$D$8*Params!$C$5*C148)*'Tính chọn'!$D$23*Params!$C$16)+Catalogue!$F$15*C148/'Tính chọn'!$D$23)</f>
        <v>1.8740295480880651</v>
      </c>
      <c r="G148" s="40">
        <f>IF(A148&gt;$F$10,0,IF(('Tính chọn'!$D$6+GiaDinh_K3!$D$8*Params!$C$6*C148)&gt;=0,('Tính chọn'!$D$6+GiaDinh_K3!$D$8*Params!$C$6*C148)*'Tính chọn'!$D$23/Params!$C$16,('Tính chọn'!$D$6+GiaDinh_K3!$D$8*Params!$C$6*C148)*'Tính chọn'!$D$23*Params!$C$16)+Catalogue!$F$15*C148/'Tính chọn'!$D$23)</f>
        <v>0.26602694090382384</v>
      </c>
      <c r="H148" s="43">
        <f>F148*D148/'Tính chọn'!$D$23</f>
        <v>279.46727999999996</v>
      </c>
    </row>
    <row r="149" spans="1:8" x14ac:dyDescent="0.2">
      <c r="A149" s="39">
        <f>135*$B$5</f>
        <v>1.35</v>
      </c>
      <c r="B149" s="40">
        <f>IF(A149&lt;$F$4,GiaDinh_K3!$D$12,IF(A149&lt;$F$5,0,IF(A149&lt;$F$6,-GiaDinh_K3!$D$12,IF(A149&lt;$F$7,0,IF(A149&lt;$F$8,-GiaDinh_K3!$D$12,IF(A149&lt;$F$9,0,IF(A149&lt;$F$10,GiaDinh_K3!$D$12,0)))))))</f>
        <v>0</v>
      </c>
      <c r="C149" s="41">
        <f>IF(A149&lt;$F$4,GiaDinh_K3!$D$12*A149,IF(A149&lt;$F$5,GiaDinh_K3!$D$11,IF(A149&lt;$F$6,GiaDinh_K3!$D$11-GiaDinh_K3!$D$12*(A149-$F$5),IF(A149&lt;$F$7,0,IF(A149&lt;$F$8,-GiaDinh_K3!$D$12*(A149-$F$7),IF(A149&lt;$F$9,-GiaDinh_K3!$D$11,IF(A149&lt;$F$10,-GiaDinh_K3!$D$11+GiaDinh_K3!$D$12*(A149-$F$9),0)))))))</f>
        <v>0</v>
      </c>
      <c r="D149" s="44">
        <f t="shared" si="4"/>
        <v>0.11999999999999995</v>
      </c>
      <c r="E149" s="44">
        <f t="shared" si="5"/>
        <v>0.13099499999999964</v>
      </c>
      <c r="F149" s="40">
        <f>IF(A149&gt;$F$10,0,IF((Params!$C$21+GiaDinh_K3!$D$8*Params!$C$5*C149)&gt;=0,(Params!$C$21+GiaDinh_K3!$D$8*Params!$C$5*C149)*'Tính chọn'!$D$23/Params!$C$16,(Params!$C$21+GiaDinh_K3!$D$8*Params!$C$5*C149)*'Tính chọn'!$D$23*Params!$C$16)+Catalogue!$F$15*C149/'Tính chọn'!$D$23)</f>
        <v>1.8740295480880651</v>
      </c>
      <c r="G149" s="40">
        <f>IF(A149&gt;$F$10,0,IF(('Tính chọn'!$D$6+GiaDinh_K3!$D$8*Params!$C$6*C149)&gt;=0,('Tính chọn'!$D$6+GiaDinh_K3!$D$8*Params!$C$6*C149)*'Tính chọn'!$D$23/Params!$C$16,('Tính chọn'!$D$6+GiaDinh_K3!$D$8*Params!$C$6*C149)*'Tính chọn'!$D$23*Params!$C$16)+Catalogue!$F$15*C149/'Tính chọn'!$D$23)</f>
        <v>0.26602694090382384</v>
      </c>
      <c r="H149" s="43">
        <f>F149*D149/'Tính chọn'!$D$23</f>
        <v>279.46727999999996</v>
      </c>
    </row>
    <row r="150" spans="1:8" x14ac:dyDescent="0.2">
      <c r="A150" s="39">
        <f>136*$B$5</f>
        <v>1.36</v>
      </c>
      <c r="B150" s="40">
        <f>IF(A150&lt;$F$4,GiaDinh_K3!$D$12,IF(A150&lt;$F$5,0,IF(A150&lt;$F$6,-GiaDinh_K3!$D$12,IF(A150&lt;$F$7,0,IF(A150&lt;$F$8,-GiaDinh_K3!$D$12,IF(A150&lt;$F$9,0,IF(A150&lt;$F$10,GiaDinh_K3!$D$12,0)))))))</f>
        <v>0</v>
      </c>
      <c r="C150" s="41">
        <f>IF(A150&lt;$F$4,GiaDinh_K3!$D$12*A150,IF(A150&lt;$F$5,GiaDinh_K3!$D$11,IF(A150&lt;$F$6,GiaDinh_K3!$D$11-GiaDinh_K3!$D$12*(A150-$F$5),IF(A150&lt;$F$7,0,IF(A150&lt;$F$8,-GiaDinh_K3!$D$12*(A150-$F$7),IF(A150&lt;$F$9,-GiaDinh_K3!$D$11,IF(A150&lt;$F$10,-GiaDinh_K3!$D$11+GiaDinh_K3!$D$12*(A150-$F$9),0)))))))</f>
        <v>0</v>
      </c>
      <c r="D150" s="44">
        <f t="shared" si="4"/>
        <v>0.11999999999999995</v>
      </c>
      <c r="E150" s="44">
        <f t="shared" si="5"/>
        <v>0.13219499999999965</v>
      </c>
      <c r="F150" s="40">
        <f>IF(A150&gt;$F$10,0,IF((Params!$C$21+GiaDinh_K3!$D$8*Params!$C$5*C150)&gt;=0,(Params!$C$21+GiaDinh_K3!$D$8*Params!$C$5*C150)*'Tính chọn'!$D$23/Params!$C$16,(Params!$C$21+GiaDinh_K3!$D$8*Params!$C$5*C150)*'Tính chọn'!$D$23*Params!$C$16)+Catalogue!$F$15*C150/'Tính chọn'!$D$23)</f>
        <v>1.8740295480880651</v>
      </c>
      <c r="G150" s="40">
        <f>IF(A150&gt;$F$10,0,IF(('Tính chọn'!$D$6+GiaDinh_K3!$D$8*Params!$C$6*C150)&gt;=0,('Tính chọn'!$D$6+GiaDinh_K3!$D$8*Params!$C$6*C150)*'Tính chọn'!$D$23/Params!$C$16,('Tính chọn'!$D$6+GiaDinh_K3!$D$8*Params!$C$6*C150)*'Tính chọn'!$D$23*Params!$C$16)+Catalogue!$F$15*C150/'Tính chọn'!$D$23)</f>
        <v>0.26602694090382384</v>
      </c>
      <c r="H150" s="43">
        <f>F150*D150/'Tính chọn'!$D$23</f>
        <v>279.46727999999996</v>
      </c>
    </row>
    <row r="151" spans="1:8" x14ac:dyDescent="0.2">
      <c r="A151" s="39">
        <f>137*$B$5</f>
        <v>1.37</v>
      </c>
      <c r="B151" s="40">
        <f>IF(A151&lt;$F$4,GiaDinh_K3!$D$12,IF(A151&lt;$F$5,0,IF(A151&lt;$F$6,-GiaDinh_K3!$D$12,IF(A151&lt;$F$7,0,IF(A151&lt;$F$8,-GiaDinh_K3!$D$12,IF(A151&lt;$F$9,0,IF(A151&lt;$F$10,GiaDinh_K3!$D$12,0)))))))</f>
        <v>0</v>
      </c>
      <c r="C151" s="41">
        <f>IF(A151&lt;$F$4,GiaDinh_K3!$D$12*A151,IF(A151&lt;$F$5,GiaDinh_K3!$D$11,IF(A151&lt;$F$6,GiaDinh_K3!$D$11-GiaDinh_K3!$D$12*(A151-$F$5),IF(A151&lt;$F$7,0,IF(A151&lt;$F$8,-GiaDinh_K3!$D$12*(A151-$F$7),IF(A151&lt;$F$9,-GiaDinh_K3!$D$11,IF(A151&lt;$F$10,-GiaDinh_K3!$D$11+GiaDinh_K3!$D$12*(A151-$F$9),0)))))))</f>
        <v>0</v>
      </c>
      <c r="D151" s="44">
        <f t="shared" si="4"/>
        <v>0.11999999999999995</v>
      </c>
      <c r="E151" s="44">
        <f t="shared" si="5"/>
        <v>0.13339499999999965</v>
      </c>
      <c r="F151" s="40">
        <f>IF(A151&gt;$F$10,0,IF((Params!$C$21+GiaDinh_K3!$D$8*Params!$C$5*C151)&gt;=0,(Params!$C$21+GiaDinh_K3!$D$8*Params!$C$5*C151)*'Tính chọn'!$D$23/Params!$C$16,(Params!$C$21+GiaDinh_K3!$D$8*Params!$C$5*C151)*'Tính chọn'!$D$23*Params!$C$16)+Catalogue!$F$15*C151/'Tính chọn'!$D$23)</f>
        <v>1.8740295480880651</v>
      </c>
      <c r="G151" s="40">
        <f>IF(A151&gt;$F$10,0,IF(('Tính chọn'!$D$6+GiaDinh_K3!$D$8*Params!$C$6*C151)&gt;=0,('Tính chọn'!$D$6+GiaDinh_K3!$D$8*Params!$C$6*C151)*'Tính chọn'!$D$23/Params!$C$16,('Tính chọn'!$D$6+GiaDinh_K3!$D$8*Params!$C$6*C151)*'Tính chọn'!$D$23*Params!$C$16)+Catalogue!$F$15*C151/'Tính chọn'!$D$23)</f>
        <v>0.26602694090382384</v>
      </c>
      <c r="H151" s="43">
        <f>F151*D151/'Tính chọn'!$D$23</f>
        <v>279.46727999999996</v>
      </c>
    </row>
    <row r="152" spans="1:8" x14ac:dyDescent="0.2">
      <c r="A152" s="39">
        <f>138*$B$5</f>
        <v>1.3800000000000001</v>
      </c>
      <c r="B152" s="40">
        <f>IF(A152&lt;$F$4,GiaDinh_K3!$D$12,IF(A152&lt;$F$5,0,IF(A152&lt;$F$6,-GiaDinh_K3!$D$12,IF(A152&lt;$F$7,0,IF(A152&lt;$F$8,-GiaDinh_K3!$D$12,IF(A152&lt;$F$9,0,IF(A152&lt;$F$10,GiaDinh_K3!$D$12,0)))))))</f>
        <v>0</v>
      </c>
      <c r="C152" s="41">
        <f>IF(A152&lt;$F$4,GiaDinh_K3!$D$12*A152,IF(A152&lt;$F$5,GiaDinh_K3!$D$11,IF(A152&lt;$F$6,GiaDinh_K3!$D$11-GiaDinh_K3!$D$12*(A152-$F$5),IF(A152&lt;$F$7,0,IF(A152&lt;$F$8,-GiaDinh_K3!$D$12*(A152-$F$7),IF(A152&lt;$F$9,-GiaDinh_K3!$D$11,IF(A152&lt;$F$10,-GiaDinh_K3!$D$11+GiaDinh_K3!$D$12*(A152-$F$9),0)))))))</f>
        <v>0</v>
      </c>
      <c r="D152" s="44">
        <f t="shared" si="4"/>
        <v>0.11999999999999995</v>
      </c>
      <c r="E152" s="44">
        <f t="shared" si="5"/>
        <v>0.13459499999999966</v>
      </c>
      <c r="F152" s="40">
        <f>IF(A152&gt;$F$10,0,IF((Params!$C$21+GiaDinh_K3!$D$8*Params!$C$5*C152)&gt;=0,(Params!$C$21+GiaDinh_K3!$D$8*Params!$C$5*C152)*'Tính chọn'!$D$23/Params!$C$16,(Params!$C$21+GiaDinh_K3!$D$8*Params!$C$5*C152)*'Tính chọn'!$D$23*Params!$C$16)+Catalogue!$F$15*C152/'Tính chọn'!$D$23)</f>
        <v>1.8740295480880651</v>
      </c>
      <c r="G152" s="40">
        <f>IF(A152&gt;$F$10,0,IF(('Tính chọn'!$D$6+GiaDinh_K3!$D$8*Params!$C$6*C152)&gt;=0,('Tính chọn'!$D$6+GiaDinh_K3!$D$8*Params!$C$6*C152)*'Tính chọn'!$D$23/Params!$C$16,('Tính chọn'!$D$6+GiaDinh_K3!$D$8*Params!$C$6*C152)*'Tính chọn'!$D$23*Params!$C$16)+Catalogue!$F$15*C152/'Tính chọn'!$D$23)</f>
        <v>0.26602694090382384</v>
      </c>
      <c r="H152" s="43">
        <f>F152*D152/'Tính chọn'!$D$23</f>
        <v>279.46727999999996</v>
      </c>
    </row>
    <row r="153" spans="1:8" x14ac:dyDescent="0.2">
      <c r="A153" s="39">
        <f>139*$B$5</f>
        <v>1.3900000000000001</v>
      </c>
      <c r="B153" s="40">
        <f>IF(A153&lt;$F$4,GiaDinh_K3!$D$12,IF(A153&lt;$F$5,0,IF(A153&lt;$F$6,-GiaDinh_K3!$D$12,IF(A153&lt;$F$7,0,IF(A153&lt;$F$8,-GiaDinh_K3!$D$12,IF(A153&lt;$F$9,0,IF(A153&lt;$F$10,GiaDinh_K3!$D$12,0)))))))</f>
        <v>0</v>
      </c>
      <c r="C153" s="41">
        <f>IF(A153&lt;$F$4,GiaDinh_K3!$D$12*A153,IF(A153&lt;$F$5,GiaDinh_K3!$D$11,IF(A153&lt;$F$6,GiaDinh_K3!$D$11-GiaDinh_K3!$D$12*(A153-$F$5),IF(A153&lt;$F$7,0,IF(A153&lt;$F$8,-GiaDinh_K3!$D$12*(A153-$F$7),IF(A153&lt;$F$9,-GiaDinh_K3!$D$11,IF(A153&lt;$F$10,-GiaDinh_K3!$D$11+GiaDinh_K3!$D$12*(A153-$F$9),0)))))))</f>
        <v>0</v>
      </c>
      <c r="D153" s="44">
        <f t="shared" si="4"/>
        <v>0.11999999999999995</v>
      </c>
      <c r="E153" s="44">
        <f t="shared" si="5"/>
        <v>0.13579499999999967</v>
      </c>
      <c r="F153" s="40">
        <f>IF(A153&gt;$F$10,0,IF((Params!$C$21+GiaDinh_K3!$D$8*Params!$C$5*C153)&gt;=0,(Params!$C$21+GiaDinh_K3!$D$8*Params!$C$5*C153)*'Tính chọn'!$D$23/Params!$C$16,(Params!$C$21+GiaDinh_K3!$D$8*Params!$C$5*C153)*'Tính chọn'!$D$23*Params!$C$16)+Catalogue!$F$15*C153/'Tính chọn'!$D$23)</f>
        <v>1.8740295480880651</v>
      </c>
      <c r="G153" s="40">
        <f>IF(A153&gt;$F$10,0,IF(('Tính chọn'!$D$6+GiaDinh_K3!$D$8*Params!$C$6*C153)&gt;=0,('Tính chọn'!$D$6+GiaDinh_K3!$D$8*Params!$C$6*C153)*'Tính chọn'!$D$23/Params!$C$16,('Tính chọn'!$D$6+GiaDinh_K3!$D$8*Params!$C$6*C153)*'Tính chọn'!$D$23*Params!$C$16)+Catalogue!$F$15*C153/'Tính chọn'!$D$23)</f>
        <v>0.26602694090382384</v>
      </c>
      <c r="H153" s="43">
        <f>F153*D153/'Tính chọn'!$D$23</f>
        <v>279.46727999999996</v>
      </c>
    </row>
    <row r="154" spans="1:8" x14ac:dyDescent="0.2">
      <c r="A154" s="39">
        <f>140*$B$5</f>
        <v>1.4000000000000001</v>
      </c>
      <c r="B154" s="40">
        <f>IF(A154&lt;$F$4,GiaDinh_K3!$D$12,IF(A154&lt;$F$5,0,IF(A154&lt;$F$6,-GiaDinh_K3!$D$12,IF(A154&lt;$F$7,0,IF(A154&lt;$F$8,-GiaDinh_K3!$D$12,IF(A154&lt;$F$9,0,IF(A154&lt;$F$10,GiaDinh_K3!$D$12,0)))))))</f>
        <v>0</v>
      </c>
      <c r="C154" s="41">
        <f>IF(A154&lt;$F$4,GiaDinh_K3!$D$12*A154,IF(A154&lt;$F$5,GiaDinh_K3!$D$11,IF(A154&lt;$F$6,GiaDinh_K3!$D$11-GiaDinh_K3!$D$12*(A154-$F$5),IF(A154&lt;$F$7,0,IF(A154&lt;$F$8,-GiaDinh_K3!$D$12*(A154-$F$7),IF(A154&lt;$F$9,-GiaDinh_K3!$D$11,IF(A154&lt;$F$10,-GiaDinh_K3!$D$11+GiaDinh_K3!$D$12*(A154-$F$9),0)))))))</f>
        <v>0</v>
      </c>
      <c r="D154" s="44">
        <f t="shared" si="4"/>
        <v>0.11999999999999995</v>
      </c>
      <c r="E154" s="44">
        <f t="shared" si="5"/>
        <v>0.13699499999999967</v>
      </c>
      <c r="F154" s="40">
        <f>IF(A154&gt;$F$10,0,IF((Params!$C$21+GiaDinh_K3!$D$8*Params!$C$5*C154)&gt;=0,(Params!$C$21+GiaDinh_K3!$D$8*Params!$C$5*C154)*'Tính chọn'!$D$23/Params!$C$16,(Params!$C$21+GiaDinh_K3!$D$8*Params!$C$5*C154)*'Tính chọn'!$D$23*Params!$C$16)+Catalogue!$F$15*C154/'Tính chọn'!$D$23)</f>
        <v>1.8740295480880651</v>
      </c>
      <c r="G154" s="40">
        <f>IF(A154&gt;$F$10,0,IF(('Tính chọn'!$D$6+GiaDinh_K3!$D$8*Params!$C$6*C154)&gt;=0,('Tính chọn'!$D$6+GiaDinh_K3!$D$8*Params!$C$6*C154)*'Tính chọn'!$D$23/Params!$C$16,('Tính chọn'!$D$6+GiaDinh_K3!$D$8*Params!$C$6*C154)*'Tính chọn'!$D$23*Params!$C$16)+Catalogue!$F$15*C154/'Tính chọn'!$D$23)</f>
        <v>0.26602694090382384</v>
      </c>
      <c r="H154" s="43">
        <f>F154*D154/'Tính chọn'!$D$23</f>
        <v>279.46727999999996</v>
      </c>
    </row>
    <row r="155" spans="1:8" x14ac:dyDescent="0.2">
      <c r="A155" s="39">
        <f>141*$B$5</f>
        <v>1.41</v>
      </c>
      <c r="B155" s="40">
        <f>IF(A155&lt;$F$4,GiaDinh_K3!$D$12,IF(A155&lt;$F$5,0,IF(A155&lt;$F$6,-GiaDinh_K3!$D$12,IF(A155&lt;$F$7,0,IF(A155&lt;$F$8,-GiaDinh_K3!$D$12,IF(A155&lt;$F$9,0,IF(A155&lt;$F$10,GiaDinh_K3!$D$12,0)))))))</f>
        <v>0</v>
      </c>
      <c r="C155" s="41">
        <f>IF(A155&lt;$F$4,GiaDinh_K3!$D$12*A155,IF(A155&lt;$F$5,GiaDinh_K3!$D$11,IF(A155&lt;$F$6,GiaDinh_K3!$D$11-GiaDinh_K3!$D$12*(A155-$F$5),IF(A155&lt;$F$7,0,IF(A155&lt;$F$8,-GiaDinh_K3!$D$12*(A155-$F$7),IF(A155&lt;$F$9,-GiaDinh_K3!$D$11,IF(A155&lt;$F$10,-GiaDinh_K3!$D$11+GiaDinh_K3!$D$12*(A155-$F$9),0)))))))</f>
        <v>0</v>
      </c>
      <c r="D155" s="44">
        <f t="shared" si="4"/>
        <v>0.11999999999999995</v>
      </c>
      <c r="E155" s="44">
        <f t="shared" si="5"/>
        <v>0.13819499999999968</v>
      </c>
      <c r="F155" s="40">
        <f>IF(A155&gt;$F$10,0,IF((Params!$C$21+GiaDinh_K3!$D$8*Params!$C$5*C155)&gt;=0,(Params!$C$21+GiaDinh_K3!$D$8*Params!$C$5*C155)*'Tính chọn'!$D$23/Params!$C$16,(Params!$C$21+GiaDinh_K3!$D$8*Params!$C$5*C155)*'Tính chọn'!$D$23*Params!$C$16)+Catalogue!$F$15*C155/'Tính chọn'!$D$23)</f>
        <v>1.8740295480880651</v>
      </c>
      <c r="G155" s="40">
        <f>IF(A155&gt;$F$10,0,IF(('Tính chọn'!$D$6+GiaDinh_K3!$D$8*Params!$C$6*C155)&gt;=0,('Tính chọn'!$D$6+GiaDinh_K3!$D$8*Params!$C$6*C155)*'Tính chọn'!$D$23/Params!$C$16,('Tính chọn'!$D$6+GiaDinh_K3!$D$8*Params!$C$6*C155)*'Tính chọn'!$D$23*Params!$C$16)+Catalogue!$F$15*C155/'Tính chọn'!$D$23)</f>
        <v>0.26602694090382384</v>
      </c>
      <c r="H155" s="43">
        <f>F155*D155/'Tính chọn'!$D$23</f>
        <v>279.46727999999996</v>
      </c>
    </row>
    <row r="156" spans="1:8" x14ac:dyDescent="0.2">
      <c r="A156" s="39">
        <f>142*$B$5</f>
        <v>1.42</v>
      </c>
      <c r="B156" s="40">
        <f>IF(A156&lt;$F$4,GiaDinh_K3!$D$12,IF(A156&lt;$F$5,0,IF(A156&lt;$F$6,-GiaDinh_K3!$D$12,IF(A156&lt;$F$7,0,IF(A156&lt;$F$8,-GiaDinh_K3!$D$12,IF(A156&lt;$F$9,0,IF(A156&lt;$F$10,GiaDinh_K3!$D$12,0)))))))</f>
        <v>0</v>
      </c>
      <c r="C156" s="41">
        <f>IF(A156&lt;$F$4,GiaDinh_K3!$D$12*A156,IF(A156&lt;$F$5,GiaDinh_K3!$D$11,IF(A156&lt;$F$6,GiaDinh_K3!$D$11-GiaDinh_K3!$D$12*(A156-$F$5),IF(A156&lt;$F$7,0,IF(A156&lt;$F$8,-GiaDinh_K3!$D$12*(A156-$F$7),IF(A156&lt;$F$9,-GiaDinh_K3!$D$11,IF(A156&lt;$F$10,-GiaDinh_K3!$D$11+GiaDinh_K3!$D$12*(A156-$F$9),0)))))))</f>
        <v>0</v>
      </c>
      <c r="D156" s="44">
        <f t="shared" si="4"/>
        <v>0.11999999999999995</v>
      </c>
      <c r="E156" s="44">
        <f t="shared" si="5"/>
        <v>0.13939499999999969</v>
      </c>
      <c r="F156" s="40">
        <f>IF(A156&gt;$F$10,0,IF((Params!$C$21+GiaDinh_K3!$D$8*Params!$C$5*C156)&gt;=0,(Params!$C$21+GiaDinh_K3!$D$8*Params!$C$5*C156)*'Tính chọn'!$D$23/Params!$C$16,(Params!$C$21+GiaDinh_K3!$D$8*Params!$C$5*C156)*'Tính chọn'!$D$23*Params!$C$16)+Catalogue!$F$15*C156/'Tính chọn'!$D$23)</f>
        <v>1.8740295480880651</v>
      </c>
      <c r="G156" s="40">
        <f>IF(A156&gt;$F$10,0,IF(('Tính chọn'!$D$6+GiaDinh_K3!$D$8*Params!$C$6*C156)&gt;=0,('Tính chọn'!$D$6+GiaDinh_K3!$D$8*Params!$C$6*C156)*'Tính chọn'!$D$23/Params!$C$16,('Tính chọn'!$D$6+GiaDinh_K3!$D$8*Params!$C$6*C156)*'Tính chọn'!$D$23*Params!$C$16)+Catalogue!$F$15*C156/'Tính chọn'!$D$23)</f>
        <v>0.26602694090382384</v>
      </c>
      <c r="H156" s="43">
        <f>F156*D156/'Tính chọn'!$D$23</f>
        <v>279.46727999999996</v>
      </c>
    </row>
    <row r="157" spans="1:8" x14ac:dyDescent="0.2">
      <c r="A157" s="39">
        <f>143*$B$5</f>
        <v>1.43</v>
      </c>
      <c r="B157" s="40">
        <f>IF(A157&lt;$F$4,GiaDinh_K3!$D$12,IF(A157&lt;$F$5,0,IF(A157&lt;$F$6,-GiaDinh_K3!$D$12,IF(A157&lt;$F$7,0,IF(A157&lt;$F$8,-GiaDinh_K3!$D$12,IF(A157&lt;$F$9,0,IF(A157&lt;$F$10,GiaDinh_K3!$D$12,0)))))))</f>
        <v>0</v>
      </c>
      <c r="C157" s="41">
        <f>IF(A157&lt;$F$4,GiaDinh_K3!$D$12*A157,IF(A157&lt;$F$5,GiaDinh_K3!$D$11,IF(A157&lt;$F$6,GiaDinh_K3!$D$11-GiaDinh_K3!$D$12*(A157-$F$5),IF(A157&lt;$F$7,0,IF(A157&lt;$F$8,-GiaDinh_K3!$D$12*(A157-$F$7),IF(A157&lt;$F$9,-GiaDinh_K3!$D$11,IF(A157&lt;$F$10,-GiaDinh_K3!$D$11+GiaDinh_K3!$D$12*(A157-$F$9),0)))))))</f>
        <v>0</v>
      </c>
      <c r="D157" s="44">
        <f t="shared" si="4"/>
        <v>0.11999999999999995</v>
      </c>
      <c r="E157" s="44">
        <f t="shared" si="5"/>
        <v>0.14059499999999969</v>
      </c>
      <c r="F157" s="40">
        <f>IF(A157&gt;$F$10,0,IF((Params!$C$21+GiaDinh_K3!$D$8*Params!$C$5*C157)&gt;=0,(Params!$C$21+GiaDinh_K3!$D$8*Params!$C$5*C157)*'Tính chọn'!$D$23/Params!$C$16,(Params!$C$21+GiaDinh_K3!$D$8*Params!$C$5*C157)*'Tính chọn'!$D$23*Params!$C$16)+Catalogue!$F$15*C157/'Tính chọn'!$D$23)</f>
        <v>1.8740295480880651</v>
      </c>
      <c r="G157" s="40">
        <f>IF(A157&gt;$F$10,0,IF(('Tính chọn'!$D$6+GiaDinh_K3!$D$8*Params!$C$6*C157)&gt;=0,('Tính chọn'!$D$6+GiaDinh_K3!$D$8*Params!$C$6*C157)*'Tính chọn'!$D$23/Params!$C$16,('Tính chọn'!$D$6+GiaDinh_K3!$D$8*Params!$C$6*C157)*'Tính chọn'!$D$23*Params!$C$16)+Catalogue!$F$15*C157/'Tính chọn'!$D$23)</f>
        <v>0.26602694090382384</v>
      </c>
      <c r="H157" s="43">
        <f>F157*D157/'Tính chọn'!$D$23</f>
        <v>279.46727999999996</v>
      </c>
    </row>
    <row r="158" spans="1:8" x14ac:dyDescent="0.2">
      <c r="A158" s="39">
        <f>144*$B$5</f>
        <v>1.44</v>
      </c>
      <c r="B158" s="40">
        <f>IF(A158&lt;$F$4,GiaDinh_K3!$D$12,IF(A158&lt;$F$5,0,IF(A158&lt;$F$6,-GiaDinh_K3!$D$12,IF(A158&lt;$F$7,0,IF(A158&lt;$F$8,-GiaDinh_K3!$D$12,IF(A158&lt;$F$9,0,IF(A158&lt;$F$10,GiaDinh_K3!$D$12,0)))))))</f>
        <v>0</v>
      </c>
      <c r="C158" s="41">
        <f>IF(A158&lt;$F$4,GiaDinh_K3!$D$12*A158,IF(A158&lt;$F$5,GiaDinh_K3!$D$11,IF(A158&lt;$F$6,GiaDinh_K3!$D$11-GiaDinh_K3!$D$12*(A158-$F$5),IF(A158&lt;$F$7,0,IF(A158&lt;$F$8,-GiaDinh_K3!$D$12*(A158-$F$7),IF(A158&lt;$F$9,-GiaDinh_K3!$D$11,IF(A158&lt;$F$10,-GiaDinh_K3!$D$11+GiaDinh_K3!$D$12*(A158-$F$9),0)))))))</f>
        <v>0</v>
      </c>
      <c r="D158" s="44">
        <f t="shared" si="4"/>
        <v>0.11999999999999995</v>
      </c>
      <c r="E158" s="44">
        <f t="shared" si="5"/>
        <v>0.1417949999999997</v>
      </c>
      <c r="F158" s="40">
        <f>IF(A158&gt;$F$10,0,IF((Params!$C$21+GiaDinh_K3!$D$8*Params!$C$5*C158)&gt;=0,(Params!$C$21+GiaDinh_K3!$D$8*Params!$C$5*C158)*'Tính chọn'!$D$23/Params!$C$16,(Params!$C$21+GiaDinh_K3!$D$8*Params!$C$5*C158)*'Tính chọn'!$D$23*Params!$C$16)+Catalogue!$F$15*C158/'Tính chọn'!$D$23)</f>
        <v>1.8740295480880651</v>
      </c>
      <c r="G158" s="40">
        <f>IF(A158&gt;$F$10,0,IF(('Tính chọn'!$D$6+GiaDinh_K3!$D$8*Params!$C$6*C158)&gt;=0,('Tính chọn'!$D$6+GiaDinh_K3!$D$8*Params!$C$6*C158)*'Tính chọn'!$D$23/Params!$C$16,('Tính chọn'!$D$6+GiaDinh_K3!$D$8*Params!$C$6*C158)*'Tính chọn'!$D$23*Params!$C$16)+Catalogue!$F$15*C158/'Tính chọn'!$D$23)</f>
        <v>0.26602694090382384</v>
      </c>
      <c r="H158" s="43">
        <f>F158*D158/'Tính chọn'!$D$23</f>
        <v>279.46727999999996</v>
      </c>
    </row>
    <row r="159" spans="1:8" x14ac:dyDescent="0.2">
      <c r="A159" s="39">
        <f>145*$B$5</f>
        <v>1.45</v>
      </c>
      <c r="B159" s="40">
        <f>IF(A159&lt;$F$4,GiaDinh_K3!$D$12,IF(A159&lt;$F$5,0,IF(A159&lt;$F$6,-GiaDinh_K3!$D$12,IF(A159&lt;$F$7,0,IF(A159&lt;$F$8,-GiaDinh_K3!$D$12,IF(A159&lt;$F$9,0,IF(A159&lt;$F$10,GiaDinh_K3!$D$12,0)))))))</f>
        <v>0</v>
      </c>
      <c r="C159" s="41">
        <f>IF(A159&lt;$F$4,GiaDinh_K3!$D$12*A159,IF(A159&lt;$F$5,GiaDinh_K3!$D$11,IF(A159&lt;$F$6,GiaDinh_K3!$D$11-GiaDinh_K3!$D$12*(A159-$F$5),IF(A159&lt;$F$7,0,IF(A159&lt;$F$8,-GiaDinh_K3!$D$12*(A159-$F$7),IF(A159&lt;$F$9,-GiaDinh_K3!$D$11,IF(A159&lt;$F$10,-GiaDinh_K3!$D$11+GiaDinh_K3!$D$12*(A159-$F$9),0)))))))</f>
        <v>0</v>
      </c>
      <c r="D159" s="44">
        <f t="shared" si="4"/>
        <v>0.11999999999999995</v>
      </c>
      <c r="E159" s="44">
        <f t="shared" si="5"/>
        <v>0.14299499999999971</v>
      </c>
      <c r="F159" s="40">
        <f>IF(A159&gt;$F$10,0,IF((Params!$C$21+GiaDinh_K3!$D$8*Params!$C$5*C159)&gt;=0,(Params!$C$21+GiaDinh_K3!$D$8*Params!$C$5*C159)*'Tính chọn'!$D$23/Params!$C$16,(Params!$C$21+GiaDinh_K3!$D$8*Params!$C$5*C159)*'Tính chọn'!$D$23*Params!$C$16)+Catalogue!$F$15*C159/'Tính chọn'!$D$23)</f>
        <v>1.8740295480880651</v>
      </c>
      <c r="G159" s="40">
        <f>IF(A159&gt;$F$10,0,IF(('Tính chọn'!$D$6+GiaDinh_K3!$D$8*Params!$C$6*C159)&gt;=0,('Tính chọn'!$D$6+GiaDinh_K3!$D$8*Params!$C$6*C159)*'Tính chọn'!$D$23/Params!$C$16,('Tính chọn'!$D$6+GiaDinh_K3!$D$8*Params!$C$6*C159)*'Tính chọn'!$D$23*Params!$C$16)+Catalogue!$F$15*C159/'Tính chọn'!$D$23)</f>
        <v>0.26602694090382384</v>
      </c>
      <c r="H159" s="43">
        <f>F159*D159/'Tính chọn'!$D$23</f>
        <v>279.46727999999996</v>
      </c>
    </row>
    <row r="160" spans="1:8" x14ac:dyDescent="0.2">
      <c r="A160" s="39">
        <f>146*$B$5</f>
        <v>1.46</v>
      </c>
      <c r="B160" s="40">
        <f>IF(A160&lt;$F$4,GiaDinh_K3!$D$12,IF(A160&lt;$F$5,0,IF(A160&lt;$F$6,-GiaDinh_K3!$D$12,IF(A160&lt;$F$7,0,IF(A160&lt;$F$8,-GiaDinh_K3!$D$12,IF(A160&lt;$F$9,0,IF(A160&lt;$F$10,GiaDinh_K3!$D$12,0)))))))</f>
        <v>0</v>
      </c>
      <c r="C160" s="41">
        <f>IF(A160&lt;$F$4,GiaDinh_K3!$D$12*A160,IF(A160&lt;$F$5,GiaDinh_K3!$D$11,IF(A160&lt;$F$6,GiaDinh_K3!$D$11-GiaDinh_K3!$D$12*(A160-$F$5),IF(A160&lt;$F$7,0,IF(A160&lt;$F$8,-GiaDinh_K3!$D$12*(A160-$F$7),IF(A160&lt;$F$9,-GiaDinh_K3!$D$11,IF(A160&lt;$F$10,-GiaDinh_K3!$D$11+GiaDinh_K3!$D$12*(A160-$F$9),0)))))))</f>
        <v>0</v>
      </c>
      <c r="D160" s="44">
        <f t="shared" si="4"/>
        <v>0.11999999999999995</v>
      </c>
      <c r="E160" s="44">
        <f t="shared" si="5"/>
        <v>0.14419499999999971</v>
      </c>
      <c r="F160" s="40">
        <f>IF(A160&gt;$F$10,0,IF((Params!$C$21+GiaDinh_K3!$D$8*Params!$C$5*C160)&gt;=0,(Params!$C$21+GiaDinh_K3!$D$8*Params!$C$5*C160)*'Tính chọn'!$D$23/Params!$C$16,(Params!$C$21+GiaDinh_K3!$D$8*Params!$C$5*C160)*'Tính chọn'!$D$23*Params!$C$16)+Catalogue!$F$15*C160/'Tính chọn'!$D$23)</f>
        <v>1.8740295480880651</v>
      </c>
      <c r="G160" s="40">
        <f>IF(A160&gt;$F$10,0,IF(('Tính chọn'!$D$6+GiaDinh_K3!$D$8*Params!$C$6*C160)&gt;=0,('Tính chọn'!$D$6+GiaDinh_K3!$D$8*Params!$C$6*C160)*'Tính chọn'!$D$23/Params!$C$16,('Tính chọn'!$D$6+GiaDinh_K3!$D$8*Params!$C$6*C160)*'Tính chọn'!$D$23*Params!$C$16)+Catalogue!$F$15*C160/'Tính chọn'!$D$23)</f>
        <v>0.26602694090382384</v>
      </c>
      <c r="H160" s="43">
        <f>F160*D160/'Tính chọn'!$D$23</f>
        <v>279.46727999999996</v>
      </c>
    </row>
    <row r="161" spans="1:8" x14ac:dyDescent="0.2">
      <c r="A161" s="39">
        <f>147*$B$5</f>
        <v>1.47</v>
      </c>
      <c r="B161" s="40">
        <f>IF(A161&lt;$F$4,GiaDinh_K3!$D$12,IF(A161&lt;$F$5,0,IF(A161&lt;$F$6,-GiaDinh_K3!$D$12,IF(A161&lt;$F$7,0,IF(A161&lt;$F$8,-GiaDinh_K3!$D$12,IF(A161&lt;$F$9,0,IF(A161&lt;$F$10,GiaDinh_K3!$D$12,0)))))))</f>
        <v>0</v>
      </c>
      <c r="C161" s="41">
        <f>IF(A161&lt;$F$4,GiaDinh_K3!$D$12*A161,IF(A161&lt;$F$5,GiaDinh_K3!$D$11,IF(A161&lt;$F$6,GiaDinh_K3!$D$11-GiaDinh_K3!$D$12*(A161-$F$5),IF(A161&lt;$F$7,0,IF(A161&lt;$F$8,-GiaDinh_K3!$D$12*(A161-$F$7),IF(A161&lt;$F$9,-GiaDinh_K3!$D$11,IF(A161&lt;$F$10,-GiaDinh_K3!$D$11+GiaDinh_K3!$D$12*(A161-$F$9),0)))))))</f>
        <v>0</v>
      </c>
      <c r="D161" s="44">
        <f t="shared" si="4"/>
        <v>0.11999999999999995</v>
      </c>
      <c r="E161" s="44">
        <f t="shared" si="5"/>
        <v>0.14539499999999972</v>
      </c>
      <c r="F161" s="40">
        <f>IF(A161&gt;$F$10,0,IF((Params!$C$21+GiaDinh_K3!$D$8*Params!$C$5*C161)&gt;=0,(Params!$C$21+GiaDinh_K3!$D$8*Params!$C$5*C161)*'Tính chọn'!$D$23/Params!$C$16,(Params!$C$21+GiaDinh_K3!$D$8*Params!$C$5*C161)*'Tính chọn'!$D$23*Params!$C$16)+Catalogue!$F$15*C161/'Tính chọn'!$D$23)</f>
        <v>1.8740295480880651</v>
      </c>
      <c r="G161" s="40">
        <f>IF(A161&gt;$F$10,0,IF(('Tính chọn'!$D$6+GiaDinh_K3!$D$8*Params!$C$6*C161)&gt;=0,('Tính chọn'!$D$6+GiaDinh_K3!$D$8*Params!$C$6*C161)*'Tính chọn'!$D$23/Params!$C$16,('Tính chọn'!$D$6+GiaDinh_K3!$D$8*Params!$C$6*C161)*'Tính chọn'!$D$23*Params!$C$16)+Catalogue!$F$15*C161/'Tính chọn'!$D$23)</f>
        <v>0.26602694090382384</v>
      </c>
      <c r="H161" s="43">
        <f>F161*D161/'Tính chọn'!$D$23</f>
        <v>279.46727999999996</v>
      </c>
    </row>
    <row r="162" spans="1:8" x14ac:dyDescent="0.2">
      <c r="A162" s="39">
        <f>148*$B$5</f>
        <v>1.48</v>
      </c>
      <c r="B162" s="40">
        <f>IF(A162&lt;$F$4,GiaDinh_K3!$D$12,IF(A162&lt;$F$5,0,IF(A162&lt;$F$6,-GiaDinh_K3!$D$12,IF(A162&lt;$F$7,0,IF(A162&lt;$F$8,-GiaDinh_K3!$D$12,IF(A162&lt;$F$9,0,IF(A162&lt;$F$10,GiaDinh_K3!$D$12,0)))))))</f>
        <v>0</v>
      </c>
      <c r="C162" s="41">
        <f>IF(A162&lt;$F$4,GiaDinh_K3!$D$12*A162,IF(A162&lt;$F$5,GiaDinh_K3!$D$11,IF(A162&lt;$F$6,GiaDinh_K3!$D$11-GiaDinh_K3!$D$12*(A162-$F$5),IF(A162&lt;$F$7,0,IF(A162&lt;$F$8,-GiaDinh_K3!$D$12*(A162-$F$7),IF(A162&lt;$F$9,-GiaDinh_K3!$D$11,IF(A162&lt;$F$10,-GiaDinh_K3!$D$11+GiaDinh_K3!$D$12*(A162-$F$9),0)))))))</f>
        <v>0</v>
      </c>
      <c r="D162" s="44">
        <f t="shared" si="4"/>
        <v>0.11999999999999995</v>
      </c>
      <c r="E162" s="44">
        <f t="shared" si="5"/>
        <v>0.14659499999999973</v>
      </c>
      <c r="F162" s="40">
        <f>IF(A162&gt;$F$10,0,IF((Params!$C$21+GiaDinh_K3!$D$8*Params!$C$5*C162)&gt;=0,(Params!$C$21+GiaDinh_K3!$D$8*Params!$C$5*C162)*'Tính chọn'!$D$23/Params!$C$16,(Params!$C$21+GiaDinh_K3!$D$8*Params!$C$5*C162)*'Tính chọn'!$D$23*Params!$C$16)+Catalogue!$F$15*C162/'Tính chọn'!$D$23)</f>
        <v>1.8740295480880651</v>
      </c>
      <c r="G162" s="40">
        <f>IF(A162&gt;$F$10,0,IF(('Tính chọn'!$D$6+GiaDinh_K3!$D$8*Params!$C$6*C162)&gt;=0,('Tính chọn'!$D$6+GiaDinh_K3!$D$8*Params!$C$6*C162)*'Tính chọn'!$D$23/Params!$C$16,('Tính chọn'!$D$6+GiaDinh_K3!$D$8*Params!$C$6*C162)*'Tính chọn'!$D$23*Params!$C$16)+Catalogue!$F$15*C162/'Tính chọn'!$D$23)</f>
        <v>0.26602694090382384</v>
      </c>
      <c r="H162" s="43">
        <f>F162*D162/'Tính chọn'!$D$23</f>
        <v>279.46727999999996</v>
      </c>
    </row>
    <row r="163" spans="1:8" x14ac:dyDescent="0.2">
      <c r="A163" s="39">
        <f>149*$B$5</f>
        <v>1.49</v>
      </c>
      <c r="B163" s="40">
        <f>IF(A163&lt;$F$4,GiaDinh_K3!$D$12,IF(A163&lt;$F$5,0,IF(A163&lt;$F$6,-GiaDinh_K3!$D$12,IF(A163&lt;$F$7,0,IF(A163&lt;$F$8,-GiaDinh_K3!$D$12,IF(A163&lt;$F$9,0,IF(A163&lt;$F$10,GiaDinh_K3!$D$12,0)))))))</f>
        <v>0</v>
      </c>
      <c r="C163" s="41">
        <f>IF(A163&lt;$F$4,GiaDinh_K3!$D$12*A163,IF(A163&lt;$F$5,GiaDinh_K3!$D$11,IF(A163&lt;$F$6,GiaDinh_K3!$D$11-GiaDinh_K3!$D$12*(A163-$F$5),IF(A163&lt;$F$7,0,IF(A163&lt;$F$8,-GiaDinh_K3!$D$12*(A163-$F$7),IF(A163&lt;$F$9,-GiaDinh_K3!$D$11,IF(A163&lt;$F$10,-GiaDinh_K3!$D$11+GiaDinh_K3!$D$12*(A163-$F$9),0)))))))</f>
        <v>0</v>
      </c>
      <c r="D163" s="44">
        <f t="shared" si="4"/>
        <v>0.11999999999999995</v>
      </c>
      <c r="E163" s="44">
        <f t="shared" si="5"/>
        <v>0.14779499999999973</v>
      </c>
      <c r="F163" s="40">
        <f>IF(A163&gt;$F$10,0,IF((Params!$C$21+GiaDinh_K3!$D$8*Params!$C$5*C163)&gt;=0,(Params!$C$21+GiaDinh_K3!$D$8*Params!$C$5*C163)*'Tính chọn'!$D$23/Params!$C$16,(Params!$C$21+GiaDinh_K3!$D$8*Params!$C$5*C163)*'Tính chọn'!$D$23*Params!$C$16)+Catalogue!$F$15*C163/'Tính chọn'!$D$23)</f>
        <v>1.8740295480880651</v>
      </c>
      <c r="G163" s="40">
        <f>IF(A163&gt;$F$10,0,IF(('Tính chọn'!$D$6+GiaDinh_K3!$D$8*Params!$C$6*C163)&gt;=0,('Tính chọn'!$D$6+GiaDinh_K3!$D$8*Params!$C$6*C163)*'Tính chọn'!$D$23/Params!$C$16,('Tính chọn'!$D$6+GiaDinh_K3!$D$8*Params!$C$6*C163)*'Tính chọn'!$D$23*Params!$C$16)+Catalogue!$F$15*C163/'Tính chọn'!$D$23)</f>
        <v>0.26602694090382384</v>
      </c>
      <c r="H163" s="43">
        <f>F163*D163/'Tính chọn'!$D$23</f>
        <v>279.46727999999996</v>
      </c>
    </row>
    <row r="164" spans="1:8" x14ac:dyDescent="0.2">
      <c r="A164" s="39">
        <f>150*$B$5</f>
        <v>1.5</v>
      </c>
      <c r="B164" s="40">
        <f>IF(A164&lt;$F$4,GiaDinh_K3!$D$12,IF(A164&lt;$F$5,0,IF(A164&lt;$F$6,-GiaDinh_K3!$D$12,IF(A164&lt;$F$7,0,IF(A164&lt;$F$8,-GiaDinh_K3!$D$12,IF(A164&lt;$F$9,0,IF(A164&lt;$F$10,GiaDinh_K3!$D$12,0)))))))</f>
        <v>0</v>
      </c>
      <c r="C164" s="41">
        <f>IF(A164&lt;$F$4,GiaDinh_K3!$D$12*A164,IF(A164&lt;$F$5,GiaDinh_K3!$D$11,IF(A164&lt;$F$6,GiaDinh_K3!$D$11-GiaDinh_K3!$D$12*(A164-$F$5),IF(A164&lt;$F$7,0,IF(A164&lt;$F$8,-GiaDinh_K3!$D$12*(A164-$F$7),IF(A164&lt;$F$9,-GiaDinh_K3!$D$11,IF(A164&lt;$F$10,-GiaDinh_K3!$D$11+GiaDinh_K3!$D$12*(A164-$F$9),0)))))))</f>
        <v>0</v>
      </c>
      <c r="D164" s="44">
        <f t="shared" si="4"/>
        <v>0.11999999999999995</v>
      </c>
      <c r="E164" s="44">
        <f t="shared" si="5"/>
        <v>0.14899499999999974</v>
      </c>
      <c r="F164" s="40">
        <f>IF(A164&gt;$F$10,0,IF((Params!$C$21+GiaDinh_K3!$D$8*Params!$C$5*C164)&gt;=0,(Params!$C$21+GiaDinh_K3!$D$8*Params!$C$5*C164)*'Tính chọn'!$D$23/Params!$C$16,(Params!$C$21+GiaDinh_K3!$D$8*Params!$C$5*C164)*'Tính chọn'!$D$23*Params!$C$16)+Catalogue!$F$15*C164/'Tính chọn'!$D$23)</f>
        <v>1.8740295480880651</v>
      </c>
      <c r="G164" s="40">
        <f>IF(A164&gt;$F$10,0,IF(('Tính chọn'!$D$6+GiaDinh_K3!$D$8*Params!$C$6*C164)&gt;=0,('Tính chọn'!$D$6+GiaDinh_K3!$D$8*Params!$C$6*C164)*'Tính chọn'!$D$23/Params!$C$16,('Tính chọn'!$D$6+GiaDinh_K3!$D$8*Params!$C$6*C164)*'Tính chọn'!$D$23*Params!$C$16)+Catalogue!$F$15*C164/'Tính chọn'!$D$23)</f>
        <v>0.26602694090382384</v>
      </c>
      <c r="H164" s="43">
        <f>F164*D164/'Tính chọn'!$D$23</f>
        <v>279.46727999999996</v>
      </c>
    </row>
    <row r="165" spans="1:8" x14ac:dyDescent="0.2">
      <c r="A165" s="39">
        <f>151*$B$5</f>
        <v>1.51</v>
      </c>
      <c r="B165" s="40">
        <f>IF(A165&lt;$F$4,GiaDinh_K3!$D$12,IF(A165&lt;$F$5,0,IF(A165&lt;$F$6,-GiaDinh_K3!$D$12,IF(A165&lt;$F$7,0,IF(A165&lt;$F$8,-GiaDinh_K3!$D$12,IF(A165&lt;$F$9,0,IF(A165&lt;$F$10,GiaDinh_K3!$D$12,0)))))))</f>
        <v>0</v>
      </c>
      <c r="C165" s="41">
        <f>IF(A165&lt;$F$4,GiaDinh_K3!$D$12*A165,IF(A165&lt;$F$5,GiaDinh_K3!$D$11,IF(A165&lt;$F$6,GiaDinh_K3!$D$11-GiaDinh_K3!$D$12*(A165-$F$5),IF(A165&lt;$F$7,0,IF(A165&lt;$F$8,-GiaDinh_K3!$D$12*(A165-$F$7),IF(A165&lt;$F$9,-GiaDinh_K3!$D$11,IF(A165&lt;$F$10,-GiaDinh_K3!$D$11+GiaDinh_K3!$D$12*(A165-$F$9),0)))))))</f>
        <v>0</v>
      </c>
      <c r="D165" s="44">
        <f t="shared" si="4"/>
        <v>0.11999999999999995</v>
      </c>
      <c r="E165" s="44">
        <f t="shared" si="5"/>
        <v>0.15019499999999975</v>
      </c>
      <c r="F165" s="40">
        <f>IF(A165&gt;$F$10,0,IF((Params!$C$21+GiaDinh_K3!$D$8*Params!$C$5*C165)&gt;=0,(Params!$C$21+GiaDinh_K3!$D$8*Params!$C$5*C165)*'Tính chọn'!$D$23/Params!$C$16,(Params!$C$21+GiaDinh_K3!$D$8*Params!$C$5*C165)*'Tính chọn'!$D$23*Params!$C$16)+Catalogue!$F$15*C165/'Tính chọn'!$D$23)</f>
        <v>1.8740295480880651</v>
      </c>
      <c r="G165" s="40">
        <f>IF(A165&gt;$F$10,0,IF(('Tính chọn'!$D$6+GiaDinh_K3!$D$8*Params!$C$6*C165)&gt;=0,('Tính chọn'!$D$6+GiaDinh_K3!$D$8*Params!$C$6*C165)*'Tính chọn'!$D$23/Params!$C$16,('Tính chọn'!$D$6+GiaDinh_K3!$D$8*Params!$C$6*C165)*'Tính chọn'!$D$23*Params!$C$16)+Catalogue!$F$15*C165/'Tính chọn'!$D$23)</f>
        <v>0.26602694090382384</v>
      </c>
      <c r="H165" s="43">
        <f>F165*D165/'Tính chọn'!$D$23</f>
        <v>279.46727999999996</v>
      </c>
    </row>
    <row r="166" spans="1:8" x14ac:dyDescent="0.2">
      <c r="A166" s="39">
        <f>152*$B$5</f>
        <v>1.52</v>
      </c>
      <c r="B166" s="40">
        <f>IF(A166&lt;$F$4,GiaDinh_K3!$D$12,IF(A166&lt;$F$5,0,IF(A166&lt;$F$6,-GiaDinh_K3!$D$12,IF(A166&lt;$F$7,0,IF(A166&lt;$F$8,-GiaDinh_K3!$D$12,IF(A166&lt;$F$9,0,IF(A166&lt;$F$10,GiaDinh_K3!$D$12,0)))))))</f>
        <v>-1.8</v>
      </c>
      <c r="C166" s="41">
        <f>IF(A166&lt;$F$4,GiaDinh_K3!$D$12*A166,IF(A166&lt;$F$5,GiaDinh_K3!$D$11,IF(A166&lt;$F$6,GiaDinh_K3!$D$11-GiaDinh_K3!$D$12*(A166-$F$5),IF(A166&lt;$F$7,0,IF(A166&lt;$F$8,-GiaDinh_K3!$D$12*(A166-$F$7),IF(A166&lt;$F$9,-GiaDinh_K3!$D$11,IF(A166&lt;$F$10,-GiaDinh_K3!$D$11+GiaDinh_K3!$D$12*(A166-$F$9),0)))))))</f>
        <v>-6.0000000000001389E-3</v>
      </c>
      <c r="D166" s="44">
        <f t="shared" si="4"/>
        <v>0.11996999999999995</v>
      </c>
      <c r="E166" s="44">
        <f t="shared" si="5"/>
        <v>0.15139484999999975</v>
      </c>
      <c r="F166" s="40">
        <f>IF(A166&gt;$F$10,0,IF((Params!$C$21+GiaDinh_K3!$D$8*Params!$C$5*C166)&gt;=0,(Params!$C$21+GiaDinh_K3!$D$8*Params!$C$5*C166)*'Tính chọn'!$D$23/Params!$C$16,(Params!$C$21+GiaDinh_K3!$D$8*Params!$C$5*C166)*'Tính chọn'!$D$23*Params!$C$16)+Catalogue!$F$15*C166/'Tính chọn'!$D$23)</f>
        <v>1.7666190057817923</v>
      </c>
      <c r="G166" s="40">
        <f>IF(A166&gt;$F$10,0,IF(('Tính chọn'!$D$6+GiaDinh_K3!$D$8*Params!$C$6*C166)&gt;=0,('Tính chọn'!$D$6+GiaDinh_K3!$D$8*Params!$C$6*C166)*'Tính chọn'!$D$23/Params!$C$16,('Tính chọn'!$D$6+GiaDinh_K3!$D$8*Params!$C$6*C166)*'Tính chọn'!$D$23*Params!$C$16)+Catalogue!$F$15*C166/'Tính chọn'!$D$23)</f>
        <v>0.23401713247163561</v>
      </c>
      <c r="H166" s="43">
        <f>F166*D166/'Tính chọn'!$D$23</f>
        <v>263.38367012069182</v>
      </c>
    </row>
    <row r="167" spans="1:8" x14ac:dyDescent="0.2">
      <c r="A167" s="39">
        <f>153*$B$5</f>
        <v>1.53</v>
      </c>
      <c r="B167" s="40">
        <f>IF(A167&lt;$F$4,GiaDinh_K3!$D$12,IF(A167&lt;$F$5,0,IF(A167&lt;$F$6,-GiaDinh_K3!$D$12,IF(A167&lt;$F$7,0,IF(A167&lt;$F$8,-GiaDinh_K3!$D$12,IF(A167&lt;$F$9,0,IF(A167&lt;$F$10,GiaDinh_K3!$D$12,0)))))))</f>
        <v>-1.8</v>
      </c>
      <c r="C167" s="41">
        <f>IF(A167&lt;$F$4,GiaDinh_K3!$D$12*A167,IF(A167&lt;$F$5,GiaDinh_K3!$D$11,IF(A167&lt;$F$6,GiaDinh_K3!$D$11-GiaDinh_K3!$D$12*(A167-$F$5),IF(A167&lt;$F$7,0,IF(A167&lt;$F$8,-GiaDinh_K3!$D$12*(A167-$F$7),IF(A167&lt;$F$9,-GiaDinh_K3!$D$11,IF(A167&lt;$F$10,-GiaDinh_K3!$D$11+GiaDinh_K3!$D$12*(A167-$F$9),0)))))))</f>
        <v>-2.4000000000000157E-2</v>
      </c>
      <c r="D167" s="44">
        <f t="shared" si="4"/>
        <v>0.11981999999999995</v>
      </c>
      <c r="E167" s="44">
        <f t="shared" si="5"/>
        <v>0.15259379999999975</v>
      </c>
      <c r="F167" s="40">
        <f>IF(A167&gt;$F$10,0,IF((Params!$C$21+GiaDinh_K3!$D$8*Params!$C$5*C167)&gt;=0,(Params!$C$21+GiaDinh_K3!$D$8*Params!$C$5*C167)*'Tính chọn'!$D$23/Params!$C$16,(Params!$C$21+GiaDinh_K3!$D$8*Params!$C$5*C167)*'Tính chọn'!$D$23*Params!$C$16)+Catalogue!$F$15*C167/'Tính chọn'!$D$23)</f>
        <v>1.4443873788629815</v>
      </c>
      <c r="G167" s="40">
        <f>IF(A167&gt;$F$10,0,IF(('Tính chọn'!$D$6+GiaDinh_K3!$D$8*Params!$C$6*C167)&gt;=0,('Tính chọn'!$D$6+GiaDinh_K3!$D$8*Params!$C$6*C167)*'Tính chọn'!$D$23/Params!$C$16,('Tính chọn'!$D$6+GiaDinh_K3!$D$8*Params!$C$6*C167)*'Tính chọn'!$D$23*Params!$C$16)+Catalogue!$F$15*C167/'Tính chọn'!$D$23)</f>
        <v>0.13798770717507314</v>
      </c>
      <c r="H167" s="43">
        <f>F167*D167/'Tính chọn'!$D$23</f>
        <v>215.07319558024952</v>
      </c>
    </row>
    <row r="168" spans="1:8" x14ac:dyDescent="0.2">
      <c r="A168" s="39">
        <f>154*$B$5</f>
        <v>1.54</v>
      </c>
      <c r="B168" s="40">
        <f>IF(A168&lt;$F$4,GiaDinh_K3!$D$12,IF(A168&lt;$F$5,0,IF(A168&lt;$F$6,-GiaDinh_K3!$D$12,IF(A168&lt;$F$7,0,IF(A168&lt;$F$8,-GiaDinh_K3!$D$12,IF(A168&lt;$F$9,0,IF(A168&lt;$F$10,GiaDinh_K3!$D$12,0)))))))</f>
        <v>-1.8</v>
      </c>
      <c r="C168" s="41">
        <f>IF(A168&lt;$F$4,GiaDinh_K3!$D$12*A168,IF(A168&lt;$F$5,GiaDinh_K3!$D$11,IF(A168&lt;$F$6,GiaDinh_K3!$D$11-GiaDinh_K3!$D$12*(A168-$F$5),IF(A168&lt;$F$7,0,IF(A168&lt;$F$8,-GiaDinh_K3!$D$12*(A168-$F$7),IF(A168&lt;$F$9,-GiaDinh_K3!$D$11,IF(A168&lt;$F$10,-GiaDinh_K3!$D$11+GiaDinh_K3!$D$12*(A168-$F$9),0)))))))</f>
        <v>-4.2000000000000169E-2</v>
      </c>
      <c r="D168" s="44">
        <f t="shared" si="4"/>
        <v>0.11948999999999996</v>
      </c>
      <c r="E168" s="44">
        <f t="shared" si="5"/>
        <v>0.15379034999999974</v>
      </c>
      <c r="F168" s="40">
        <f>IF(A168&gt;$F$10,0,IF((Params!$C$21+GiaDinh_K3!$D$8*Params!$C$5*C168)&gt;=0,(Params!$C$21+GiaDinh_K3!$D$8*Params!$C$5*C168)*'Tính chọn'!$D$23/Params!$C$16,(Params!$C$21+GiaDinh_K3!$D$8*Params!$C$5*C168)*'Tính chọn'!$D$23*Params!$C$16)+Catalogue!$F$15*C168/'Tính chọn'!$D$23)</f>
        <v>1.1221557519441712</v>
      </c>
      <c r="G168" s="40">
        <f>IF(A168&gt;$F$10,0,IF(('Tính chọn'!$D$6+GiaDinh_K3!$D$8*Params!$C$6*C168)&gt;=0,('Tính chọn'!$D$6+GiaDinh_K3!$D$8*Params!$C$6*C168)*'Tính chọn'!$D$23/Params!$C$16,('Tính chọn'!$D$6+GiaDinh_K3!$D$8*Params!$C$6*C168)*'Tính chọn'!$D$23*Params!$C$16)+Catalogue!$F$15*C168/'Tính chọn'!$D$23)</f>
        <v>4.1958281878510723E-2</v>
      </c>
      <c r="H168" s="43">
        <f>F168*D168/'Tính chọn'!$D$23</f>
        <v>166.63183957473859</v>
      </c>
    </row>
    <row r="169" spans="1:8" x14ac:dyDescent="0.2">
      <c r="A169" s="39">
        <f>155*$B$5</f>
        <v>1.55</v>
      </c>
      <c r="B169" s="40">
        <f>IF(A169&lt;$F$4,GiaDinh_K3!$D$12,IF(A169&lt;$F$5,0,IF(A169&lt;$F$6,-GiaDinh_K3!$D$12,IF(A169&lt;$F$7,0,IF(A169&lt;$F$8,-GiaDinh_K3!$D$12,IF(A169&lt;$F$9,0,IF(A169&lt;$F$10,GiaDinh_K3!$D$12,0)))))))</f>
        <v>-1.8</v>
      </c>
      <c r="C169" s="41">
        <f>IF(A169&lt;$F$4,GiaDinh_K3!$D$12*A169,IF(A169&lt;$F$5,GiaDinh_K3!$D$11,IF(A169&lt;$F$6,GiaDinh_K3!$D$11-GiaDinh_K3!$D$12*(A169-$F$5),IF(A169&lt;$F$7,0,IF(A169&lt;$F$8,-GiaDinh_K3!$D$12*(A169-$F$7),IF(A169&lt;$F$9,-GiaDinh_K3!$D$11,IF(A169&lt;$F$10,-GiaDinh_K3!$D$11+GiaDinh_K3!$D$12*(A169-$F$9),0)))))))</f>
        <v>-6.0000000000000185E-2</v>
      </c>
      <c r="D169" s="44">
        <f t="shared" si="4"/>
        <v>0.11897999999999996</v>
      </c>
      <c r="E169" s="44">
        <f t="shared" si="5"/>
        <v>0.15498269999999975</v>
      </c>
      <c r="F169" s="40">
        <f>IF(A169&gt;$F$10,0,IF((Params!$C$21+GiaDinh_K3!$D$8*Params!$C$5*C169)&gt;=0,(Params!$C$21+GiaDinh_K3!$D$8*Params!$C$5*C169)*'Tính chọn'!$D$23/Params!$C$16,(Params!$C$21+GiaDinh_K3!$D$8*Params!$C$5*C169)*'Tính chọn'!$D$23*Params!$C$16)+Catalogue!$F$15*C169/'Tính chọn'!$D$23)</f>
        <v>0.79992412502536059</v>
      </c>
      <c r="G169" s="40">
        <f>IF(A169&gt;$F$10,0,IF(('Tính chọn'!$D$6+GiaDinh_K3!$D$8*Params!$C$6*C169)&gt;=0,('Tính chọn'!$D$6+GiaDinh_K3!$D$8*Params!$C$6*C169)*'Tính chọn'!$D$23/Params!$C$16,('Tính chọn'!$D$6+GiaDinh_K3!$D$8*Params!$C$6*C169)*'Tính chọn'!$D$23*Params!$C$16)+Catalogue!$F$15*C169/'Tính chọn'!$D$23)</f>
        <v>-5.4071143418051748E-2</v>
      </c>
      <c r="H169" s="43">
        <f>F169*D169/'Tính chọn'!$D$23</f>
        <v>118.27584169535734</v>
      </c>
    </row>
    <row r="170" spans="1:8" x14ac:dyDescent="0.2">
      <c r="A170" s="39">
        <f>156*$B$5</f>
        <v>1.56</v>
      </c>
      <c r="B170" s="40">
        <f>IF(A170&lt;$F$4,GiaDinh_K3!$D$12,IF(A170&lt;$F$5,0,IF(A170&lt;$F$6,-GiaDinh_K3!$D$12,IF(A170&lt;$F$7,0,IF(A170&lt;$F$8,-GiaDinh_K3!$D$12,IF(A170&lt;$F$9,0,IF(A170&lt;$F$10,GiaDinh_K3!$D$12,0)))))))</f>
        <v>-1.8</v>
      </c>
      <c r="C170" s="41">
        <f>IF(A170&lt;$F$4,GiaDinh_K3!$D$12*A170,IF(A170&lt;$F$5,GiaDinh_K3!$D$11,IF(A170&lt;$F$6,GiaDinh_K3!$D$11-GiaDinh_K3!$D$12*(A170-$F$5),IF(A170&lt;$F$7,0,IF(A170&lt;$F$8,-GiaDinh_K3!$D$12*(A170-$F$7),IF(A170&lt;$F$9,-GiaDinh_K3!$D$11,IF(A170&lt;$F$10,-GiaDinh_K3!$D$11+GiaDinh_K3!$D$12*(A170-$F$9),0)))))))</f>
        <v>-7.8000000000000208E-2</v>
      </c>
      <c r="D170" s="44">
        <f t="shared" si="4"/>
        <v>0.11828999999999996</v>
      </c>
      <c r="E170" s="44">
        <f t="shared" si="5"/>
        <v>0.15616904999999975</v>
      </c>
      <c r="F170" s="40">
        <f>IF(A170&gt;$F$10,0,IF((Params!$C$21+GiaDinh_K3!$D$8*Params!$C$5*C170)&gt;=0,(Params!$C$21+GiaDinh_K3!$D$8*Params!$C$5*C170)*'Tính chọn'!$D$23/Params!$C$16,(Params!$C$21+GiaDinh_K3!$D$8*Params!$C$5*C170)*'Tính chọn'!$D$23*Params!$C$16)+Catalogue!$F$15*C170/'Tính chọn'!$D$23)</f>
        <v>0.47769249810654985</v>
      </c>
      <c r="G170" s="40">
        <f>IF(A170&gt;$F$10,0,IF(('Tính chọn'!$D$6+GiaDinh_K3!$D$8*Params!$C$6*C170)&gt;=0,('Tính chọn'!$D$6+GiaDinh_K3!$D$8*Params!$C$6*C170)*'Tính chọn'!$D$23/Params!$C$16,('Tính chọn'!$D$6+GiaDinh_K3!$D$8*Params!$C$6*C170)*'Tính chọn'!$D$23*Params!$C$16)+Catalogue!$F$15*C170/'Tính chọn'!$D$23)</f>
        <v>-0.15010056871461419</v>
      </c>
      <c r="H170" s="43">
        <f>F170*D170/'Tính chọn'!$D$23</f>
        <v>70.221441533304244</v>
      </c>
    </row>
    <row r="171" spans="1:8" x14ac:dyDescent="0.2">
      <c r="A171" s="39">
        <f>157*$B$5</f>
        <v>1.57</v>
      </c>
      <c r="B171" s="40">
        <f>IF(A171&lt;$F$4,GiaDinh_K3!$D$12,IF(A171&lt;$F$5,0,IF(A171&lt;$F$6,-GiaDinh_K3!$D$12,IF(A171&lt;$F$7,0,IF(A171&lt;$F$8,-GiaDinh_K3!$D$12,IF(A171&lt;$F$9,0,IF(A171&lt;$F$10,GiaDinh_K3!$D$12,0)))))))</f>
        <v>-1.8</v>
      </c>
      <c r="C171" s="41">
        <f>IF(A171&lt;$F$4,GiaDinh_K3!$D$12*A171,IF(A171&lt;$F$5,GiaDinh_K3!$D$11,IF(A171&lt;$F$6,GiaDinh_K3!$D$11-GiaDinh_K3!$D$12*(A171-$F$5),IF(A171&lt;$F$7,0,IF(A171&lt;$F$8,-GiaDinh_K3!$D$12*(A171-$F$7),IF(A171&lt;$F$9,-GiaDinh_K3!$D$11,IF(A171&lt;$F$10,-GiaDinh_K3!$D$11+GiaDinh_K3!$D$12*(A171-$F$9),0)))))))</f>
        <v>-9.6000000000000224E-2</v>
      </c>
      <c r="D171" s="44">
        <f t="shared" si="4"/>
        <v>0.11741999999999997</v>
      </c>
      <c r="E171" s="44">
        <f t="shared" si="5"/>
        <v>0.15734759999999975</v>
      </c>
      <c r="F171" s="40">
        <f>IF(A171&gt;$F$10,0,IF((Params!$C$21+GiaDinh_K3!$D$8*Params!$C$5*C171)&gt;=0,(Params!$C$21+GiaDinh_K3!$D$8*Params!$C$5*C171)*'Tính chọn'!$D$23/Params!$C$16,(Params!$C$21+GiaDinh_K3!$D$8*Params!$C$5*C171)*'Tính chọn'!$D$23*Params!$C$16)+Catalogue!$F$15*C171/'Tính chọn'!$D$23)</f>
        <v>0.15546087118773938</v>
      </c>
      <c r="G171" s="40">
        <f>IF(A171&gt;$F$10,0,IF(('Tính chọn'!$D$6+GiaDinh_K3!$D$8*Params!$C$6*C171)&gt;=0,('Tính chọn'!$D$6+GiaDinh_K3!$D$8*Params!$C$6*C171)*'Tính chọn'!$D$23/Params!$C$16,('Tính chọn'!$D$6+GiaDinh_K3!$D$8*Params!$C$6*C171)*'Tính chọn'!$D$23*Params!$C$16)+Catalogue!$F$15*C171/'Tính chọn'!$D$23)</f>
        <v>-0.24612999401117669</v>
      </c>
      <c r="H171" s="43">
        <f>F171*D171/'Tính chọn'!$D$23</f>
        <v>22.684878679777828</v>
      </c>
    </row>
    <row r="172" spans="1:8" x14ac:dyDescent="0.2">
      <c r="A172" s="39">
        <f>158*$B$5</f>
        <v>1.58</v>
      </c>
      <c r="B172" s="40">
        <f>IF(A172&lt;$F$4,GiaDinh_K3!$D$12,IF(A172&lt;$F$5,0,IF(A172&lt;$F$6,-GiaDinh_K3!$D$12,IF(A172&lt;$F$7,0,IF(A172&lt;$F$8,-GiaDinh_K3!$D$12,IF(A172&lt;$F$9,0,IF(A172&lt;$F$10,GiaDinh_K3!$D$12,0)))))))</f>
        <v>-1.8</v>
      </c>
      <c r="C172" s="41">
        <f>IF(A172&lt;$F$4,GiaDinh_K3!$D$12*A172,IF(A172&lt;$F$5,GiaDinh_K3!$D$11,IF(A172&lt;$F$6,GiaDinh_K3!$D$11-GiaDinh_K3!$D$12*(A172-$F$5),IF(A172&lt;$F$7,0,IF(A172&lt;$F$8,-GiaDinh_K3!$D$12*(A172-$F$7),IF(A172&lt;$F$9,-GiaDinh_K3!$D$11,IF(A172&lt;$F$10,-GiaDinh_K3!$D$11+GiaDinh_K3!$D$12*(A172-$F$9),0)))))))</f>
        <v>-0.11400000000000024</v>
      </c>
      <c r="D172" s="44">
        <f t="shared" si="4"/>
        <v>0.11636999999999997</v>
      </c>
      <c r="E172" s="44">
        <f t="shared" si="5"/>
        <v>0.15851654999999976</v>
      </c>
      <c r="F172" s="40">
        <f>IF(A172&gt;$F$10,0,IF((Params!$C$21+GiaDinh_K3!$D$8*Params!$C$5*C172)&gt;=0,(Params!$C$21+GiaDinh_K3!$D$8*Params!$C$5*C172)*'Tính chọn'!$D$23/Params!$C$16,(Params!$C$21+GiaDinh_K3!$D$8*Params!$C$5*C172)*'Tính chọn'!$D$23*Params!$C$16)+Catalogue!$F$15*C172/'Tính chọn'!$D$23)</f>
        <v>-0.1667707557310712</v>
      </c>
      <c r="G172" s="40">
        <f>IF(A172&gt;$F$10,0,IF(('Tính chọn'!$D$6+GiaDinh_K3!$D$8*Params!$C$6*C172)&gt;=0,('Tính chọn'!$D$6+GiaDinh_K3!$D$8*Params!$C$6*C172)*'Tính chọn'!$D$23/Params!$C$16,('Tính chọn'!$D$6+GiaDinh_K3!$D$8*Params!$C$6*C172)*'Tính chọn'!$D$23*Params!$C$16)+Catalogue!$F$15*C172/'Tính chọn'!$D$23)</f>
        <v>-0.34215941930773908</v>
      </c>
      <c r="H172" s="43">
        <f>F172*D172/'Tính chọn'!$D$23</f>
        <v>-24.117607274023523</v>
      </c>
    </row>
    <row r="173" spans="1:8" x14ac:dyDescent="0.2">
      <c r="A173" s="39">
        <f>159*$B$5</f>
        <v>1.59</v>
      </c>
      <c r="B173" s="40">
        <f>IF(A173&lt;$F$4,GiaDinh_K3!$D$12,IF(A173&lt;$F$5,0,IF(A173&lt;$F$6,-GiaDinh_K3!$D$12,IF(A173&lt;$F$7,0,IF(A173&lt;$F$8,-GiaDinh_K3!$D$12,IF(A173&lt;$F$9,0,IF(A173&lt;$F$10,GiaDinh_K3!$D$12,0)))))))</f>
        <v>-1.8</v>
      </c>
      <c r="C173" s="41">
        <f>IF(A173&lt;$F$4,GiaDinh_K3!$D$12*A173,IF(A173&lt;$F$5,GiaDinh_K3!$D$11,IF(A173&lt;$F$6,GiaDinh_K3!$D$11-GiaDinh_K3!$D$12*(A173-$F$5),IF(A173&lt;$F$7,0,IF(A173&lt;$F$8,-GiaDinh_K3!$D$12*(A173-$F$7),IF(A173&lt;$F$9,-GiaDinh_K3!$D$11,IF(A173&lt;$F$10,-GiaDinh_K3!$D$11+GiaDinh_K3!$D$12*(A173-$F$9),0)))))))</f>
        <v>-0.13200000000000026</v>
      </c>
      <c r="D173" s="44">
        <f t="shared" si="4"/>
        <v>0.11513999999999996</v>
      </c>
      <c r="E173" s="44">
        <f t="shared" si="5"/>
        <v>0.15967409999999976</v>
      </c>
      <c r="F173" s="40">
        <f>IF(A173&gt;$F$10,0,IF((Params!$C$21+GiaDinh_K3!$D$8*Params!$C$5*C173)&gt;=0,(Params!$C$21+GiaDinh_K3!$D$8*Params!$C$5*C173)*'Tính chọn'!$D$23/Params!$C$16,(Params!$C$21+GiaDinh_K3!$D$8*Params!$C$5*C173)*'Tính chọn'!$D$23*Params!$C$16)+Catalogue!$F$15*C173/'Tính chọn'!$D$23)</f>
        <v>-0.4777505640584046</v>
      </c>
      <c r="G173" s="40">
        <f>IF(A173&gt;$F$10,0,IF(('Tính chọn'!$D$6+GiaDinh_K3!$D$8*Params!$C$6*C173)&gt;=0,('Tính chọn'!$D$6+GiaDinh_K3!$D$8*Params!$C$6*C173)*'Tính chọn'!$D$23/Params!$C$16,('Tính chọn'!$D$6+GiaDinh_K3!$D$8*Params!$C$6*C173)*'Tính chọn'!$D$23*Params!$C$16)+Catalogue!$F$15*C173/'Tính chọn'!$D$23)</f>
        <v>-0.43659159824148447</v>
      </c>
      <c r="H173" s="43">
        <f>F173*D173/'Tính chọn'!$D$23</f>
        <v>-68.359790236501283</v>
      </c>
    </row>
    <row r="174" spans="1:8" x14ac:dyDescent="0.2">
      <c r="A174" s="39">
        <f>160*$B$5</f>
        <v>1.6</v>
      </c>
      <c r="B174" s="40">
        <f>IF(A174&lt;$F$4,GiaDinh_K3!$D$12,IF(A174&lt;$F$5,0,IF(A174&lt;$F$6,-GiaDinh_K3!$D$12,IF(A174&lt;$F$7,0,IF(A174&lt;$F$8,-GiaDinh_K3!$D$12,IF(A174&lt;$F$9,0,IF(A174&lt;$F$10,GiaDinh_K3!$D$12,0)))))))</f>
        <v>-1.8</v>
      </c>
      <c r="C174" s="41">
        <f>IF(A174&lt;$F$4,GiaDinh_K3!$D$12*A174,IF(A174&lt;$F$5,GiaDinh_K3!$D$11,IF(A174&lt;$F$6,GiaDinh_K3!$D$11-GiaDinh_K3!$D$12*(A174-$F$5),IF(A174&lt;$F$7,0,IF(A174&lt;$F$8,-GiaDinh_K3!$D$12*(A174-$F$7),IF(A174&lt;$F$9,-GiaDinh_K3!$D$11,IF(A174&lt;$F$10,-GiaDinh_K3!$D$11+GiaDinh_K3!$D$12*(A174-$F$9),0)))))))</f>
        <v>-0.15000000000000027</v>
      </c>
      <c r="D174" s="44">
        <f t="shared" si="4"/>
        <v>0.11372999999999996</v>
      </c>
      <c r="E174" s="44">
        <f t="shared" si="5"/>
        <v>0.16081844999999975</v>
      </c>
      <c r="F174" s="40">
        <f>IF(A174&gt;$F$10,0,IF((Params!$C$21+GiaDinh_K3!$D$8*Params!$C$5*C174)&gt;=0,(Params!$C$21+GiaDinh_K3!$D$8*Params!$C$5*C174)*'Tính chọn'!$D$23/Params!$C$16,(Params!$C$21+GiaDinh_K3!$D$8*Params!$C$5*C174)*'Tính chọn'!$D$23*Params!$C$16)+Catalogue!$F$15*C174/'Tính chọn'!$D$23)</f>
        <v>-0.74989345015064113</v>
      </c>
      <c r="G174" s="40">
        <f>IF(A174&gt;$F$10,0,IF(('Tính chọn'!$D$6+GiaDinh_K3!$D$8*Params!$C$6*C174)&gt;=0,('Tính chọn'!$D$6+GiaDinh_K3!$D$8*Params!$C$6*C174)*'Tính chọn'!$D$23/Params!$C$16,('Tính chọn'!$D$6+GiaDinh_K3!$D$8*Params!$C$6*C174)*'Tính chọn'!$D$23*Params!$C$16)+Catalogue!$F$15*C174/'Tính chọn'!$D$23)</f>
        <v>-0.5255107010197001</v>
      </c>
      <c r="H174" s="43">
        <f>F174*D174/'Tính chọn'!$D$23</f>
        <v>-105.98585002545707</v>
      </c>
    </row>
    <row r="175" spans="1:8" x14ac:dyDescent="0.2">
      <c r="A175" s="39">
        <f>161*$B$5</f>
        <v>1.61</v>
      </c>
      <c r="B175" s="40">
        <f>IF(A175&lt;$F$4,GiaDinh_K3!$D$12,IF(A175&lt;$F$5,0,IF(A175&lt;$F$6,-GiaDinh_K3!$D$12,IF(A175&lt;$F$7,0,IF(A175&lt;$F$8,-GiaDinh_K3!$D$12,IF(A175&lt;$F$9,0,IF(A175&lt;$F$10,GiaDinh_K3!$D$12,0)))))))</f>
        <v>-1.8</v>
      </c>
      <c r="C175" s="41">
        <f>IF(A175&lt;$F$4,GiaDinh_K3!$D$12*A175,IF(A175&lt;$F$5,GiaDinh_K3!$D$11,IF(A175&lt;$F$6,GiaDinh_K3!$D$11-GiaDinh_K3!$D$12*(A175-$F$5),IF(A175&lt;$F$7,0,IF(A175&lt;$F$8,-GiaDinh_K3!$D$12*(A175-$F$7),IF(A175&lt;$F$9,-GiaDinh_K3!$D$11,IF(A175&lt;$F$10,-GiaDinh_K3!$D$11+GiaDinh_K3!$D$12*(A175-$F$9),0)))))))</f>
        <v>-0.16800000000000029</v>
      </c>
      <c r="D175" s="44">
        <f t="shared" si="4"/>
        <v>0.11213999999999995</v>
      </c>
      <c r="E175" s="44">
        <f t="shared" si="5"/>
        <v>0.16194779999999975</v>
      </c>
      <c r="F175" s="40">
        <f>IF(A175&gt;$F$10,0,IF((Params!$C$21+GiaDinh_K3!$D$8*Params!$C$5*C175)&gt;=0,(Params!$C$21+GiaDinh_K3!$D$8*Params!$C$5*C175)*'Tính chọn'!$D$23/Params!$C$16,(Params!$C$21+GiaDinh_K3!$D$8*Params!$C$5*C175)*'Tính chọn'!$D$23*Params!$C$16)+Catalogue!$F$15*C175/'Tính chọn'!$D$23)</f>
        <v>-1.0220363362428777</v>
      </c>
      <c r="G175" s="40">
        <f>IF(A175&gt;$F$10,0,IF(('Tính chọn'!$D$6+GiaDinh_K3!$D$8*Params!$C$6*C175)&gt;=0,('Tính chọn'!$D$6+GiaDinh_K3!$D$8*Params!$C$6*C175)*'Tính chọn'!$D$23/Params!$C$16,('Tính chọn'!$D$6+GiaDinh_K3!$D$8*Params!$C$6*C175)*'Tính chọn'!$D$23*Params!$C$16)+Catalogue!$F$15*C175/'Tính chọn'!$D$23)</f>
        <v>-0.61442980379791567</v>
      </c>
      <c r="H175" s="43">
        <f>F175*D175/'Tính chọn'!$D$23</f>
        <v>-142.42957422629243</v>
      </c>
    </row>
    <row r="176" spans="1:8" x14ac:dyDescent="0.2">
      <c r="A176" s="39">
        <f>162*$B$5</f>
        <v>1.62</v>
      </c>
      <c r="B176" s="40">
        <f>IF(A176&lt;$F$4,GiaDinh_K3!$D$12,IF(A176&lt;$F$5,0,IF(A176&lt;$F$6,-GiaDinh_K3!$D$12,IF(A176&lt;$F$7,0,IF(A176&lt;$F$8,-GiaDinh_K3!$D$12,IF(A176&lt;$F$9,0,IF(A176&lt;$F$10,GiaDinh_K3!$D$12,0)))))))</f>
        <v>-1.8</v>
      </c>
      <c r="C176" s="41">
        <f>IF(A176&lt;$F$4,GiaDinh_K3!$D$12*A176,IF(A176&lt;$F$5,GiaDinh_K3!$D$11,IF(A176&lt;$F$6,GiaDinh_K3!$D$11-GiaDinh_K3!$D$12*(A176-$F$5),IF(A176&lt;$F$7,0,IF(A176&lt;$F$8,-GiaDinh_K3!$D$12*(A176-$F$7),IF(A176&lt;$F$9,-GiaDinh_K3!$D$11,IF(A176&lt;$F$10,-GiaDinh_K3!$D$11+GiaDinh_K3!$D$12*(A176-$F$9),0)))))))</f>
        <v>-0.1860000000000003</v>
      </c>
      <c r="D176" s="44">
        <f t="shared" si="4"/>
        <v>0.11036999999999994</v>
      </c>
      <c r="E176" s="44">
        <f t="shared" si="5"/>
        <v>0.16306034999999974</v>
      </c>
      <c r="F176" s="40">
        <f>IF(A176&gt;$F$10,0,IF((Params!$C$21+GiaDinh_K3!$D$8*Params!$C$5*C176)&gt;=0,(Params!$C$21+GiaDinh_K3!$D$8*Params!$C$5*C176)*'Tính chọn'!$D$23/Params!$C$16,(Params!$C$21+GiaDinh_K3!$D$8*Params!$C$5*C176)*'Tính chọn'!$D$23*Params!$C$16)+Catalogue!$F$15*C176/'Tính chọn'!$D$23)</f>
        <v>-1.2941792223351141</v>
      </c>
      <c r="G176" s="40">
        <f>IF(A176&gt;$F$10,0,IF(('Tính chọn'!$D$6+GiaDinh_K3!$D$8*Params!$C$6*C176)&gt;=0,('Tính chọn'!$D$6+GiaDinh_K3!$D$8*Params!$C$6*C176)*'Tính chọn'!$D$23/Params!$C$16,('Tính chọn'!$D$6+GiaDinh_K3!$D$8*Params!$C$6*C176)*'Tính chọn'!$D$23*Params!$C$16)+Catalogue!$F$15*C176/'Tính chọn'!$D$23)</f>
        <v>-0.70334890657613114</v>
      </c>
      <c r="H176" s="43">
        <f>F176*D176/'Tính chọn'!$D$23</f>
        <v>-177.50833623900883</v>
      </c>
    </row>
    <row r="177" spans="1:8" x14ac:dyDescent="0.2">
      <c r="A177" s="39">
        <f>163*$B$5</f>
        <v>1.6300000000000001</v>
      </c>
      <c r="B177" s="40">
        <f>IF(A177&lt;$F$4,GiaDinh_K3!$D$12,IF(A177&lt;$F$5,0,IF(A177&lt;$F$6,-GiaDinh_K3!$D$12,IF(A177&lt;$F$7,0,IF(A177&lt;$F$8,-GiaDinh_K3!$D$12,IF(A177&lt;$F$9,0,IF(A177&lt;$F$10,GiaDinh_K3!$D$12,0)))))))</f>
        <v>-1.8</v>
      </c>
      <c r="C177" s="41">
        <f>IF(A177&lt;$F$4,GiaDinh_K3!$D$12*A177,IF(A177&lt;$F$5,GiaDinh_K3!$D$11,IF(A177&lt;$F$6,GiaDinh_K3!$D$11-GiaDinh_K3!$D$12*(A177-$F$5),IF(A177&lt;$F$7,0,IF(A177&lt;$F$8,-GiaDinh_K3!$D$12*(A177-$F$7),IF(A177&lt;$F$9,-GiaDinh_K3!$D$11,IF(A177&lt;$F$10,-GiaDinh_K3!$D$11+GiaDinh_K3!$D$12*(A177-$F$9),0)))))))</f>
        <v>-0.20400000000000032</v>
      </c>
      <c r="D177" s="44">
        <f t="shared" si="4"/>
        <v>0.10841999999999993</v>
      </c>
      <c r="E177" s="44">
        <f t="shared" si="5"/>
        <v>0.16415429999999975</v>
      </c>
      <c r="F177" s="40">
        <f>IF(A177&gt;$F$10,0,IF((Params!$C$21+GiaDinh_K3!$D$8*Params!$C$5*C177)&gt;=0,(Params!$C$21+GiaDinh_K3!$D$8*Params!$C$5*C177)*'Tính chọn'!$D$23/Params!$C$16,(Params!$C$21+GiaDinh_K3!$D$8*Params!$C$5*C177)*'Tính chọn'!$D$23*Params!$C$16)+Catalogue!$F$15*C177/'Tính chọn'!$D$23)</f>
        <v>-1.5663221084273506</v>
      </c>
      <c r="G177" s="40">
        <f>IF(A177&gt;$F$10,0,IF(('Tính chọn'!$D$6+GiaDinh_K3!$D$8*Params!$C$6*C177)&gt;=0,('Tính chọn'!$D$6+GiaDinh_K3!$D$8*Params!$C$6*C177)*'Tính chọn'!$D$23/Params!$C$16,('Tính chọn'!$D$6+GiaDinh_K3!$D$8*Params!$C$6*C177)*'Tính chọn'!$D$23*Params!$C$16)+Catalogue!$F$15*C177/'Tính chọn'!$D$23)</f>
        <v>-0.79226800935434682</v>
      </c>
      <c r="H177" s="43">
        <f>F177*D177/'Tính chọn'!$D$23</f>
        <v>-211.03950946360791</v>
      </c>
    </row>
    <row r="178" spans="1:8" x14ac:dyDescent="0.2">
      <c r="A178" s="39">
        <f>164*$B$5</f>
        <v>1.6400000000000001</v>
      </c>
      <c r="B178" s="40">
        <f>IF(A178&lt;$F$4,GiaDinh_K3!$D$12,IF(A178&lt;$F$5,0,IF(A178&lt;$F$6,-GiaDinh_K3!$D$12,IF(A178&lt;$F$7,0,IF(A178&lt;$F$8,-GiaDinh_K3!$D$12,IF(A178&lt;$F$9,0,IF(A178&lt;$F$10,GiaDinh_K3!$D$12,0)))))))</f>
        <v>-1.8</v>
      </c>
      <c r="C178" s="41">
        <f>IF(A178&lt;$F$4,GiaDinh_K3!$D$12*A178,IF(A178&lt;$F$5,GiaDinh_K3!$D$11,IF(A178&lt;$F$6,GiaDinh_K3!$D$11-GiaDinh_K3!$D$12*(A178-$F$5),IF(A178&lt;$F$7,0,IF(A178&lt;$F$8,-GiaDinh_K3!$D$12*(A178-$F$7),IF(A178&lt;$F$9,-GiaDinh_K3!$D$11,IF(A178&lt;$F$10,-GiaDinh_K3!$D$11+GiaDinh_K3!$D$12*(A178-$F$9),0)))))))</f>
        <v>-0.22200000000000034</v>
      </c>
      <c r="D178" s="44">
        <f t="shared" si="4"/>
        <v>0.10628999999999993</v>
      </c>
      <c r="E178" s="44">
        <f t="shared" si="5"/>
        <v>0.16522784999999976</v>
      </c>
      <c r="F178" s="40">
        <f>IF(A178&gt;$F$10,0,IF((Params!$C$21+GiaDinh_K3!$D$8*Params!$C$5*C178)&gt;=0,(Params!$C$21+GiaDinh_K3!$D$8*Params!$C$5*C178)*'Tính chọn'!$D$23/Params!$C$16,(Params!$C$21+GiaDinh_K3!$D$8*Params!$C$5*C178)*'Tính chọn'!$D$23*Params!$C$16)+Catalogue!$F$15*C178/'Tính chọn'!$D$23)</f>
        <v>-1.8384649945195877</v>
      </c>
      <c r="G178" s="40">
        <f>IF(A178&gt;$F$10,0,IF(('Tính chọn'!$D$6+GiaDinh_K3!$D$8*Params!$C$6*C178)&gt;=0,('Tính chọn'!$D$6+GiaDinh_K3!$D$8*Params!$C$6*C178)*'Tính chọn'!$D$23/Params!$C$16,('Tính chọn'!$D$6+GiaDinh_K3!$D$8*Params!$C$6*C178)*'Tính chọn'!$D$23*Params!$C$16)+Catalogue!$F$15*C178/'Tính chọn'!$D$23)</f>
        <v>-0.88118711213256251</v>
      </c>
      <c r="H178" s="43">
        <f>F178*D178/'Tính chọn'!$D$23</f>
        <v>-242.84046730009123</v>
      </c>
    </row>
    <row r="179" spans="1:8" x14ac:dyDescent="0.2">
      <c r="A179" s="39">
        <f>165*$B$5</f>
        <v>1.6500000000000001</v>
      </c>
      <c r="B179" s="40">
        <f>IF(A179&lt;$F$4,GiaDinh_K3!$D$12,IF(A179&lt;$F$5,0,IF(A179&lt;$F$6,-GiaDinh_K3!$D$12,IF(A179&lt;$F$7,0,IF(A179&lt;$F$8,-GiaDinh_K3!$D$12,IF(A179&lt;$F$9,0,IF(A179&lt;$F$10,GiaDinh_K3!$D$12,0)))))))</f>
        <v>-1.8</v>
      </c>
      <c r="C179" s="41">
        <f>IF(A179&lt;$F$4,GiaDinh_K3!$D$12*A179,IF(A179&lt;$F$5,GiaDinh_K3!$D$11,IF(A179&lt;$F$6,GiaDinh_K3!$D$11-GiaDinh_K3!$D$12*(A179-$F$5),IF(A179&lt;$F$7,0,IF(A179&lt;$F$8,-GiaDinh_K3!$D$12*(A179-$F$7),IF(A179&lt;$F$9,-GiaDinh_K3!$D$11,IF(A179&lt;$F$10,-GiaDinh_K3!$D$11+GiaDinh_K3!$D$12*(A179-$F$9),0)))))))</f>
        <v>-0.24000000000000035</v>
      </c>
      <c r="D179" s="44">
        <f t="shared" si="4"/>
        <v>0.10397999999999992</v>
      </c>
      <c r="E179" s="44">
        <f t="shared" si="5"/>
        <v>0.16627919999999977</v>
      </c>
      <c r="F179" s="40">
        <f>IF(A179&gt;$F$10,0,IF((Params!$C$21+GiaDinh_K3!$D$8*Params!$C$5*C179)&gt;=0,(Params!$C$21+GiaDinh_K3!$D$8*Params!$C$5*C179)*'Tính chọn'!$D$23/Params!$C$16,(Params!$C$21+GiaDinh_K3!$D$8*Params!$C$5*C179)*'Tính chọn'!$D$23*Params!$C$16)+Catalogue!$F$15*C179/'Tính chọn'!$D$23)</f>
        <v>-2.1106078806118242</v>
      </c>
      <c r="G179" s="40">
        <f>IF(A179&gt;$F$10,0,IF(('Tính chọn'!$D$6+GiaDinh_K3!$D$8*Params!$C$6*C179)&gt;=0,('Tính chọn'!$D$6+GiaDinh_K3!$D$8*Params!$C$6*C179)*'Tính chọn'!$D$23/Params!$C$16,('Tính chọn'!$D$6+GiaDinh_K3!$D$8*Params!$C$6*C179)*'Tính chọn'!$D$23*Params!$C$16)+Catalogue!$F$15*C179/'Tính chọn'!$D$23)</f>
        <v>-0.97010621491077809</v>
      </c>
      <c r="H179" s="43">
        <f>F179*D179/'Tính chọn'!$D$23</f>
        <v>-272.72858314846025</v>
      </c>
    </row>
    <row r="180" spans="1:8" x14ac:dyDescent="0.2">
      <c r="A180" s="39">
        <f>166*$B$5</f>
        <v>1.6600000000000001</v>
      </c>
      <c r="B180" s="40">
        <f>IF(A180&lt;$F$4,GiaDinh_K3!$D$12,IF(A180&lt;$F$5,0,IF(A180&lt;$F$6,-GiaDinh_K3!$D$12,IF(A180&lt;$F$7,0,IF(A180&lt;$F$8,-GiaDinh_K3!$D$12,IF(A180&lt;$F$9,0,IF(A180&lt;$F$10,GiaDinh_K3!$D$12,0)))))))</f>
        <v>-1.8</v>
      </c>
      <c r="C180" s="41">
        <f>IF(A180&lt;$F$4,GiaDinh_K3!$D$12*A180,IF(A180&lt;$F$5,GiaDinh_K3!$D$11,IF(A180&lt;$F$6,GiaDinh_K3!$D$11-GiaDinh_K3!$D$12*(A180-$F$5),IF(A180&lt;$F$7,0,IF(A180&lt;$F$8,-GiaDinh_K3!$D$12*(A180-$F$7),IF(A180&lt;$F$9,-GiaDinh_K3!$D$11,IF(A180&lt;$F$10,-GiaDinh_K3!$D$11+GiaDinh_K3!$D$12*(A180-$F$9),0)))))))</f>
        <v>-0.2580000000000004</v>
      </c>
      <c r="D180" s="44">
        <f t="shared" si="4"/>
        <v>0.10148999999999991</v>
      </c>
      <c r="E180" s="44">
        <f t="shared" si="5"/>
        <v>0.16730654999999978</v>
      </c>
      <c r="F180" s="40">
        <f>IF(A180&gt;$F$10,0,IF((Params!$C$21+GiaDinh_K3!$D$8*Params!$C$5*C180)&gt;=0,(Params!$C$21+GiaDinh_K3!$D$8*Params!$C$5*C180)*'Tính chọn'!$D$23/Params!$C$16,(Params!$C$21+GiaDinh_K3!$D$8*Params!$C$5*C180)*'Tính chọn'!$D$23*Params!$C$16)+Catalogue!$F$15*C180/'Tính chọn'!$D$23)</f>
        <v>-2.3827507667040608</v>
      </c>
      <c r="G180" s="40">
        <f>IF(A180&gt;$F$10,0,IF(('Tính chọn'!$D$6+GiaDinh_K3!$D$8*Params!$C$6*C180)&gt;=0,('Tính chọn'!$D$6+GiaDinh_K3!$D$8*Params!$C$6*C180)*'Tính chọn'!$D$23/Params!$C$16,('Tính chọn'!$D$6+GiaDinh_K3!$D$8*Params!$C$6*C180)*'Tính chọn'!$D$23*Params!$C$16)+Catalogue!$F$15*C180/'Tính chọn'!$D$23)</f>
        <v>-1.0590253176889939</v>
      </c>
      <c r="H180" s="43">
        <f>F180*D180/'Tính chọn'!$D$23</f>
        <v>-300.52123040871652</v>
      </c>
    </row>
    <row r="181" spans="1:8" x14ac:dyDescent="0.2">
      <c r="A181" s="39">
        <f>167*$B$5</f>
        <v>1.67</v>
      </c>
      <c r="B181" s="40">
        <f>IF(A181&lt;$F$4,GiaDinh_K3!$D$12,IF(A181&lt;$F$5,0,IF(A181&lt;$F$6,-GiaDinh_K3!$D$12,IF(A181&lt;$F$7,0,IF(A181&lt;$F$8,-GiaDinh_K3!$D$12,IF(A181&lt;$F$9,0,IF(A181&lt;$F$10,GiaDinh_K3!$D$12,0)))))))</f>
        <v>-1.8</v>
      </c>
      <c r="C181" s="41">
        <f>IF(A181&lt;$F$4,GiaDinh_K3!$D$12*A181,IF(A181&lt;$F$5,GiaDinh_K3!$D$11,IF(A181&lt;$F$6,GiaDinh_K3!$D$11-GiaDinh_K3!$D$12*(A181-$F$5),IF(A181&lt;$F$7,0,IF(A181&lt;$F$8,-GiaDinh_K3!$D$12*(A181-$F$7),IF(A181&lt;$F$9,-GiaDinh_K3!$D$11,IF(A181&lt;$F$10,-GiaDinh_K3!$D$11+GiaDinh_K3!$D$12*(A181-$F$9),0)))))))</f>
        <v>-0.27599999999999997</v>
      </c>
      <c r="D181" s="44">
        <f t="shared" si="4"/>
        <v>9.8819999999999908E-2</v>
      </c>
      <c r="E181" s="44">
        <f t="shared" si="5"/>
        <v>0.16830809999999977</v>
      </c>
      <c r="F181" s="40">
        <f>IF(A181&gt;$F$10,0,IF((Params!$C$21+GiaDinh_K3!$D$8*Params!$C$5*C181)&gt;=0,(Params!$C$21+GiaDinh_K3!$D$8*Params!$C$5*C181)*'Tính chọn'!$D$23/Params!$C$16,(Params!$C$21+GiaDinh_K3!$D$8*Params!$C$5*C181)*'Tính chọn'!$D$23*Params!$C$16)+Catalogue!$F$15*C181/'Tính chọn'!$D$23)</f>
        <v>-2.6548936527962916</v>
      </c>
      <c r="G181" s="40">
        <f>IF(A181&gt;$F$10,0,IF(('Tính chọn'!$D$6+GiaDinh_K3!$D$8*Params!$C$6*C181)&gt;=0,('Tính chọn'!$D$6+GiaDinh_K3!$D$8*Params!$C$6*C181)*'Tính chọn'!$D$23/Params!$C$16,('Tính chọn'!$D$6+GiaDinh_K3!$D$8*Params!$C$6*C181)*'Tính chọn'!$D$23*Params!$C$16)+Catalogue!$F$15*C181/'Tính chọn'!$D$23)</f>
        <v>-1.1479444204672073</v>
      </c>
      <c r="H181" s="43">
        <f>F181*D181/'Tính chọn'!$D$23</f>
        <v>-326.03578248086086</v>
      </c>
    </row>
    <row r="182" spans="1:8" x14ac:dyDescent="0.2">
      <c r="A182" s="39">
        <f>168*$B$5</f>
        <v>1.68</v>
      </c>
      <c r="B182" s="40">
        <f>IF(A182&lt;$F$4,GiaDinh_K3!$D$12,IF(A182&lt;$F$5,0,IF(A182&lt;$F$6,-GiaDinh_K3!$D$12,IF(A182&lt;$F$7,0,IF(A182&lt;$F$8,-GiaDinh_K3!$D$12,IF(A182&lt;$F$9,0,IF(A182&lt;$F$10,GiaDinh_K3!$D$12,0)))))))</f>
        <v>-1.8</v>
      </c>
      <c r="C182" s="41">
        <f>IF(A182&lt;$F$4,GiaDinh_K3!$D$12*A182,IF(A182&lt;$F$5,GiaDinh_K3!$D$11,IF(A182&lt;$F$6,GiaDinh_K3!$D$11-GiaDinh_K3!$D$12*(A182-$F$5),IF(A182&lt;$F$7,0,IF(A182&lt;$F$8,-GiaDinh_K3!$D$12*(A182-$F$7),IF(A182&lt;$F$9,-GiaDinh_K3!$D$11,IF(A182&lt;$F$10,-GiaDinh_K3!$D$11+GiaDinh_K3!$D$12*(A182-$F$9),0)))))))</f>
        <v>-0.29399999999999998</v>
      </c>
      <c r="D182" s="44">
        <f t="shared" si="4"/>
        <v>9.5969999999999903E-2</v>
      </c>
      <c r="E182" s="44">
        <f t="shared" si="5"/>
        <v>0.16928204999999977</v>
      </c>
      <c r="F182" s="40">
        <f>IF(A182&gt;$F$10,0,IF((Params!$C$21+GiaDinh_K3!$D$8*Params!$C$5*C182)&gt;=0,(Params!$C$21+GiaDinh_K3!$D$8*Params!$C$5*C182)*'Tính chọn'!$D$23/Params!$C$16,(Params!$C$21+GiaDinh_K3!$D$8*Params!$C$5*C182)*'Tính chọn'!$D$23*Params!$C$16)+Catalogue!$F$15*C182/'Tính chọn'!$D$23)</f>
        <v>-2.9270365388885278</v>
      </c>
      <c r="G182" s="40">
        <f>IF(A182&gt;$F$10,0,IF(('Tính chọn'!$D$6+GiaDinh_K3!$D$8*Params!$C$6*C182)&gt;=0,('Tính chọn'!$D$6+GiaDinh_K3!$D$8*Params!$C$6*C182)*'Tính chọn'!$D$23/Params!$C$16,('Tính chọn'!$D$6+GiaDinh_K3!$D$8*Params!$C$6*C182)*'Tính chọn'!$D$23*Params!$C$16)+Catalogue!$F$15*C182/'Tính chọn'!$D$23)</f>
        <v>-1.2368635232454228</v>
      </c>
      <c r="H182" s="43">
        <f>F182*D182/'Tính chọn'!$D$23</f>
        <v>-349.08961276489634</v>
      </c>
    </row>
    <row r="183" spans="1:8" x14ac:dyDescent="0.2">
      <c r="A183" s="39">
        <f>169*$B$5</f>
        <v>1.69</v>
      </c>
      <c r="B183" s="40">
        <f>IF(A183&lt;$F$4,GiaDinh_K3!$D$12,IF(A183&lt;$F$5,0,IF(A183&lt;$F$6,-GiaDinh_K3!$D$12,IF(A183&lt;$F$7,0,IF(A183&lt;$F$8,-GiaDinh_K3!$D$12,IF(A183&lt;$F$9,0,IF(A183&lt;$F$10,GiaDinh_K3!$D$12,0)))))))</f>
        <v>-1.8</v>
      </c>
      <c r="C183" s="41">
        <f>IF(A183&lt;$F$4,GiaDinh_K3!$D$12*A183,IF(A183&lt;$F$5,GiaDinh_K3!$D$11,IF(A183&lt;$F$6,GiaDinh_K3!$D$11-GiaDinh_K3!$D$12*(A183-$F$5),IF(A183&lt;$F$7,0,IF(A183&lt;$F$8,-GiaDinh_K3!$D$12*(A183-$F$7),IF(A183&lt;$F$9,-GiaDinh_K3!$D$11,IF(A183&lt;$F$10,-GiaDinh_K3!$D$11+GiaDinh_K3!$D$12*(A183-$F$9),0)))))))</f>
        <v>-0.312</v>
      </c>
      <c r="D183" s="44">
        <f t="shared" si="4"/>
        <v>9.2939999999999898E-2</v>
      </c>
      <c r="E183" s="44">
        <f t="shared" si="5"/>
        <v>0.17022659999999976</v>
      </c>
      <c r="F183" s="40">
        <f>IF(A183&gt;$F$10,0,IF((Params!$C$21+GiaDinh_K3!$D$8*Params!$C$5*C183)&gt;=0,(Params!$C$21+GiaDinh_K3!$D$8*Params!$C$5*C183)*'Tính chọn'!$D$23/Params!$C$16,(Params!$C$21+GiaDinh_K3!$D$8*Params!$C$5*C183)*'Tính chọn'!$D$23*Params!$C$16)+Catalogue!$F$15*C183/'Tính chọn'!$D$23)</f>
        <v>-3.1991794249807644</v>
      </c>
      <c r="G183" s="40">
        <f>IF(A183&gt;$F$10,0,IF(('Tính chọn'!$D$6+GiaDinh_K3!$D$8*Params!$C$6*C183)&gt;=0,('Tính chọn'!$D$6+GiaDinh_K3!$D$8*Params!$C$6*C183)*'Tính chọn'!$D$23/Params!$C$16,('Tính chọn'!$D$6+GiaDinh_K3!$D$8*Params!$C$6*C183)*'Tính chọn'!$D$23*Params!$C$16)+Catalogue!$F$15*C183/'Tính chọn'!$D$23)</f>
        <v>-1.3257826260236385</v>
      </c>
      <c r="H183" s="43">
        <f>F183*D183/'Tính chọn'!$D$23</f>
        <v>-369.50009466082378</v>
      </c>
    </row>
    <row r="184" spans="1:8" x14ac:dyDescent="0.2">
      <c r="A184" s="39">
        <f>170*$B$5</f>
        <v>1.7</v>
      </c>
      <c r="B184" s="40">
        <f>IF(A184&lt;$F$4,GiaDinh_K3!$D$12,IF(A184&lt;$F$5,0,IF(A184&lt;$F$6,-GiaDinh_K3!$D$12,IF(A184&lt;$F$7,0,IF(A184&lt;$F$8,-GiaDinh_K3!$D$12,IF(A184&lt;$F$9,0,IF(A184&lt;$F$10,GiaDinh_K3!$D$12,0)))))))</f>
        <v>-1.8</v>
      </c>
      <c r="C184" s="41">
        <f>IF(A184&lt;$F$4,GiaDinh_K3!$D$12*A184,IF(A184&lt;$F$5,GiaDinh_K3!$D$11,IF(A184&lt;$F$6,GiaDinh_K3!$D$11-GiaDinh_K3!$D$12*(A184-$F$5),IF(A184&lt;$F$7,0,IF(A184&lt;$F$8,-GiaDinh_K3!$D$12*(A184-$F$7),IF(A184&lt;$F$9,-GiaDinh_K3!$D$11,IF(A184&lt;$F$10,-GiaDinh_K3!$D$11+GiaDinh_K3!$D$12*(A184-$F$9),0)))))))</f>
        <v>-0.33</v>
      </c>
      <c r="D184" s="44">
        <f t="shared" si="4"/>
        <v>8.9729999999999893E-2</v>
      </c>
      <c r="E184" s="44">
        <f t="shared" si="5"/>
        <v>0.17113994999999976</v>
      </c>
      <c r="F184" s="40">
        <f>IF(A184&gt;$F$10,0,IF((Params!$C$21+GiaDinh_K3!$D$8*Params!$C$5*C184)&gt;=0,(Params!$C$21+GiaDinh_K3!$D$8*Params!$C$5*C184)*'Tính chọn'!$D$23/Params!$C$16,(Params!$C$21+GiaDinh_K3!$D$8*Params!$C$5*C184)*'Tính chọn'!$D$23*Params!$C$16)+Catalogue!$F$15*C184/'Tính chọn'!$D$23)</f>
        <v>-3.4713223110730009</v>
      </c>
      <c r="G184" s="40">
        <f>IF(A184&gt;$F$10,0,IF(('Tính chọn'!$D$6+GiaDinh_K3!$D$8*Params!$C$6*C184)&gt;=0,('Tính chọn'!$D$6+GiaDinh_K3!$D$8*Params!$C$6*C184)*'Tính chọn'!$D$23/Params!$C$16,('Tính chọn'!$D$6+GiaDinh_K3!$D$8*Params!$C$6*C184)*'Tính chọn'!$D$23*Params!$C$16)+Catalogue!$F$15*C184/'Tính chọn'!$D$23)</f>
        <v>-1.414701728801854</v>
      </c>
      <c r="H184" s="43">
        <f>F184*D184/'Tính chọn'!$D$23</f>
        <v>-387.08460156864464</v>
      </c>
    </row>
    <row r="185" spans="1:8" x14ac:dyDescent="0.2">
      <c r="A185" s="39">
        <f>171*$B$5</f>
        <v>1.71</v>
      </c>
      <c r="B185" s="40">
        <f>IF(A185&lt;$F$4,GiaDinh_K3!$D$12,IF(A185&lt;$F$5,0,IF(A185&lt;$F$6,-GiaDinh_K3!$D$12,IF(A185&lt;$F$7,0,IF(A185&lt;$F$8,-GiaDinh_K3!$D$12,IF(A185&lt;$F$9,0,IF(A185&lt;$F$10,GiaDinh_K3!$D$12,0)))))))</f>
        <v>-1.8</v>
      </c>
      <c r="C185" s="41">
        <f>IF(A185&lt;$F$4,GiaDinh_K3!$D$12*A185,IF(A185&lt;$F$5,GiaDinh_K3!$D$11,IF(A185&lt;$F$6,GiaDinh_K3!$D$11-GiaDinh_K3!$D$12*(A185-$F$5),IF(A185&lt;$F$7,0,IF(A185&lt;$F$8,-GiaDinh_K3!$D$12*(A185-$F$7),IF(A185&lt;$F$9,-GiaDinh_K3!$D$11,IF(A185&lt;$F$10,-GiaDinh_K3!$D$11+GiaDinh_K3!$D$12*(A185-$F$9),0)))))))</f>
        <v>-0.34800000000000003</v>
      </c>
      <c r="D185" s="44">
        <f t="shared" si="4"/>
        <v>8.6339999999999889E-2</v>
      </c>
      <c r="E185" s="44">
        <f t="shared" si="5"/>
        <v>0.17202029999999977</v>
      </c>
      <c r="F185" s="40">
        <f>IF(A185&gt;$F$10,0,IF((Params!$C$21+GiaDinh_K3!$D$8*Params!$C$5*C185)&gt;=0,(Params!$C$21+GiaDinh_K3!$D$8*Params!$C$5*C185)*'Tính chọn'!$D$23/Params!$C$16,(Params!$C$21+GiaDinh_K3!$D$8*Params!$C$5*C185)*'Tính chọn'!$D$23*Params!$C$16)+Catalogue!$F$15*C185/'Tính chọn'!$D$23)</f>
        <v>-3.7434651971652375</v>
      </c>
      <c r="G185" s="40">
        <f>IF(A185&gt;$F$10,0,IF(('Tính chọn'!$D$6+GiaDinh_K3!$D$8*Params!$C$6*C185)&gt;=0,('Tính chọn'!$D$6+GiaDinh_K3!$D$8*Params!$C$6*C185)*'Tính chọn'!$D$23/Params!$C$16,('Tính chọn'!$D$6+GiaDinh_K3!$D$8*Params!$C$6*C185)*'Tính chọn'!$D$23*Params!$C$16)+Catalogue!$F$15*C185/'Tính chọn'!$D$23)</f>
        <v>-1.5036208315800697</v>
      </c>
      <c r="H185" s="43">
        <f>F185*D185/'Tính chọn'!$D$23</f>
        <v>-401.66050688836049</v>
      </c>
    </row>
    <row r="186" spans="1:8" x14ac:dyDescent="0.2">
      <c r="A186" s="39">
        <f>172*$B$5</f>
        <v>1.72</v>
      </c>
      <c r="B186" s="40">
        <f>IF(A186&lt;$F$4,GiaDinh_K3!$D$12,IF(A186&lt;$F$5,0,IF(A186&lt;$F$6,-GiaDinh_K3!$D$12,IF(A186&lt;$F$7,0,IF(A186&lt;$F$8,-GiaDinh_K3!$D$12,IF(A186&lt;$F$9,0,IF(A186&lt;$F$10,GiaDinh_K3!$D$12,0)))))))</f>
        <v>-1.8</v>
      </c>
      <c r="C186" s="41">
        <f>IF(A186&lt;$F$4,GiaDinh_K3!$D$12*A186,IF(A186&lt;$F$5,GiaDinh_K3!$D$11,IF(A186&lt;$F$6,GiaDinh_K3!$D$11-GiaDinh_K3!$D$12*(A186-$F$5),IF(A186&lt;$F$7,0,IF(A186&lt;$F$8,-GiaDinh_K3!$D$12*(A186-$F$7),IF(A186&lt;$F$9,-GiaDinh_K3!$D$11,IF(A186&lt;$F$10,-GiaDinh_K3!$D$11+GiaDinh_K3!$D$12*(A186-$F$9),0)))))))</f>
        <v>-0.36600000000000005</v>
      </c>
      <c r="D186" s="44">
        <f t="shared" si="4"/>
        <v>8.2769999999999885E-2</v>
      </c>
      <c r="E186" s="44">
        <f t="shared" si="5"/>
        <v>0.17286584999999977</v>
      </c>
      <c r="F186" s="40">
        <f>IF(A186&gt;$F$10,0,IF((Params!$C$21+GiaDinh_K3!$D$8*Params!$C$5*C186)&gt;=0,(Params!$C$21+GiaDinh_K3!$D$8*Params!$C$5*C186)*'Tính chọn'!$D$23/Params!$C$16,(Params!$C$21+GiaDinh_K3!$D$8*Params!$C$5*C186)*'Tính chọn'!$D$23*Params!$C$16)+Catalogue!$F$15*C186/'Tính chọn'!$D$23)</f>
        <v>-4.0156080832574741</v>
      </c>
      <c r="G186" s="40">
        <f>IF(A186&gt;$F$10,0,IF(('Tính chọn'!$D$6+GiaDinh_K3!$D$8*Params!$C$6*C186)&gt;=0,('Tính chọn'!$D$6+GiaDinh_K3!$D$8*Params!$C$6*C186)*'Tính chọn'!$D$23/Params!$C$16,('Tính chọn'!$D$6+GiaDinh_K3!$D$8*Params!$C$6*C186)*'Tính chọn'!$D$23*Params!$C$16)+Catalogue!$F$15*C186/'Tính chọn'!$D$23)</f>
        <v>-1.5925399343582853</v>
      </c>
      <c r="H186" s="43">
        <f>F186*D186/'Tính chọn'!$D$23</f>
        <v>-413.04518401997296</v>
      </c>
    </row>
    <row r="187" spans="1:8" x14ac:dyDescent="0.2">
      <c r="A187" s="39">
        <f>173*$B$5</f>
        <v>1.73</v>
      </c>
      <c r="B187" s="40">
        <f>IF(A187&lt;$F$4,GiaDinh_K3!$D$12,IF(A187&lt;$F$5,0,IF(A187&lt;$F$6,-GiaDinh_K3!$D$12,IF(A187&lt;$F$7,0,IF(A187&lt;$F$8,-GiaDinh_K3!$D$12,IF(A187&lt;$F$9,0,IF(A187&lt;$F$10,GiaDinh_K3!$D$12,0)))))))</f>
        <v>-1.8</v>
      </c>
      <c r="C187" s="41">
        <f>IF(A187&lt;$F$4,GiaDinh_K3!$D$12*A187,IF(A187&lt;$F$5,GiaDinh_K3!$D$11,IF(A187&lt;$F$6,GiaDinh_K3!$D$11-GiaDinh_K3!$D$12*(A187-$F$5),IF(A187&lt;$F$7,0,IF(A187&lt;$F$8,-GiaDinh_K3!$D$12*(A187-$F$7),IF(A187&lt;$F$9,-GiaDinh_K3!$D$11,IF(A187&lt;$F$10,-GiaDinh_K3!$D$11+GiaDinh_K3!$D$12*(A187-$F$9),0)))))))</f>
        <v>-0.38400000000000006</v>
      </c>
      <c r="D187" s="44">
        <f t="shared" si="4"/>
        <v>7.9019999999999882E-2</v>
      </c>
      <c r="E187" s="44">
        <f t="shared" si="5"/>
        <v>0.17367479999999977</v>
      </c>
      <c r="F187" s="40">
        <f>IF(A187&gt;$F$10,0,IF((Params!$C$21+GiaDinh_K3!$D$8*Params!$C$5*C187)&gt;=0,(Params!$C$21+GiaDinh_K3!$D$8*Params!$C$5*C187)*'Tính chọn'!$D$23/Params!$C$16,(Params!$C$21+GiaDinh_K3!$D$8*Params!$C$5*C187)*'Tính chọn'!$D$23*Params!$C$16)+Catalogue!$F$15*C187/'Tính chọn'!$D$23)</f>
        <v>-4.2877509693497107</v>
      </c>
      <c r="G187" s="40">
        <f>IF(A187&gt;$F$10,0,IF(('Tính chọn'!$D$6+GiaDinh_K3!$D$8*Params!$C$6*C187)&gt;=0,('Tính chọn'!$D$6+GiaDinh_K3!$D$8*Params!$C$6*C187)*'Tính chọn'!$D$23/Params!$C$16,('Tính chọn'!$D$6+GiaDinh_K3!$D$8*Params!$C$6*C187)*'Tính chọn'!$D$23*Params!$C$16)+Catalogue!$F$15*C187/'Tính chọn'!$D$23)</f>
        <v>-1.6814590371365008</v>
      </c>
      <c r="H187" s="43">
        <f>F187*D187/'Tính chọn'!$D$23</f>
        <v>-421.0560063634835</v>
      </c>
    </row>
    <row r="188" spans="1:8" x14ac:dyDescent="0.2">
      <c r="A188" s="39">
        <f>174*$B$5</f>
        <v>1.74</v>
      </c>
      <c r="B188" s="40">
        <f>IF(A188&lt;$F$4,GiaDinh_K3!$D$12,IF(A188&lt;$F$5,0,IF(A188&lt;$F$6,-GiaDinh_K3!$D$12,IF(A188&lt;$F$7,0,IF(A188&lt;$F$8,-GiaDinh_K3!$D$12,IF(A188&lt;$F$9,0,IF(A188&lt;$F$10,GiaDinh_K3!$D$12,0)))))))</f>
        <v>-1.8</v>
      </c>
      <c r="C188" s="41">
        <f>IF(A188&lt;$F$4,GiaDinh_K3!$D$12*A188,IF(A188&lt;$F$5,GiaDinh_K3!$D$11,IF(A188&lt;$F$6,GiaDinh_K3!$D$11-GiaDinh_K3!$D$12*(A188-$F$5),IF(A188&lt;$F$7,0,IF(A188&lt;$F$8,-GiaDinh_K3!$D$12*(A188-$F$7),IF(A188&lt;$F$9,-GiaDinh_K3!$D$11,IF(A188&lt;$F$10,-GiaDinh_K3!$D$11+GiaDinh_K3!$D$12*(A188-$F$9),0)))))))</f>
        <v>-0.40200000000000008</v>
      </c>
      <c r="D188" s="44">
        <f t="shared" si="4"/>
        <v>7.5089999999999879E-2</v>
      </c>
      <c r="E188" s="44">
        <f t="shared" si="5"/>
        <v>0.17444534999999978</v>
      </c>
      <c r="F188" s="40">
        <f>IF(A188&gt;$F$10,0,IF((Params!$C$21+GiaDinh_K3!$D$8*Params!$C$5*C188)&gt;=0,(Params!$C$21+GiaDinh_K3!$D$8*Params!$C$5*C188)*'Tính chọn'!$D$23/Params!$C$16,(Params!$C$21+GiaDinh_K3!$D$8*Params!$C$5*C188)*'Tính chọn'!$D$23*Params!$C$16)+Catalogue!$F$15*C188/'Tính chọn'!$D$23)</f>
        <v>-4.5598938554419473</v>
      </c>
      <c r="G188" s="40">
        <f>IF(A188&gt;$F$10,0,IF(('Tính chọn'!$D$6+GiaDinh_K3!$D$8*Params!$C$6*C188)&gt;=0,('Tính chọn'!$D$6+GiaDinh_K3!$D$8*Params!$C$6*C188)*'Tính chọn'!$D$23/Params!$C$16,('Tính chọn'!$D$6+GiaDinh_K3!$D$8*Params!$C$6*C188)*'Tính chọn'!$D$23*Params!$C$16)+Catalogue!$F$15*C188/'Tính chọn'!$D$23)</f>
        <v>-1.7703781399147165</v>
      </c>
      <c r="H188" s="43">
        <f>F188*D188/'Tính chọn'!$D$23</f>
        <v>-425.51034731889371</v>
      </c>
    </row>
    <row r="189" spans="1:8" x14ac:dyDescent="0.2">
      <c r="A189" s="39">
        <f>175*$B$5</f>
        <v>1.75</v>
      </c>
      <c r="B189" s="40">
        <f>IF(A189&lt;$F$4,GiaDinh_K3!$D$12,IF(A189&lt;$F$5,0,IF(A189&lt;$F$6,-GiaDinh_K3!$D$12,IF(A189&lt;$F$7,0,IF(A189&lt;$F$8,-GiaDinh_K3!$D$12,IF(A189&lt;$F$9,0,IF(A189&lt;$F$10,GiaDinh_K3!$D$12,0)))))))</f>
        <v>-1.8</v>
      </c>
      <c r="C189" s="41">
        <f>IF(A189&lt;$F$4,GiaDinh_K3!$D$12*A189,IF(A189&lt;$F$5,GiaDinh_K3!$D$11,IF(A189&lt;$F$6,GiaDinh_K3!$D$11-GiaDinh_K3!$D$12*(A189-$F$5),IF(A189&lt;$F$7,0,IF(A189&lt;$F$8,-GiaDinh_K3!$D$12*(A189-$F$7),IF(A189&lt;$F$9,-GiaDinh_K3!$D$11,IF(A189&lt;$F$10,-GiaDinh_K3!$D$11+GiaDinh_K3!$D$12*(A189-$F$9),0)))))))</f>
        <v>-0.4200000000000001</v>
      </c>
      <c r="D189" s="44">
        <f t="shared" si="4"/>
        <v>7.0979999999999877E-2</v>
      </c>
      <c r="E189" s="44">
        <f t="shared" si="5"/>
        <v>0.17517569999999977</v>
      </c>
      <c r="F189" s="40">
        <f>IF(A189&gt;$F$10,0,IF((Params!$C$21+GiaDinh_K3!$D$8*Params!$C$5*C189)&gt;=0,(Params!$C$21+GiaDinh_K3!$D$8*Params!$C$5*C189)*'Tính chọn'!$D$23/Params!$C$16,(Params!$C$21+GiaDinh_K3!$D$8*Params!$C$5*C189)*'Tính chọn'!$D$23*Params!$C$16)+Catalogue!$F$15*C189/'Tính chọn'!$D$23)</f>
        <v>-4.8320367415341838</v>
      </c>
      <c r="G189" s="40">
        <f>IF(A189&gt;$F$10,0,IF(('Tính chọn'!$D$6+GiaDinh_K3!$D$8*Params!$C$6*C189)&gt;=0,('Tính chọn'!$D$6+GiaDinh_K3!$D$8*Params!$C$6*C189)*'Tính chọn'!$D$23/Params!$C$16,('Tính chọn'!$D$6+GiaDinh_K3!$D$8*Params!$C$6*C189)*'Tính chọn'!$D$23*Params!$C$16)+Catalogue!$F$15*C189/'Tính chọn'!$D$23)</f>
        <v>-1.8592972426929322</v>
      </c>
      <c r="H189" s="43">
        <f>F189*D189/'Tính chọn'!$D$23</f>
        <v>-426.22558028620512</v>
      </c>
    </row>
    <row r="190" spans="1:8" x14ac:dyDescent="0.2">
      <c r="A190" s="39">
        <f>176*$B$5</f>
        <v>1.76</v>
      </c>
      <c r="B190" s="40">
        <f>IF(A190&lt;$F$4,GiaDinh_K3!$D$12,IF(A190&lt;$F$5,0,IF(A190&lt;$F$6,-GiaDinh_K3!$D$12,IF(A190&lt;$F$7,0,IF(A190&lt;$F$8,-GiaDinh_K3!$D$12,IF(A190&lt;$F$9,0,IF(A190&lt;$F$10,GiaDinh_K3!$D$12,0)))))))</f>
        <v>-1.8</v>
      </c>
      <c r="C190" s="41">
        <f>IF(A190&lt;$F$4,GiaDinh_K3!$D$12*A190,IF(A190&lt;$F$5,GiaDinh_K3!$D$11,IF(A190&lt;$F$6,GiaDinh_K3!$D$11-GiaDinh_K3!$D$12*(A190-$F$5),IF(A190&lt;$F$7,0,IF(A190&lt;$F$8,-GiaDinh_K3!$D$12*(A190-$F$7),IF(A190&lt;$F$9,-GiaDinh_K3!$D$11,IF(A190&lt;$F$10,-GiaDinh_K3!$D$11+GiaDinh_K3!$D$12*(A190-$F$9),0)))))))</f>
        <v>-0.43800000000000011</v>
      </c>
      <c r="D190" s="44">
        <f t="shared" si="4"/>
        <v>6.6689999999999874E-2</v>
      </c>
      <c r="E190" s="44">
        <f t="shared" si="5"/>
        <v>0.17586404999999977</v>
      </c>
      <c r="F190" s="40">
        <f>IF(A190&gt;$F$10,0,IF((Params!$C$21+GiaDinh_K3!$D$8*Params!$C$5*C190)&gt;=0,(Params!$C$21+GiaDinh_K3!$D$8*Params!$C$5*C190)*'Tính chọn'!$D$23/Params!$C$16,(Params!$C$21+GiaDinh_K3!$D$8*Params!$C$5*C190)*'Tính chọn'!$D$23*Params!$C$16)+Catalogue!$F$15*C190/'Tính chọn'!$D$23)</f>
        <v>-5.1041796276264204</v>
      </c>
      <c r="G190" s="40">
        <f>IF(A190&gt;$F$10,0,IF(('Tính chọn'!$D$6+GiaDinh_K3!$D$8*Params!$C$6*C190)&gt;=0,('Tính chọn'!$D$6+GiaDinh_K3!$D$8*Params!$C$6*C190)*'Tính chọn'!$D$23/Params!$C$16,('Tính chọn'!$D$6+GiaDinh_K3!$D$8*Params!$C$6*C190)*'Tính chọn'!$D$23*Params!$C$16)+Catalogue!$F$15*C190/'Tính chọn'!$D$23)</f>
        <v>-1.9482163454711474</v>
      </c>
      <c r="H190" s="43">
        <f>F190*D190/'Tính chọn'!$D$23</f>
        <v>-423.01907866541922</v>
      </c>
    </row>
    <row r="191" spans="1:8" x14ac:dyDescent="0.2">
      <c r="A191" s="39">
        <f>177*$B$5</f>
        <v>1.77</v>
      </c>
      <c r="B191" s="40">
        <f>IF(A191&lt;$F$4,GiaDinh_K3!$D$12,IF(A191&lt;$F$5,0,IF(A191&lt;$F$6,-GiaDinh_K3!$D$12,IF(A191&lt;$F$7,0,IF(A191&lt;$F$8,-GiaDinh_K3!$D$12,IF(A191&lt;$F$9,0,IF(A191&lt;$F$10,GiaDinh_K3!$D$12,0)))))))</f>
        <v>0</v>
      </c>
      <c r="C191" s="41">
        <f>IF(A191&lt;$F$4,GiaDinh_K3!$D$12*A191,IF(A191&lt;$F$5,GiaDinh_K3!$D$11,IF(A191&lt;$F$6,GiaDinh_K3!$D$11-GiaDinh_K3!$D$12*(A191-$F$5),IF(A191&lt;$F$7,0,IF(A191&lt;$F$8,-GiaDinh_K3!$D$12*(A191-$F$7),IF(A191&lt;$F$9,-GiaDinh_K3!$D$11,IF(A191&lt;$F$10,-GiaDinh_K3!$D$11+GiaDinh_K3!$D$12*(A191-$F$9),0)))))))</f>
        <v>-0.45</v>
      </c>
      <c r="D191" s="44">
        <f t="shared" si="4"/>
        <v>6.2249999999999875E-2</v>
      </c>
      <c r="E191" s="44">
        <f t="shared" si="5"/>
        <v>0.17650874999999977</v>
      </c>
      <c r="F191" s="40">
        <f>IF(A191&gt;$F$10,0,IF((Params!$C$21+GiaDinh_K3!$D$8*Params!$C$5*C191)&gt;=0,(Params!$C$21+GiaDinh_K3!$D$8*Params!$C$5*C191)*'Tính chọn'!$D$23/Params!$C$16,(Params!$C$21+GiaDinh_K3!$D$8*Params!$C$5*C191)*'Tính chọn'!$D$23*Params!$C$16)+Catalogue!$F$15*C191/'Tính chọn'!$D$23)</f>
        <v>-5.2856082183545769</v>
      </c>
      <c r="G191" s="40">
        <f>IF(A191&gt;$F$10,0,IF(('Tính chọn'!$D$6+GiaDinh_K3!$D$8*Params!$C$6*C191)&gt;=0,('Tính chọn'!$D$6+GiaDinh_K3!$D$8*Params!$C$6*C191)*'Tính chọn'!$D$23/Params!$C$16,('Tính chọn'!$D$6+GiaDinh_K3!$D$8*Params!$C$6*C191)*'Tính chọn'!$D$23*Params!$C$16)+Catalogue!$F$15*C191/'Tính chọn'!$D$23)</f>
        <v>-2.0074957473232908</v>
      </c>
      <c r="H191" s="43">
        <f>F191*D191/'Tính chọn'!$D$23</f>
        <v>-408.89105755832077</v>
      </c>
    </row>
    <row r="192" spans="1:8" x14ac:dyDescent="0.2">
      <c r="A192" s="39">
        <f>178*$B$5</f>
        <v>1.78</v>
      </c>
      <c r="B192" s="40">
        <f>IF(A192&lt;$F$4,GiaDinh_K3!$D$12,IF(A192&lt;$F$5,0,IF(A192&lt;$F$6,-GiaDinh_K3!$D$12,IF(A192&lt;$F$7,0,IF(A192&lt;$F$8,-GiaDinh_K3!$D$12,IF(A192&lt;$F$9,0,IF(A192&lt;$F$10,GiaDinh_K3!$D$12,0)))))))</f>
        <v>0</v>
      </c>
      <c r="C192" s="41">
        <f>IF(A192&lt;$F$4,GiaDinh_K3!$D$12*A192,IF(A192&lt;$F$5,GiaDinh_K3!$D$11,IF(A192&lt;$F$6,GiaDinh_K3!$D$11-GiaDinh_K3!$D$12*(A192-$F$5),IF(A192&lt;$F$7,0,IF(A192&lt;$F$8,-GiaDinh_K3!$D$12*(A192-$F$7),IF(A192&lt;$F$9,-GiaDinh_K3!$D$11,IF(A192&lt;$F$10,-GiaDinh_K3!$D$11+GiaDinh_K3!$D$12*(A192-$F$9),0)))))))</f>
        <v>-0.45</v>
      </c>
      <c r="D192" s="44">
        <f t="shared" si="4"/>
        <v>5.7749999999999871E-2</v>
      </c>
      <c r="E192" s="44">
        <f t="shared" si="5"/>
        <v>0.17710874999999976</v>
      </c>
      <c r="F192" s="40">
        <f>IF(A192&gt;$F$10,0,IF((Params!$C$21+GiaDinh_K3!$D$8*Params!$C$5*C192)&gt;=0,(Params!$C$21+GiaDinh_K3!$D$8*Params!$C$5*C192)*'Tính chọn'!$D$23/Params!$C$16,(Params!$C$21+GiaDinh_K3!$D$8*Params!$C$5*C192)*'Tính chọn'!$D$23*Params!$C$16)+Catalogue!$F$15*C192/'Tính chọn'!$D$23)</f>
        <v>-5.2856082183545769</v>
      </c>
      <c r="G192" s="40">
        <f>IF(A192&gt;$F$10,0,IF(('Tính chọn'!$D$6+GiaDinh_K3!$D$8*Params!$C$6*C192)&gt;=0,('Tính chọn'!$D$6+GiaDinh_K3!$D$8*Params!$C$6*C192)*'Tính chọn'!$D$23/Params!$C$16,('Tính chọn'!$D$6+GiaDinh_K3!$D$8*Params!$C$6*C192)*'Tính chọn'!$D$23*Params!$C$16)+Catalogue!$F$15*C192/'Tính chọn'!$D$23)</f>
        <v>-2.0074957473232908</v>
      </c>
      <c r="H192" s="43">
        <f>F192*D192/'Tính chọn'!$D$23</f>
        <v>-379.33266785530952</v>
      </c>
    </row>
    <row r="193" spans="1:8" x14ac:dyDescent="0.2">
      <c r="A193" s="39">
        <f>179*$B$5</f>
        <v>1.79</v>
      </c>
      <c r="B193" s="40">
        <f>IF(A193&lt;$F$4,GiaDinh_K3!$D$12,IF(A193&lt;$F$5,0,IF(A193&lt;$F$6,-GiaDinh_K3!$D$12,IF(A193&lt;$F$7,0,IF(A193&lt;$F$8,-GiaDinh_K3!$D$12,IF(A193&lt;$F$9,0,IF(A193&lt;$F$10,GiaDinh_K3!$D$12,0)))))))</f>
        <v>1.8</v>
      </c>
      <c r="C193" s="41">
        <f>IF(A193&lt;$F$4,GiaDinh_K3!$D$12*A193,IF(A193&lt;$F$5,GiaDinh_K3!$D$11,IF(A193&lt;$F$6,GiaDinh_K3!$D$11-GiaDinh_K3!$D$12*(A193-$F$5),IF(A193&lt;$F$7,0,IF(A193&lt;$F$8,-GiaDinh_K3!$D$12*(A193-$F$7),IF(A193&lt;$F$9,-GiaDinh_K3!$D$11,IF(A193&lt;$F$10,-GiaDinh_K3!$D$11+GiaDinh_K3!$D$12*(A193-$F$9),0)))))))</f>
        <v>-0.43799999999999972</v>
      </c>
      <c r="D193" s="44">
        <f t="shared" si="4"/>
        <v>5.3309999999999871E-2</v>
      </c>
      <c r="E193" s="44">
        <f t="shared" si="5"/>
        <v>0.17766404999999977</v>
      </c>
      <c r="F193" s="40">
        <f>IF(A193&gt;$F$10,0,IF((Params!$C$21+GiaDinh_K3!$D$8*Params!$C$5*C193)&gt;=0,(Params!$C$21+GiaDinh_K3!$D$8*Params!$C$5*C193)*'Tính chọn'!$D$23/Params!$C$16,(Params!$C$21+GiaDinh_K3!$D$8*Params!$C$5*C193)*'Tính chọn'!$D$23*Params!$C$16)+Catalogue!$F$15*C193/'Tính chọn'!$D$23)</f>
        <v>-5.1041796276264151</v>
      </c>
      <c r="G193" s="40">
        <f>IF(A193&gt;$F$10,0,IF(('Tính chọn'!$D$6+GiaDinh_K3!$D$8*Params!$C$6*C193)&gt;=0,('Tính chọn'!$D$6+GiaDinh_K3!$D$8*Params!$C$6*C193)*'Tính chọn'!$D$23/Params!$C$16,('Tính chọn'!$D$6+GiaDinh_K3!$D$8*Params!$C$6*C193)*'Tính chọn'!$D$23*Params!$C$16)+Catalogue!$F$15*C193/'Tính chọn'!$D$23)</f>
        <v>-1.9482163454711459</v>
      </c>
      <c r="H193" s="43">
        <f>F193*D193/'Tính chọn'!$D$23</f>
        <v>-338.1488541558474</v>
      </c>
    </row>
    <row r="194" spans="1:8" x14ac:dyDescent="0.2">
      <c r="A194" s="39">
        <f>180*$B$5</f>
        <v>1.8</v>
      </c>
      <c r="B194" s="40">
        <f>IF(A194&lt;$F$4,GiaDinh_K3!$D$12,IF(A194&lt;$F$5,0,IF(A194&lt;$F$6,-GiaDinh_K3!$D$12,IF(A194&lt;$F$7,0,IF(A194&lt;$F$8,-GiaDinh_K3!$D$12,IF(A194&lt;$F$9,0,IF(A194&lt;$F$10,GiaDinh_K3!$D$12,0)))))))</f>
        <v>1.8</v>
      </c>
      <c r="C194" s="41">
        <f>IF(A194&lt;$F$4,GiaDinh_K3!$D$12*A194,IF(A194&lt;$F$5,GiaDinh_K3!$D$11,IF(A194&lt;$F$6,GiaDinh_K3!$D$11-GiaDinh_K3!$D$12*(A194-$F$5),IF(A194&lt;$F$7,0,IF(A194&lt;$F$8,-GiaDinh_K3!$D$12*(A194-$F$7),IF(A194&lt;$F$9,-GiaDinh_K3!$D$11,IF(A194&lt;$F$10,-GiaDinh_K3!$D$11+GiaDinh_K3!$D$12*(A194-$F$9),0)))))))</f>
        <v>-0.41999999999999971</v>
      </c>
      <c r="D194" s="44">
        <f t="shared" si="4"/>
        <v>4.9019999999999876E-2</v>
      </c>
      <c r="E194" s="44">
        <f t="shared" si="5"/>
        <v>0.17817569999999977</v>
      </c>
      <c r="F194" s="40">
        <f>IF(A194&gt;$F$10,0,IF((Params!$C$21+GiaDinh_K3!$D$8*Params!$C$5*C194)&gt;=0,(Params!$C$21+GiaDinh_K3!$D$8*Params!$C$5*C194)*'Tính chọn'!$D$23/Params!$C$16,(Params!$C$21+GiaDinh_K3!$D$8*Params!$C$5*C194)*'Tính chọn'!$D$23*Params!$C$16)+Catalogue!$F$15*C194/'Tính chọn'!$D$23)</f>
        <v>-4.8320367415341785</v>
      </c>
      <c r="G194" s="40">
        <f>IF(A194&gt;$F$10,0,IF(('Tính chọn'!$D$6+GiaDinh_K3!$D$8*Params!$C$6*C194)&gt;=0,('Tính chọn'!$D$6+GiaDinh_K3!$D$8*Params!$C$6*C194)*'Tính chọn'!$D$23/Params!$C$16,('Tính chọn'!$D$6+GiaDinh_K3!$D$8*Params!$C$6*C194)*'Tính chọn'!$D$23*Params!$C$16)+Catalogue!$F$15*C194/'Tính chọn'!$D$23)</f>
        <v>-1.8592972426929302</v>
      </c>
      <c r="H194" s="43">
        <f>F194*D194/'Tính chọn'!$D$23</f>
        <v>-294.35866364651639</v>
      </c>
    </row>
    <row r="195" spans="1:8" x14ac:dyDescent="0.2">
      <c r="A195" s="39">
        <f>181*$B$5</f>
        <v>1.81</v>
      </c>
      <c r="B195" s="40">
        <f>IF(A195&lt;$F$4,GiaDinh_K3!$D$12,IF(A195&lt;$F$5,0,IF(A195&lt;$F$6,-GiaDinh_K3!$D$12,IF(A195&lt;$F$7,0,IF(A195&lt;$F$8,-GiaDinh_K3!$D$12,IF(A195&lt;$F$9,0,IF(A195&lt;$F$10,GiaDinh_K3!$D$12,0)))))))</f>
        <v>1.8</v>
      </c>
      <c r="C195" s="41">
        <f>IF(A195&lt;$F$4,GiaDinh_K3!$D$12*A195,IF(A195&lt;$F$5,GiaDinh_K3!$D$11,IF(A195&lt;$F$6,GiaDinh_K3!$D$11-GiaDinh_K3!$D$12*(A195-$F$5),IF(A195&lt;$F$7,0,IF(A195&lt;$F$8,-GiaDinh_K3!$D$12*(A195-$F$7),IF(A195&lt;$F$9,-GiaDinh_K3!$D$11,IF(A195&lt;$F$10,-GiaDinh_K3!$D$11+GiaDinh_K3!$D$12*(A195-$F$9),0)))))))</f>
        <v>-0.40199999999999969</v>
      </c>
      <c r="D195" s="44">
        <f t="shared" si="4"/>
        <v>4.4909999999999881E-2</v>
      </c>
      <c r="E195" s="44">
        <f t="shared" si="5"/>
        <v>0.17864534999999976</v>
      </c>
      <c r="F195" s="40">
        <f>IF(A195&gt;$F$10,0,IF((Params!$C$21+GiaDinh_K3!$D$8*Params!$C$5*C195)&gt;=0,(Params!$C$21+GiaDinh_K3!$D$8*Params!$C$5*C195)*'Tính chọn'!$D$23/Params!$C$16,(Params!$C$21+GiaDinh_K3!$D$8*Params!$C$5*C195)*'Tính chọn'!$D$23*Params!$C$16)+Catalogue!$F$15*C195/'Tính chọn'!$D$23)</f>
        <v>-4.5598938554419419</v>
      </c>
      <c r="G195" s="40">
        <f>IF(A195&gt;$F$10,0,IF(('Tính chọn'!$D$6+GiaDinh_K3!$D$8*Params!$C$6*C195)&gt;=0,('Tính chọn'!$D$6+GiaDinh_K3!$D$8*Params!$C$6*C195)*'Tính chọn'!$D$23/Params!$C$16,('Tính chọn'!$D$6+GiaDinh_K3!$D$8*Params!$C$6*C195)*'Tính chọn'!$D$23*Params!$C$16)+Catalogue!$F$15*C195/'Tính chọn'!$D$23)</f>
        <v>-1.7703781399147145</v>
      </c>
      <c r="H195" s="43">
        <f>F195*D195/'Tính chọn'!$D$23</f>
        <v>-254.49020772528266</v>
      </c>
    </row>
    <row r="196" spans="1:8" x14ac:dyDescent="0.2">
      <c r="A196" s="39">
        <f>182*$B$5</f>
        <v>1.82</v>
      </c>
      <c r="B196" s="40">
        <f>IF(A196&lt;$F$4,GiaDinh_K3!$D$12,IF(A196&lt;$F$5,0,IF(A196&lt;$F$6,-GiaDinh_K3!$D$12,IF(A196&lt;$F$7,0,IF(A196&lt;$F$8,-GiaDinh_K3!$D$12,IF(A196&lt;$F$9,0,IF(A196&lt;$F$10,GiaDinh_K3!$D$12,0)))))))</f>
        <v>1.8</v>
      </c>
      <c r="C196" s="41">
        <f>IF(A196&lt;$F$4,GiaDinh_K3!$D$12*A196,IF(A196&lt;$F$5,GiaDinh_K3!$D$11,IF(A196&lt;$F$6,GiaDinh_K3!$D$11-GiaDinh_K3!$D$12*(A196-$F$5),IF(A196&lt;$F$7,0,IF(A196&lt;$F$8,-GiaDinh_K3!$D$12*(A196-$F$7),IF(A196&lt;$F$9,-GiaDinh_K3!$D$11,IF(A196&lt;$F$10,-GiaDinh_K3!$D$11+GiaDinh_K3!$D$12*(A196-$F$9),0)))))))</f>
        <v>-0.38399999999999967</v>
      </c>
      <c r="D196" s="44">
        <f t="shared" si="4"/>
        <v>4.0979999999999885E-2</v>
      </c>
      <c r="E196" s="44">
        <f t="shared" si="5"/>
        <v>0.17907479999999976</v>
      </c>
      <c r="F196" s="40">
        <f>IF(A196&gt;$F$10,0,IF((Params!$C$21+GiaDinh_K3!$D$8*Params!$C$5*C196)&gt;=0,(Params!$C$21+GiaDinh_K3!$D$8*Params!$C$5*C196)*'Tính chọn'!$D$23/Params!$C$16,(Params!$C$21+GiaDinh_K3!$D$8*Params!$C$5*C196)*'Tính chọn'!$D$23*Params!$C$16)+Catalogue!$F$15*C196/'Tính chọn'!$D$23)</f>
        <v>-4.2877509693497053</v>
      </c>
      <c r="G196" s="40">
        <f>IF(A196&gt;$F$10,0,IF(('Tính chọn'!$D$6+GiaDinh_K3!$D$8*Params!$C$6*C196)&gt;=0,('Tính chọn'!$D$6+GiaDinh_K3!$D$8*Params!$C$6*C196)*'Tính chọn'!$D$23/Params!$C$16,('Tính chọn'!$D$6+GiaDinh_K3!$D$8*Params!$C$6*C196)*'Tính chọn'!$D$23*Params!$C$16)+Catalogue!$F$15*C196/'Tính chọn'!$D$23)</f>
        <v>-1.6814590371364988</v>
      </c>
      <c r="H196" s="43">
        <f>F196*D196/'Tính chọn'!$D$23</f>
        <v>-218.36085979214766</v>
      </c>
    </row>
    <row r="197" spans="1:8" x14ac:dyDescent="0.2">
      <c r="A197" s="39">
        <f>183*$B$5</f>
        <v>1.83</v>
      </c>
      <c r="B197" s="40">
        <f>IF(A197&lt;$F$4,GiaDinh_K3!$D$12,IF(A197&lt;$F$5,0,IF(A197&lt;$F$6,-GiaDinh_K3!$D$12,IF(A197&lt;$F$7,0,IF(A197&lt;$F$8,-GiaDinh_K3!$D$12,IF(A197&lt;$F$9,0,IF(A197&lt;$F$10,GiaDinh_K3!$D$12,0)))))))</f>
        <v>1.8</v>
      </c>
      <c r="C197" s="41">
        <f>IF(A197&lt;$F$4,GiaDinh_K3!$D$12*A197,IF(A197&lt;$F$5,GiaDinh_K3!$D$11,IF(A197&lt;$F$6,GiaDinh_K3!$D$11-GiaDinh_K3!$D$12*(A197-$F$5),IF(A197&lt;$F$7,0,IF(A197&lt;$F$8,-GiaDinh_K3!$D$12*(A197-$F$7),IF(A197&lt;$F$9,-GiaDinh_K3!$D$11,IF(A197&lt;$F$10,-GiaDinh_K3!$D$11+GiaDinh_K3!$D$12*(A197-$F$9),0)))))))</f>
        <v>-0.36599999999999966</v>
      </c>
      <c r="D197" s="44">
        <f t="shared" si="4"/>
        <v>3.7229999999999888E-2</v>
      </c>
      <c r="E197" s="44">
        <f t="shared" si="5"/>
        <v>0.17946584999999976</v>
      </c>
      <c r="F197" s="40">
        <f>IF(A197&gt;$F$10,0,IF((Params!$C$21+GiaDinh_K3!$D$8*Params!$C$5*C197)&gt;=0,(Params!$C$21+GiaDinh_K3!$D$8*Params!$C$5*C197)*'Tính chọn'!$D$23/Params!$C$16,(Params!$C$21+GiaDinh_K3!$D$8*Params!$C$5*C197)*'Tính chọn'!$D$23*Params!$C$16)+Catalogue!$F$15*C197/'Tính chọn'!$D$23)</f>
        <v>-4.0156080832574688</v>
      </c>
      <c r="G197" s="40">
        <f>IF(A197&gt;$F$10,0,IF(('Tính chọn'!$D$6+GiaDinh_K3!$D$8*Params!$C$6*C197)&gt;=0,('Tính chọn'!$D$6+GiaDinh_K3!$D$8*Params!$C$6*C197)*'Tính chọn'!$D$23/Params!$C$16,('Tính chọn'!$D$6+GiaDinh_K3!$D$8*Params!$C$6*C197)*'Tính chọn'!$D$23*Params!$C$16)+Catalogue!$F$15*C197/'Tính chọn'!$D$23)</f>
        <v>-1.5925399343582831</v>
      </c>
      <c r="H197" s="43">
        <f>F197*D197/'Tính chọn'!$D$23</f>
        <v>-185.78799324711306</v>
      </c>
    </row>
    <row r="198" spans="1:8" x14ac:dyDescent="0.2">
      <c r="A198" s="39">
        <f>184*$B$5</f>
        <v>1.84</v>
      </c>
      <c r="B198" s="40">
        <f>IF(A198&lt;$F$4,GiaDinh_K3!$D$12,IF(A198&lt;$F$5,0,IF(A198&lt;$F$6,-GiaDinh_K3!$D$12,IF(A198&lt;$F$7,0,IF(A198&lt;$F$8,-GiaDinh_K3!$D$12,IF(A198&lt;$F$9,0,IF(A198&lt;$F$10,GiaDinh_K3!$D$12,0)))))))</f>
        <v>1.8</v>
      </c>
      <c r="C198" s="41">
        <f>IF(A198&lt;$F$4,GiaDinh_K3!$D$12*A198,IF(A198&lt;$F$5,GiaDinh_K3!$D$11,IF(A198&lt;$F$6,GiaDinh_K3!$D$11-GiaDinh_K3!$D$12*(A198-$F$5),IF(A198&lt;$F$7,0,IF(A198&lt;$F$8,-GiaDinh_K3!$D$12*(A198-$F$7),IF(A198&lt;$F$9,-GiaDinh_K3!$D$11,IF(A198&lt;$F$10,-GiaDinh_K3!$D$11+GiaDinh_K3!$D$12*(A198-$F$9),0)))))))</f>
        <v>-0.34799999999999964</v>
      </c>
      <c r="D198" s="44">
        <f t="shared" si="4"/>
        <v>3.3659999999999891E-2</v>
      </c>
      <c r="E198" s="44">
        <f t="shared" si="5"/>
        <v>0.17982029999999977</v>
      </c>
      <c r="F198" s="40">
        <f>IF(A198&gt;$F$10,0,IF((Params!$C$21+GiaDinh_K3!$D$8*Params!$C$5*C198)&gt;=0,(Params!$C$21+GiaDinh_K3!$D$8*Params!$C$5*C198)*'Tính chọn'!$D$23/Params!$C$16,(Params!$C$21+GiaDinh_K3!$D$8*Params!$C$5*C198)*'Tính chọn'!$D$23*Params!$C$16)+Catalogue!$F$15*C198/'Tính chọn'!$D$23)</f>
        <v>-3.7434651971652322</v>
      </c>
      <c r="G198" s="40">
        <f>IF(A198&gt;$F$10,0,IF(('Tính chọn'!$D$6+GiaDinh_K3!$D$8*Params!$C$6*C198)&gt;=0,('Tính chọn'!$D$6+GiaDinh_K3!$D$8*Params!$C$6*C198)*'Tính chọn'!$D$23/Params!$C$16,('Tính chọn'!$D$6+GiaDinh_K3!$D$8*Params!$C$6*C198)*'Tính chọn'!$D$23*Params!$C$16)+Catalogue!$F$15*C198/'Tính chọn'!$D$23)</f>
        <v>-1.5036208315800677</v>
      </c>
      <c r="H198" s="43">
        <f>F198*D198/'Tính chọn'!$D$23</f>
        <v>-156.58898149018034</v>
      </c>
    </row>
    <row r="199" spans="1:8" x14ac:dyDescent="0.2">
      <c r="A199" s="39">
        <f>185*$B$5</f>
        <v>1.85</v>
      </c>
      <c r="B199" s="40">
        <f>IF(A199&lt;$F$4,GiaDinh_K3!$D$12,IF(A199&lt;$F$5,0,IF(A199&lt;$F$6,-GiaDinh_K3!$D$12,IF(A199&lt;$F$7,0,IF(A199&lt;$F$8,-GiaDinh_K3!$D$12,IF(A199&lt;$F$9,0,IF(A199&lt;$F$10,GiaDinh_K3!$D$12,0)))))))</f>
        <v>1.8</v>
      </c>
      <c r="C199" s="41">
        <f>IF(A199&lt;$F$4,GiaDinh_K3!$D$12*A199,IF(A199&lt;$F$5,GiaDinh_K3!$D$11,IF(A199&lt;$F$6,GiaDinh_K3!$D$11-GiaDinh_K3!$D$12*(A199-$F$5),IF(A199&lt;$F$7,0,IF(A199&lt;$F$8,-GiaDinh_K3!$D$12*(A199-$F$7),IF(A199&lt;$F$9,-GiaDinh_K3!$D$11,IF(A199&lt;$F$10,-GiaDinh_K3!$D$11+GiaDinh_K3!$D$12*(A199-$F$9),0)))))))</f>
        <v>-0.32999999999999963</v>
      </c>
      <c r="D199" s="44">
        <f t="shared" si="4"/>
        <v>3.0269999999999894E-2</v>
      </c>
      <c r="E199" s="44">
        <f t="shared" si="5"/>
        <v>0.18013994999999977</v>
      </c>
      <c r="F199" s="40">
        <f>IF(A199&gt;$F$10,0,IF((Params!$C$21+GiaDinh_K3!$D$8*Params!$C$5*C199)&gt;=0,(Params!$C$21+GiaDinh_K3!$D$8*Params!$C$5*C199)*'Tính chọn'!$D$23/Params!$C$16,(Params!$C$21+GiaDinh_K3!$D$8*Params!$C$5*C199)*'Tính chọn'!$D$23*Params!$C$16)+Catalogue!$F$15*C199/'Tính chọn'!$D$23)</f>
        <v>-3.4713223110729956</v>
      </c>
      <c r="G199" s="40">
        <f>IF(A199&gt;$F$10,0,IF(('Tính chọn'!$D$6+GiaDinh_K3!$D$8*Params!$C$6*C199)&gt;=0,('Tính chọn'!$D$6+GiaDinh_K3!$D$8*Params!$C$6*C199)*'Tính chọn'!$D$23/Params!$C$16,('Tính chọn'!$D$6+GiaDinh_K3!$D$8*Params!$C$6*C199)*'Tính chọn'!$D$23*Params!$C$16)+Catalogue!$F$15*C199/'Tính chọn'!$D$23)</f>
        <v>-1.414701728801852</v>
      </c>
      <c r="H199" s="43">
        <f>F199*D199/'Tính chọn'!$D$23</f>
        <v>-130.58119792135102</v>
      </c>
    </row>
    <row r="200" spans="1:8" x14ac:dyDescent="0.2">
      <c r="A200" s="39">
        <f>186*$B$5</f>
        <v>1.86</v>
      </c>
      <c r="B200" s="40">
        <f>IF(A200&lt;$F$4,GiaDinh_K3!$D$12,IF(A200&lt;$F$5,0,IF(A200&lt;$F$6,-GiaDinh_K3!$D$12,IF(A200&lt;$F$7,0,IF(A200&lt;$F$8,-GiaDinh_K3!$D$12,IF(A200&lt;$F$9,0,IF(A200&lt;$F$10,GiaDinh_K3!$D$12,0)))))))</f>
        <v>1.8</v>
      </c>
      <c r="C200" s="41">
        <f>IF(A200&lt;$F$4,GiaDinh_K3!$D$12*A200,IF(A200&lt;$F$5,GiaDinh_K3!$D$11,IF(A200&lt;$F$6,GiaDinh_K3!$D$11-GiaDinh_K3!$D$12*(A200-$F$5),IF(A200&lt;$F$7,0,IF(A200&lt;$F$8,-GiaDinh_K3!$D$12*(A200-$F$7),IF(A200&lt;$F$9,-GiaDinh_K3!$D$11,IF(A200&lt;$F$10,-GiaDinh_K3!$D$11+GiaDinh_K3!$D$12*(A200-$F$9),0)))))))</f>
        <v>-0.31199999999999961</v>
      </c>
      <c r="D200" s="44">
        <f t="shared" si="4"/>
        <v>2.7059999999999897E-2</v>
      </c>
      <c r="E200" s="44">
        <f t="shared" si="5"/>
        <v>0.18042659999999977</v>
      </c>
      <c r="F200" s="40">
        <f>IF(A200&gt;$F$10,0,IF((Params!$C$21+GiaDinh_K3!$D$8*Params!$C$5*C200)&gt;=0,(Params!$C$21+GiaDinh_K3!$D$8*Params!$C$5*C200)*'Tính chọn'!$D$23/Params!$C$16,(Params!$C$21+GiaDinh_K3!$D$8*Params!$C$5*C200)*'Tính chọn'!$D$23*Params!$C$16)+Catalogue!$F$15*C200/'Tính chọn'!$D$23)</f>
        <v>-3.199179424980759</v>
      </c>
      <c r="G200" s="40">
        <f>IF(A200&gt;$F$10,0,IF(('Tính chọn'!$D$6+GiaDinh_K3!$D$8*Params!$C$6*C200)&gt;=0,('Tính chọn'!$D$6+GiaDinh_K3!$D$8*Params!$C$6*C200)*'Tính chọn'!$D$23/Params!$C$16,('Tính chọn'!$D$6+GiaDinh_K3!$D$8*Params!$C$6*C200)*'Tính chọn'!$D$23*Params!$C$16)+Catalogue!$F$15*C200/'Tính chọn'!$D$23)</f>
        <v>-1.3257826260236363</v>
      </c>
      <c r="H200" s="43">
        <f>F200*D200/'Tính chọn'!$D$23</f>
        <v>-107.58201594062672</v>
      </c>
    </row>
    <row r="201" spans="1:8" x14ac:dyDescent="0.2">
      <c r="A201" s="39">
        <f>187*$B$5</f>
        <v>1.87</v>
      </c>
      <c r="B201" s="40">
        <f>IF(A201&lt;$F$4,GiaDinh_K3!$D$12,IF(A201&lt;$F$5,0,IF(A201&lt;$F$6,-GiaDinh_K3!$D$12,IF(A201&lt;$F$7,0,IF(A201&lt;$F$8,-GiaDinh_K3!$D$12,IF(A201&lt;$F$9,0,IF(A201&lt;$F$10,GiaDinh_K3!$D$12,0)))))))</f>
        <v>1.8</v>
      </c>
      <c r="C201" s="41">
        <f>IF(A201&lt;$F$4,GiaDinh_K3!$D$12*A201,IF(A201&lt;$F$5,GiaDinh_K3!$D$11,IF(A201&lt;$F$6,GiaDinh_K3!$D$11-GiaDinh_K3!$D$12*(A201-$F$5),IF(A201&lt;$F$7,0,IF(A201&lt;$F$8,-GiaDinh_K3!$D$12*(A201-$F$7),IF(A201&lt;$F$9,-GiaDinh_K3!$D$11,IF(A201&lt;$F$10,-GiaDinh_K3!$D$11+GiaDinh_K3!$D$12*(A201-$F$9),0)))))))</f>
        <v>-0.29399999999999959</v>
      </c>
      <c r="D201" s="44">
        <f t="shared" si="4"/>
        <v>2.4029999999999899E-2</v>
      </c>
      <c r="E201" s="44">
        <f t="shared" si="5"/>
        <v>0.18068204999999976</v>
      </c>
      <c r="F201" s="40">
        <f>IF(A201&gt;$F$10,0,IF((Params!$C$21+GiaDinh_K3!$D$8*Params!$C$5*C201)&gt;=0,(Params!$C$21+GiaDinh_K3!$D$8*Params!$C$5*C201)*'Tính chọn'!$D$23/Params!$C$16,(Params!$C$21+GiaDinh_K3!$D$8*Params!$C$5*C201)*'Tính chọn'!$D$23*Params!$C$16)+Catalogue!$F$15*C201/'Tính chọn'!$D$23)</f>
        <v>-2.927036538888522</v>
      </c>
      <c r="G201" s="40">
        <f>IF(A201&gt;$F$10,0,IF(('Tính chọn'!$D$6+GiaDinh_K3!$D$8*Params!$C$6*C201)&gt;=0,('Tính chọn'!$D$6+GiaDinh_K3!$D$8*Params!$C$6*C201)*'Tính chọn'!$D$23/Params!$C$16,('Tính chọn'!$D$6+GiaDinh_K3!$D$8*Params!$C$6*C201)*'Tính chọn'!$D$23*Params!$C$16)+Catalogue!$F$15*C201/'Tính chọn'!$D$23)</f>
        <v>-1.2368635232454208</v>
      </c>
      <c r="H201" s="43">
        <f>F201*D201/'Tính chọn'!$D$23</f>
        <v>-87.408808948008911</v>
      </c>
    </row>
    <row r="202" spans="1:8" x14ac:dyDescent="0.2">
      <c r="A202" s="39">
        <f>188*$B$5</f>
        <v>1.8800000000000001</v>
      </c>
      <c r="B202" s="40">
        <f>IF(A202&lt;$F$4,GiaDinh_K3!$D$12,IF(A202&lt;$F$5,0,IF(A202&lt;$F$6,-GiaDinh_K3!$D$12,IF(A202&lt;$F$7,0,IF(A202&lt;$F$8,-GiaDinh_K3!$D$12,IF(A202&lt;$F$9,0,IF(A202&lt;$F$10,GiaDinh_K3!$D$12,0)))))))</f>
        <v>1.8</v>
      </c>
      <c r="C202" s="41">
        <f>IF(A202&lt;$F$4,GiaDinh_K3!$D$12*A202,IF(A202&lt;$F$5,GiaDinh_K3!$D$11,IF(A202&lt;$F$6,GiaDinh_K3!$D$11-GiaDinh_K3!$D$12*(A202-$F$5),IF(A202&lt;$F$7,0,IF(A202&lt;$F$8,-GiaDinh_K3!$D$12*(A202-$F$7),IF(A202&lt;$F$9,-GiaDinh_K3!$D$11,IF(A202&lt;$F$10,-GiaDinh_K3!$D$11+GiaDinh_K3!$D$12*(A202-$F$9),0)))))))</f>
        <v>-0.27599999999999958</v>
      </c>
      <c r="D202" s="44">
        <f t="shared" si="4"/>
        <v>2.1179999999999904E-2</v>
      </c>
      <c r="E202" s="44">
        <f t="shared" si="5"/>
        <v>0.18090809999999977</v>
      </c>
      <c r="F202" s="40">
        <f>IF(A202&gt;$F$10,0,IF((Params!$C$21+GiaDinh_K3!$D$8*Params!$C$5*C202)&gt;=0,(Params!$C$21+GiaDinh_K3!$D$8*Params!$C$5*C202)*'Tính chọn'!$D$23/Params!$C$16,(Params!$C$21+GiaDinh_K3!$D$8*Params!$C$5*C202)*'Tính chọn'!$D$23*Params!$C$16)+Catalogue!$F$15*C202/'Tính chọn'!$D$23)</f>
        <v>-2.6548936527962854</v>
      </c>
      <c r="G202" s="40">
        <f>IF(A202&gt;$F$10,0,IF(('Tính chọn'!$D$6+GiaDinh_K3!$D$8*Params!$C$6*C202)&gt;=0,('Tính chọn'!$D$6+GiaDinh_K3!$D$8*Params!$C$6*C202)*'Tính chọn'!$D$23/Params!$C$16,('Tính chọn'!$D$6+GiaDinh_K3!$D$8*Params!$C$6*C202)*'Tính chọn'!$D$23*Params!$C$16)+Catalogue!$F$15*C202/'Tính chọn'!$D$23)</f>
        <v>-1.1479444204672054</v>
      </c>
      <c r="H202" s="43">
        <f>F202*D202/'Tính chọn'!$D$23</f>
        <v>-69.878950343499213</v>
      </c>
    </row>
    <row r="203" spans="1:8" x14ac:dyDescent="0.2">
      <c r="A203" s="39">
        <f>189*$B$5</f>
        <v>1.8900000000000001</v>
      </c>
      <c r="B203" s="40">
        <f>IF(A203&lt;$F$4,GiaDinh_K3!$D$12,IF(A203&lt;$F$5,0,IF(A203&lt;$F$6,-GiaDinh_K3!$D$12,IF(A203&lt;$F$7,0,IF(A203&lt;$F$8,-GiaDinh_K3!$D$12,IF(A203&lt;$F$9,0,IF(A203&lt;$F$10,GiaDinh_K3!$D$12,0)))))))</f>
        <v>1.8</v>
      </c>
      <c r="C203" s="41">
        <f>IF(A203&lt;$F$4,GiaDinh_K3!$D$12*A203,IF(A203&lt;$F$5,GiaDinh_K3!$D$11,IF(A203&lt;$F$6,GiaDinh_K3!$D$11-GiaDinh_K3!$D$12*(A203-$F$5),IF(A203&lt;$F$7,0,IF(A203&lt;$F$8,-GiaDinh_K3!$D$12*(A203-$F$7),IF(A203&lt;$F$9,-GiaDinh_K3!$D$11,IF(A203&lt;$F$10,-GiaDinh_K3!$D$11+GiaDinh_K3!$D$12*(A203-$F$9),0)))))))</f>
        <v>-0.25799999999999956</v>
      </c>
      <c r="D203" s="44">
        <f t="shared" si="4"/>
        <v>1.8509999999999908E-2</v>
      </c>
      <c r="E203" s="44">
        <f t="shared" si="5"/>
        <v>0.18110654999999976</v>
      </c>
      <c r="F203" s="40">
        <f>IF(A203&gt;$F$10,0,IF((Params!$C$21+GiaDinh_K3!$D$8*Params!$C$5*C203)&gt;=0,(Params!$C$21+GiaDinh_K3!$D$8*Params!$C$5*C203)*'Tính chọn'!$D$23/Params!$C$16,(Params!$C$21+GiaDinh_K3!$D$8*Params!$C$5*C203)*'Tính chọn'!$D$23*Params!$C$16)+Catalogue!$F$15*C203/'Tính chọn'!$D$23)</f>
        <v>-2.3827507667040484</v>
      </c>
      <c r="G203" s="40">
        <f>IF(A203&gt;$F$10,0,IF(('Tính chọn'!$D$6+GiaDinh_K3!$D$8*Params!$C$6*C203)&gt;=0,('Tính chọn'!$D$6+GiaDinh_K3!$D$8*Params!$C$6*C203)*'Tính chọn'!$D$23/Params!$C$16,('Tính chọn'!$D$6+GiaDinh_K3!$D$8*Params!$C$6*C203)*'Tính chọn'!$D$23*Params!$C$16)+Catalogue!$F$15*C203/'Tính chọn'!$D$23)</f>
        <v>-1.0590253176889897</v>
      </c>
      <c r="H203" s="43">
        <f>F203*D203/'Tính chọn'!$D$23</f>
        <v>-54.809813527099131</v>
      </c>
    </row>
    <row r="204" spans="1:8" x14ac:dyDescent="0.2">
      <c r="A204" s="39">
        <f>190*$B$5</f>
        <v>1.9000000000000001</v>
      </c>
      <c r="B204" s="40">
        <f>IF(A204&lt;$F$4,GiaDinh_K3!$D$12,IF(A204&lt;$F$5,0,IF(A204&lt;$F$6,-GiaDinh_K3!$D$12,IF(A204&lt;$F$7,0,IF(A204&lt;$F$8,-GiaDinh_K3!$D$12,IF(A204&lt;$F$9,0,IF(A204&lt;$F$10,GiaDinh_K3!$D$12,0)))))))</f>
        <v>1.8</v>
      </c>
      <c r="C204" s="41">
        <f>IF(A204&lt;$F$4,GiaDinh_K3!$D$12*A204,IF(A204&lt;$F$5,GiaDinh_K3!$D$11,IF(A204&lt;$F$6,GiaDinh_K3!$D$11-GiaDinh_K3!$D$12*(A204-$F$5),IF(A204&lt;$F$7,0,IF(A204&lt;$F$8,-GiaDinh_K3!$D$12*(A204-$F$7),IF(A204&lt;$F$9,-GiaDinh_K3!$D$11,IF(A204&lt;$F$10,-GiaDinh_K3!$D$11+GiaDinh_K3!$D$12*(A204-$F$9),0)))))))</f>
        <v>-0.23999999999999955</v>
      </c>
      <c r="D204" s="44">
        <f t="shared" si="4"/>
        <v>1.6019999999999913E-2</v>
      </c>
      <c r="E204" s="44">
        <f t="shared" si="5"/>
        <v>0.18127919999999975</v>
      </c>
      <c r="F204" s="40">
        <f>IF(A204&gt;$F$10,0,IF((Params!$C$21+GiaDinh_K3!$D$8*Params!$C$5*C204)&gt;=0,(Params!$C$21+GiaDinh_K3!$D$8*Params!$C$5*C204)*'Tính chọn'!$D$23/Params!$C$16,(Params!$C$21+GiaDinh_K3!$D$8*Params!$C$5*C204)*'Tính chọn'!$D$23*Params!$C$16)+Catalogue!$F$15*C204/'Tính chọn'!$D$23)</f>
        <v>-2.1106078806118123</v>
      </c>
      <c r="G204" s="40">
        <f>IF(A204&gt;$F$10,0,IF(('Tính chọn'!$D$6+GiaDinh_K3!$D$8*Params!$C$6*C204)&gt;=0,('Tính chọn'!$D$6+GiaDinh_K3!$D$8*Params!$C$6*C204)*'Tính chọn'!$D$23/Params!$C$16,('Tính chọn'!$D$6+GiaDinh_K3!$D$8*Params!$C$6*C204)*'Tính chọn'!$D$23*Params!$C$16)+Catalogue!$F$15*C204/'Tính chọn'!$D$23)</f>
        <v>-0.97010621491077398</v>
      </c>
      <c r="H204" s="43">
        <f>F204*D204/'Tính chọn'!$D$23</f>
        <v>-42.018771898810229</v>
      </c>
    </row>
    <row r="205" spans="1:8" x14ac:dyDescent="0.2">
      <c r="A205" s="39">
        <f>191*$B$5</f>
        <v>1.9100000000000001</v>
      </c>
      <c r="B205" s="40">
        <f>IF(A205&lt;$F$4,GiaDinh_K3!$D$12,IF(A205&lt;$F$5,0,IF(A205&lt;$F$6,-GiaDinh_K3!$D$12,IF(A205&lt;$F$7,0,IF(A205&lt;$F$8,-GiaDinh_K3!$D$12,IF(A205&lt;$F$9,0,IF(A205&lt;$F$10,GiaDinh_K3!$D$12,0)))))))</f>
        <v>1.8</v>
      </c>
      <c r="C205" s="41">
        <f>IF(A205&lt;$F$4,GiaDinh_K3!$D$12*A205,IF(A205&lt;$F$5,GiaDinh_K3!$D$11,IF(A205&lt;$F$6,GiaDinh_K3!$D$11-GiaDinh_K3!$D$12*(A205-$F$5),IF(A205&lt;$F$7,0,IF(A205&lt;$F$8,-GiaDinh_K3!$D$12*(A205-$F$7),IF(A205&lt;$F$9,-GiaDinh_K3!$D$11,IF(A205&lt;$F$10,-GiaDinh_K3!$D$11+GiaDinh_K3!$D$12*(A205-$F$9),0)))))))</f>
        <v>-0.22199999999999953</v>
      </c>
      <c r="D205" s="44">
        <f t="shared" si="4"/>
        <v>1.3709999999999917E-2</v>
      </c>
      <c r="E205" s="44">
        <f t="shared" si="5"/>
        <v>0.18142784999999975</v>
      </c>
      <c r="F205" s="40">
        <f>IF(A205&gt;$F$10,0,IF((Params!$C$21+GiaDinh_K3!$D$8*Params!$C$5*C205)&gt;=0,(Params!$C$21+GiaDinh_K3!$D$8*Params!$C$5*C205)*'Tính chọn'!$D$23/Params!$C$16,(Params!$C$21+GiaDinh_K3!$D$8*Params!$C$5*C205)*'Tính chọn'!$D$23*Params!$C$16)+Catalogue!$F$15*C205/'Tính chọn'!$D$23)</f>
        <v>-1.8384649945195757</v>
      </c>
      <c r="G205" s="40">
        <f>IF(A205&gt;$F$10,0,IF(('Tính chọn'!$D$6+GiaDinh_K3!$D$8*Params!$C$6*C205)&gt;=0,('Tính chọn'!$D$6+GiaDinh_K3!$D$8*Params!$C$6*C205)*'Tính chọn'!$D$23/Params!$C$16,('Tính chọn'!$D$6+GiaDinh_K3!$D$8*Params!$C$6*C205)*'Tính chọn'!$D$23*Params!$C$16)+Catalogue!$F$15*C205/'Tính chọn'!$D$23)</f>
        <v>-0.8811871121325584</v>
      </c>
      <c r="H205" s="43">
        <f>F205*D205/'Tính chọn'!$D$23</f>
        <v>-31.323198858634029</v>
      </c>
    </row>
    <row r="206" spans="1:8" x14ac:dyDescent="0.2">
      <c r="A206" s="39">
        <f>192*$B$5</f>
        <v>1.92</v>
      </c>
      <c r="B206" s="40">
        <f>IF(A206&lt;$F$4,GiaDinh_K3!$D$12,IF(A206&lt;$F$5,0,IF(A206&lt;$F$6,-GiaDinh_K3!$D$12,IF(A206&lt;$F$7,0,IF(A206&lt;$F$8,-GiaDinh_K3!$D$12,IF(A206&lt;$F$9,0,IF(A206&lt;$F$10,GiaDinh_K3!$D$12,0)))))))</f>
        <v>1.8</v>
      </c>
      <c r="C206" s="41">
        <f>IF(A206&lt;$F$4,GiaDinh_K3!$D$12*A206,IF(A206&lt;$F$5,GiaDinh_K3!$D$11,IF(A206&lt;$F$6,GiaDinh_K3!$D$11-GiaDinh_K3!$D$12*(A206-$F$5),IF(A206&lt;$F$7,0,IF(A206&lt;$F$8,-GiaDinh_K3!$D$12*(A206-$F$7),IF(A206&lt;$F$9,-GiaDinh_K3!$D$11,IF(A206&lt;$F$10,-GiaDinh_K3!$D$11+GiaDinh_K3!$D$12*(A206-$F$9),0)))))))</f>
        <v>-0.20399999999999993</v>
      </c>
      <c r="D206" s="44">
        <f t="shared" si="4"/>
        <v>1.157999999999992E-2</v>
      </c>
      <c r="E206" s="44">
        <f t="shared" si="5"/>
        <v>0.18155429999999975</v>
      </c>
      <c r="F206" s="40">
        <f>IF(A206&gt;$F$10,0,IF((Params!$C$21+GiaDinh_K3!$D$8*Params!$C$5*C206)&gt;=0,(Params!$C$21+GiaDinh_K3!$D$8*Params!$C$5*C206)*'Tính chọn'!$D$23/Params!$C$16,(Params!$C$21+GiaDinh_K3!$D$8*Params!$C$5*C206)*'Tính chọn'!$D$23*Params!$C$16)+Catalogue!$F$15*C206/'Tính chọn'!$D$23)</f>
        <v>-1.5663221084273449</v>
      </c>
      <c r="G206" s="40">
        <f>IF(A206&gt;$F$10,0,IF(('Tính chọn'!$D$6+GiaDinh_K3!$D$8*Params!$C$6*C206)&gt;=0,('Tính chọn'!$D$6+GiaDinh_K3!$D$8*Params!$C$6*C206)*'Tính chọn'!$D$23/Params!$C$16,('Tính chọn'!$D$6+GiaDinh_K3!$D$8*Params!$C$6*C206)*'Tính chọn'!$D$23*Params!$C$16)+Catalogue!$F$15*C206/'Tính chọn'!$D$23)</f>
        <v>-0.79226800935434494</v>
      </c>
      <c r="H206" s="43">
        <f>F206*D206/'Tính chọn'!$D$23</f>
        <v>-22.540467806572178</v>
      </c>
    </row>
    <row r="207" spans="1:8" x14ac:dyDescent="0.2">
      <c r="A207" s="39">
        <f>193*$B$5</f>
        <v>1.93</v>
      </c>
      <c r="B207" s="40">
        <f>IF(A207&lt;$F$4,GiaDinh_K3!$D$12,IF(A207&lt;$F$5,0,IF(A207&lt;$F$6,-GiaDinh_K3!$D$12,IF(A207&lt;$F$7,0,IF(A207&lt;$F$8,-GiaDinh_K3!$D$12,IF(A207&lt;$F$9,0,IF(A207&lt;$F$10,GiaDinh_K3!$D$12,0)))))))</f>
        <v>1.8</v>
      </c>
      <c r="C207" s="41">
        <f>IF(A207&lt;$F$4,GiaDinh_K3!$D$12*A207,IF(A207&lt;$F$5,GiaDinh_K3!$D$11,IF(A207&lt;$F$6,GiaDinh_K3!$D$11-GiaDinh_K3!$D$12*(A207-$F$5),IF(A207&lt;$F$7,0,IF(A207&lt;$F$8,-GiaDinh_K3!$D$12*(A207-$F$7),IF(A207&lt;$F$9,-GiaDinh_K3!$D$11,IF(A207&lt;$F$10,-GiaDinh_K3!$D$11+GiaDinh_K3!$D$12*(A207-$F$9),0)))))))</f>
        <v>-0.18599999999999989</v>
      </c>
      <c r="D207" s="44">
        <f t="shared" ref="D207:D254" si="6">MAX(0,D206+(C206+C207)/2*$B$5)</f>
        <v>9.6299999999999216E-3</v>
      </c>
      <c r="E207" s="44">
        <f t="shared" ref="E207:E254" si="7">E206+(D206+D207)/2*$B$5</f>
        <v>0.18166034999999975</v>
      </c>
      <c r="F207" s="40">
        <f>IF(A207&gt;$F$10,0,IF((Params!$C$21+GiaDinh_K3!$D$8*Params!$C$5*C207)&gt;=0,(Params!$C$21+GiaDinh_K3!$D$8*Params!$C$5*C207)*'Tính chọn'!$D$23/Params!$C$16,(Params!$C$21+GiaDinh_K3!$D$8*Params!$C$5*C207)*'Tính chọn'!$D$23*Params!$C$16)+Catalogue!$F$15*C207/'Tính chọn'!$D$23)</f>
        <v>-1.2941792223351078</v>
      </c>
      <c r="G207" s="40">
        <f>IF(A207&gt;$F$10,0,IF(('Tính chọn'!$D$6+GiaDinh_K3!$D$8*Params!$C$6*C207)&gt;=0,('Tính chọn'!$D$6+GiaDinh_K3!$D$8*Params!$C$6*C207)*'Tính chọn'!$D$23/Params!$C$16,('Tính chọn'!$D$6+GiaDinh_K3!$D$8*Params!$C$6*C207)*'Tính chọn'!$D$23*Params!$C$16)+Catalogue!$F$15*C207/'Tính chọn'!$D$23)</f>
        <v>-0.70334890657612914</v>
      </c>
      <c r="H207" s="43">
        <f>F207*D207/'Tính chọn'!$D$23</f>
        <v>-15.487952142626019</v>
      </c>
    </row>
    <row r="208" spans="1:8" x14ac:dyDescent="0.2">
      <c r="A208" s="39">
        <f>194*$B$5</f>
        <v>1.94</v>
      </c>
      <c r="B208" s="40">
        <f>IF(A208&lt;$F$4,GiaDinh_K3!$D$12,IF(A208&lt;$F$5,0,IF(A208&lt;$F$6,-GiaDinh_K3!$D$12,IF(A208&lt;$F$7,0,IF(A208&lt;$F$8,-GiaDinh_K3!$D$12,IF(A208&lt;$F$9,0,IF(A208&lt;$F$10,GiaDinh_K3!$D$12,0)))))))</f>
        <v>1.8</v>
      </c>
      <c r="C208" s="41">
        <f>IF(A208&lt;$F$4,GiaDinh_K3!$D$12*A208,IF(A208&lt;$F$5,GiaDinh_K3!$D$11,IF(A208&lt;$F$6,GiaDinh_K3!$D$11-GiaDinh_K3!$D$12*(A208-$F$5),IF(A208&lt;$F$7,0,IF(A208&lt;$F$8,-GiaDinh_K3!$D$12*(A208-$F$7),IF(A208&lt;$F$9,-GiaDinh_K3!$D$11,IF(A208&lt;$F$10,-GiaDinh_K3!$D$11+GiaDinh_K3!$D$12*(A208-$F$9),0)))))))</f>
        <v>-0.16799999999999987</v>
      </c>
      <c r="D208" s="44">
        <f t="shared" si="6"/>
        <v>7.8599999999999226E-3</v>
      </c>
      <c r="E208" s="44">
        <f t="shared" si="7"/>
        <v>0.18174779999999974</v>
      </c>
      <c r="F208" s="40">
        <f>IF(A208&gt;$F$10,0,IF((Params!$C$21+GiaDinh_K3!$D$8*Params!$C$5*C208)&gt;=0,(Params!$C$21+GiaDinh_K3!$D$8*Params!$C$5*C208)*'Tính chọn'!$D$23/Params!$C$16,(Params!$C$21+GiaDinh_K3!$D$8*Params!$C$5*C208)*'Tính chọn'!$D$23*Params!$C$16)+Catalogue!$F$15*C208/'Tính chọn'!$D$23)</f>
        <v>-1.0220363362428715</v>
      </c>
      <c r="G208" s="40">
        <f>IF(A208&gt;$F$10,0,IF(('Tính chọn'!$D$6+GiaDinh_K3!$D$8*Params!$C$6*C208)&gt;=0,('Tính chọn'!$D$6+GiaDinh_K3!$D$8*Params!$C$6*C208)*'Tính chọn'!$D$23/Params!$C$16,('Tính chọn'!$D$6+GiaDinh_K3!$D$8*Params!$C$6*C208)*'Tính chọn'!$D$23*Params!$C$16)+Catalogue!$F$15*C208/'Tính chọn'!$D$23)</f>
        <v>-0.61442980379791368</v>
      </c>
      <c r="H208" s="43">
        <f>F208*D208/'Tính chọn'!$D$23</f>
        <v>-9.9830252667972275</v>
      </c>
    </row>
    <row r="209" spans="1:8" x14ac:dyDescent="0.2">
      <c r="A209" s="39">
        <f>195*$B$5</f>
        <v>1.95</v>
      </c>
      <c r="B209" s="40">
        <f>IF(A209&lt;$F$4,GiaDinh_K3!$D$12,IF(A209&lt;$F$5,0,IF(A209&lt;$F$6,-GiaDinh_K3!$D$12,IF(A209&lt;$F$7,0,IF(A209&lt;$F$8,-GiaDinh_K3!$D$12,IF(A209&lt;$F$9,0,IF(A209&lt;$F$10,GiaDinh_K3!$D$12,0)))))))</f>
        <v>1.8</v>
      </c>
      <c r="C209" s="41">
        <f>IF(A209&lt;$F$4,GiaDinh_K3!$D$12*A209,IF(A209&lt;$F$5,GiaDinh_K3!$D$11,IF(A209&lt;$F$6,GiaDinh_K3!$D$11-GiaDinh_K3!$D$12*(A209-$F$5),IF(A209&lt;$F$7,0,IF(A209&lt;$F$8,-GiaDinh_K3!$D$12*(A209-$F$7),IF(A209&lt;$F$9,-GiaDinh_K3!$D$11,IF(A209&lt;$F$10,-GiaDinh_K3!$D$11+GiaDinh_K3!$D$12*(A209-$F$9),0)))))))</f>
        <v>-0.14999999999999986</v>
      </c>
      <c r="D209" s="44">
        <f t="shared" si="6"/>
        <v>6.2699999999999241E-3</v>
      </c>
      <c r="E209" s="44">
        <f t="shared" si="7"/>
        <v>0.18181844999999974</v>
      </c>
      <c r="F209" s="40">
        <f>IF(A209&gt;$F$10,0,IF((Params!$C$21+GiaDinh_K3!$D$8*Params!$C$5*C209)&gt;=0,(Params!$C$21+GiaDinh_K3!$D$8*Params!$C$5*C209)*'Tính chọn'!$D$23/Params!$C$16,(Params!$C$21+GiaDinh_K3!$D$8*Params!$C$5*C209)*'Tính chọn'!$D$23*Params!$C$16)+Catalogue!$F$15*C209/'Tính chọn'!$D$23)</f>
        <v>-0.74989345015063491</v>
      </c>
      <c r="G209" s="40">
        <f>IF(A209&gt;$F$10,0,IF(('Tính chọn'!$D$6+GiaDinh_K3!$D$8*Params!$C$6*C209)&gt;=0,('Tính chọn'!$D$6+GiaDinh_K3!$D$8*Params!$C$6*C209)*'Tính chọn'!$D$23/Params!$C$16,('Tính chọn'!$D$6+GiaDinh_K3!$D$8*Params!$C$6*C209)*'Tính chọn'!$D$23*Params!$C$16)+Catalogue!$F$15*C209/'Tính chọn'!$D$23)</f>
        <v>-0.52551070101969799</v>
      </c>
      <c r="H209" s="43">
        <f>F209*D209/'Tính chọn'!$D$23</f>
        <v>-5.843060579087334</v>
      </c>
    </row>
    <row r="210" spans="1:8" x14ac:dyDescent="0.2">
      <c r="A210" s="39">
        <f>196*$B$5</f>
        <v>1.96</v>
      </c>
      <c r="B210" s="40">
        <f>IF(A210&lt;$F$4,GiaDinh_K3!$D$12,IF(A210&lt;$F$5,0,IF(A210&lt;$F$6,-GiaDinh_K3!$D$12,IF(A210&lt;$F$7,0,IF(A210&lt;$F$8,-GiaDinh_K3!$D$12,IF(A210&lt;$F$9,0,IF(A210&lt;$F$10,GiaDinh_K3!$D$12,0)))))))</f>
        <v>1.8</v>
      </c>
      <c r="C210" s="41">
        <f>IF(A210&lt;$F$4,GiaDinh_K3!$D$12*A210,IF(A210&lt;$F$5,GiaDinh_K3!$D$11,IF(A210&lt;$F$6,GiaDinh_K3!$D$11-GiaDinh_K3!$D$12*(A210-$F$5),IF(A210&lt;$F$7,0,IF(A210&lt;$F$8,-GiaDinh_K3!$D$12*(A210-$F$7),IF(A210&lt;$F$9,-GiaDinh_K3!$D$11,IF(A210&lt;$F$10,-GiaDinh_K3!$D$11+GiaDinh_K3!$D$12*(A210-$F$9),0)))))))</f>
        <v>-0.13199999999999984</v>
      </c>
      <c r="D210" s="44">
        <f t="shared" si="6"/>
        <v>4.8599999999999251E-3</v>
      </c>
      <c r="E210" s="44">
        <f t="shared" si="7"/>
        <v>0.18187409999999973</v>
      </c>
      <c r="F210" s="40">
        <f>IF(A210&gt;$F$10,0,IF((Params!$C$21+GiaDinh_K3!$D$8*Params!$C$5*C210)&gt;=0,(Params!$C$21+GiaDinh_K3!$D$8*Params!$C$5*C210)*'Tính chọn'!$D$23/Params!$C$16,(Params!$C$21+GiaDinh_K3!$D$8*Params!$C$5*C210)*'Tính chọn'!$D$23*Params!$C$16)+Catalogue!$F$15*C210/'Tính chọn'!$D$23)</f>
        <v>-0.47775056405839822</v>
      </c>
      <c r="G210" s="40">
        <f>IF(A210&gt;$F$10,0,IF(('Tính chọn'!$D$6+GiaDinh_K3!$D$8*Params!$C$6*C210)&gt;=0,('Tính chọn'!$D$6+GiaDinh_K3!$D$8*Params!$C$6*C210)*'Tính chọn'!$D$23/Params!$C$16,('Tính chọn'!$D$6+GiaDinh_K3!$D$8*Params!$C$6*C210)*'Tính chọn'!$D$23*Params!$C$16)+Catalogue!$F$15*C210/'Tính chọn'!$D$23)</f>
        <v>-0.43659159824148236</v>
      </c>
      <c r="H210" s="43">
        <f>F210*D210/'Tính chọn'!$D$23</f>
        <v>-2.8854314794978873</v>
      </c>
    </row>
    <row r="211" spans="1:8" x14ac:dyDescent="0.2">
      <c r="A211" s="39">
        <f>197*$B$5</f>
        <v>1.97</v>
      </c>
      <c r="B211" s="40">
        <f>IF(A211&lt;$F$4,GiaDinh_K3!$D$12,IF(A211&lt;$F$5,0,IF(A211&lt;$F$6,-GiaDinh_K3!$D$12,IF(A211&lt;$F$7,0,IF(A211&lt;$F$8,-GiaDinh_K3!$D$12,IF(A211&lt;$F$9,0,IF(A211&lt;$F$10,GiaDinh_K3!$D$12,0)))))))</f>
        <v>1.8</v>
      </c>
      <c r="C211" s="41">
        <f>IF(A211&lt;$F$4,GiaDinh_K3!$D$12*A211,IF(A211&lt;$F$5,GiaDinh_K3!$D$11,IF(A211&lt;$F$6,GiaDinh_K3!$D$11-GiaDinh_K3!$D$12*(A211-$F$5),IF(A211&lt;$F$7,0,IF(A211&lt;$F$8,-GiaDinh_K3!$D$12*(A211-$F$7),IF(A211&lt;$F$9,-GiaDinh_K3!$D$11,IF(A211&lt;$F$10,-GiaDinh_K3!$D$11+GiaDinh_K3!$D$12*(A211-$F$9),0)))))))</f>
        <v>-0.11399999999999982</v>
      </c>
      <c r="D211" s="44">
        <f t="shared" si="6"/>
        <v>3.6299999999999267E-3</v>
      </c>
      <c r="E211" s="44">
        <f t="shared" si="7"/>
        <v>0.18191654999999973</v>
      </c>
      <c r="F211" s="40">
        <f>IF(A211&gt;$F$10,0,IF((Params!$C$21+GiaDinh_K3!$D$8*Params!$C$5*C211)&gt;=0,(Params!$C$21+GiaDinh_K3!$D$8*Params!$C$5*C211)*'Tính chọn'!$D$23/Params!$C$16,(Params!$C$21+GiaDinh_K3!$D$8*Params!$C$5*C211)*'Tính chọn'!$D$23*Params!$C$16)+Catalogue!$F$15*C211/'Tính chọn'!$D$23)</f>
        <v>-0.16677075573106376</v>
      </c>
      <c r="G211" s="40">
        <f>IF(A211&gt;$F$10,0,IF(('Tính chọn'!$D$6+GiaDinh_K3!$D$8*Params!$C$6*C211)&gt;=0,('Tính chọn'!$D$6+GiaDinh_K3!$D$8*Params!$C$6*C211)*'Tính chọn'!$D$23/Params!$C$16,('Tính chọn'!$D$6+GiaDinh_K3!$D$8*Params!$C$6*C211)*'Tính chọn'!$D$23*Params!$C$16)+Catalogue!$F$15*C211/'Tính chọn'!$D$23)</f>
        <v>-0.34215941930773691</v>
      </c>
      <c r="H211" s="43">
        <f>F211*D211/'Tính chọn'!$D$23</f>
        <v>-0.7523151534304352</v>
      </c>
    </row>
    <row r="212" spans="1:8" x14ac:dyDescent="0.2">
      <c r="A212" s="39">
        <f>198*$B$5</f>
        <v>1.98</v>
      </c>
      <c r="B212" s="40">
        <f>IF(A212&lt;$F$4,GiaDinh_K3!$D$12,IF(A212&lt;$F$5,0,IF(A212&lt;$F$6,-GiaDinh_K3!$D$12,IF(A212&lt;$F$7,0,IF(A212&lt;$F$8,-GiaDinh_K3!$D$12,IF(A212&lt;$F$9,0,IF(A212&lt;$F$10,GiaDinh_K3!$D$12,0)))))))</f>
        <v>1.8</v>
      </c>
      <c r="C212" s="41">
        <f>IF(A212&lt;$F$4,GiaDinh_K3!$D$12*A212,IF(A212&lt;$F$5,GiaDinh_K3!$D$11,IF(A212&lt;$F$6,GiaDinh_K3!$D$11-GiaDinh_K3!$D$12*(A212-$F$5),IF(A212&lt;$F$7,0,IF(A212&lt;$F$8,-GiaDinh_K3!$D$12*(A212-$F$7),IF(A212&lt;$F$9,-GiaDinh_K3!$D$11,IF(A212&lt;$F$10,-GiaDinh_K3!$D$11+GiaDinh_K3!$D$12*(A212-$F$9),0)))))))</f>
        <v>-9.5999999999999808E-2</v>
      </c>
      <c r="D212" s="44">
        <f t="shared" si="6"/>
        <v>2.5799999999999287E-3</v>
      </c>
      <c r="E212" s="44">
        <f t="shared" si="7"/>
        <v>0.18194759999999974</v>
      </c>
      <c r="F212" s="40">
        <f>IF(A212&gt;$F$10,0,IF((Params!$C$21+GiaDinh_K3!$D$8*Params!$C$5*C212)&gt;=0,(Params!$C$21+GiaDinh_K3!$D$8*Params!$C$5*C212)*'Tính chọn'!$D$23/Params!$C$16,(Params!$C$21+GiaDinh_K3!$D$8*Params!$C$5*C212)*'Tính chọn'!$D$23*Params!$C$16)+Catalogue!$F$15*C212/'Tính chọn'!$D$23)</f>
        <v>0.15546087118774687</v>
      </c>
      <c r="G212" s="40">
        <f>IF(A212&gt;$F$10,0,IF(('Tính chọn'!$D$6+GiaDinh_K3!$D$8*Params!$C$6*C212)&gt;=0,('Tính chọn'!$D$6+GiaDinh_K3!$D$8*Params!$C$6*C212)*'Tính chọn'!$D$23/Params!$C$16,('Tính chọn'!$D$6+GiaDinh_K3!$D$8*Params!$C$6*C212)*'Tính chọn'!$D$23*Params!$C$16)+Catalogue!$F$15*C212/'Tính chọn'!$D$23)</f>
        <v>-0.24612999401117441</v>
      </c>
      <c r="H212" s="43">
        <f>F212*D212/'Tính chọn'!$D$23</f>
        <v>0.49844138131347315</v>
      </c>
    </row>
    <row r="213" spans="1:8" x14ac:dyDescent="0.2">
      <c r="A213" s="39">
        <f>199*$B$5</f>
        <v>1.99</v>
      </c>
      <c r="B213" s="40">
        <f>IF(A213&lt;$F$4,GiaDinh_K3!$D$12,IF(A213&lt;$F$5,0,IF(A213&lt;$F$6,-GiaDinh_K3!$D$12,IF(A213&lt;$F$7,0,IF(A213&lt;$F$8,-GiaDinh_K3!$D$12,IF(A213&lt;$F$9,0,IF(A213&lt;$F$10,GiaDinh_K3!$D$12,0)))))))</f>
        <v>1.8</v>
      </c>
      <c r="C213" s="41">
        <f>IF(A213&lt;$F$4,GiaDinh_K3!$D$12*A213,IF(A213&lt;$F$5,GiaDinh_K3!$D$11,IF(A213&lt;$F$6,GiaDinh_K3!$D$11-GiaDinh_K3!$D$12*(A213-$F$5),IF(A213&lt;$F$7,0,IF(A213&lt;$F$8,-GiaDinh_K3!$D$12*(A213-$F$7),IF(A213&lt;$F$9,-GiaDinh_K3!$D$11,IF(A213&lt;$F$10,-GiaDinh_K3!$D$11+GiaDinh_K3!$D$12*(A213-$F$9),0)))))))</f>
        <v>-7.7999999999999792E-2</v>
      </c>
      <c r="D213" s="44">
        <f t="shared" si="6"/>
        <v>1.7099999999999308E-3</v>
      </c>
      <c r="E213" s="44">
        <f t="shared" si="7"/>
        <v>0.18196904999999974</v>
      </c>
      <c r="F213" s="40">
        <f>IF(A213&gt;$F$10,0,IF((Params!$C$21+GiaDinh_K3!$D$8*Params!$C$5*C213)&gt;=0,(Params!$C$21+GiaDinh_K3!$D$8*Params!$C$5*C213)*'Tính chọn'!$D$23/Params!$C$16,(Params!$C$21+GiaDinh_K3!$D$8*Params!$C$5*C213)*'Tính chọn'!$D$23*Params!$C$16)+Catalogue!$F$15*C213/'Tính chọn'!$D$23)</f>
        <v>0.47769249810655739</v>
      </c>
      <c r="G213" s="40">
        <f>IF(A213&gt;$F$10,0,IF(('Tính chọn'!$D$6+GiaDinh_K3!$D$8*Params!$C$6*C213)&gt;=0,('Tính chọn'!$D$6+GiaDinh_K3!$D$8*Params!$C$6*C213)*'Tính chọn'!$D$23/Params!$C$16,('Tính chọn'!$D$6+GiaDinh_K3!$D$8*Params!$C$6*C213)*'Tính chọn'!$D$23*Params!$C$16)+Catalogue!$F$15*C213/'Tính chọn'!$D$23)</f>
        <v>-0.15010056871461203</v>
      </c>
      <c r="H213" s="43">
        <f>F213*D213/'Tính chọn'!$D$23</f>
        <v>1.0151210163322963</v>
      </c>
    </row>
    <row r="214" spans="1:8" x14ac:dyDescent="0.2">
      <c r="A214" s="39">
        <f>200*$B$5</f>
        <v>2</v>
      </c>
      <c r="B214" s="40">
        <f>IF(A214&lt;$F$4,GiaDinh_K3!$D$12,IF(A214&lt;$F$5,0,IF(A214&lt;$F$6,-GiaDinh_K3!$D$12,IF(A214&lt;$F$7,0,IF(A214&lt;$F$8,-GiaDinh_K3!$D$12,IF(A214&lt;$F$9,0,IF(A214&lt;$F$10,GiaDinh_K3!$D$12,0)))))))</f>
        <v>1.8</v>
      </c>
      <c r="C214" s="41">
        <f>IF(A214&lt;$F$4,GiaDinh_K3!$D$12*A214,IF(A214&lt;$F$5,GiaDinh_K3!$D$11,IF(A214&lt;$F$6,GiaDinh_K3!$D$11-GiaDinh_K3!$D$12*(A214-$F$5),IF(A214&lt;$F$7,0,IF(A214&lt;$F$8,-GiaDinh_K3!$D$12*(A214-$F$7),IF(A214&lt;$F$9,-GiaDinh_K3!$D$11,IF(A214&lt;$F$10,-GiaDinh_K3!$D$11+GiaDinh_K3!$D$12*(A214-$F$9),0)))))))</f>
        <v>-5.9999999999999776E-2</v>
      </c>
      <c r="D214" s="44">
        <f t="shared" si="6"/>
        <v>1.0199999999999329E-3</v>
      </c>
      <c r="E214" s="44">
        <f t="shared" si="7"/>
        <v>0.18198269999999975</v>
      </c>
      <c r="F214" s="40">
        <f>IF(A214&gt;$F$10,0,IF((Params!$C$21+GiaDinh_K3!$D$8*Params!$C$5*C214)&gt;=0,(Params!$C$21+GiaDinh_K3!$D$8*Params!$C$5*C214)*'Tính chọn'!$D$23/Params!$C$16,(Params!$C$21+GiaDinh_K3!$D$8*Params!$C$5*C214)*'Tính chọn'!$D$23*Params!$C$16)+Catalogue!$F$15*C214/'Tính chọn'!$D$23)</f>
        <v>0.79992412502536814</v>
      </c>
      <c r="G214" s="40">
        <f>IF(A214&gt;$F$10,0,IF(('Tính chọn'!$D$6+GiaDinh_K3!$D$8*Params!$C$6*C214)&gt;=0,('Tính chọn'!$D$6+GiaDinh_K3!$D$8*Params!$C$6*C214)*'Tính chọn'!$D$23/Params!$C$16,('Tính chọn'!$D$6+GiaDinh_K3!$D$8*Params!$C$6*C214)*'Tính chọn'!$D$23*Params!$C$16)+Catalogue!$F$15*C214/'Tính chọn'!$D$23)</f>
        <v>-5.4071143418049528E-2</v>
      </c>
      <c r="H214" s="43">
        <f>F214*D214/'Tính chọn'!$D$23</f>
        <v>1.0139633428244892</v>
      </c>
    </row>
    <row r="215" spans="1:8" x14ac:dyDescent="0.2">
      <c r="A215" s="39">
        <f>201*$B$5</f>
        <v>2.0100000000000002</v>
      </c>
      <c r="B215" s="40">
        <f>IF(A215&lt;$F$4,GiaDinh_K3!$D$12,IF(A215&lt;$F$5,0,IF(A215&lt;$F$6,-GiaDinh_K3!$D$12,IF(A215&lt;$F$7,0,IF(A215&lt;$F$8,-GiaDinh_K3!$D$12,IF(A215&lt;$F$9,0,IF(A215&lt;$F$10,GiaDinh_K3!$D$12,0)))))))</f>
        <v>1.8</v>
      </c>
      <c r="C215" s="41">
        <f>IF(A215&lt;$F$4,GiaDinh_K3!$D$12*A215,IF(A215&lt;$F$5,GiaDinh_K3!$D$11,IF(A215&lt;$F$6,GiaDinh_K3!$D$11-GiaDinh_K3!$D$12*(A215-$F$5),IF(A215&lt;$F$7,0,IF(A215&lt;$F$8,-GiaDinh_K3!$D$12*(A215-$F$7),IF(A215&lt;$F$9,-GiaDinh_K3!$D$11,IF(A215&lt;$F$10,-GiaDinh_K3!$D$11+GiaDinh_K3!$D$12*(A215-$F$9),0)))))))</f>
        <v>-4.1999999999999371E-2</v>
      </c>
      <c r="D215" s="44">
        <f t="shared" si="6"/>
        <v>5.0999999999993715E-4</v>
      </c>
      <c r="E215" s="44">
        <f t="shared" si="7"/>
        <v>0.18199034999999975</v>
      </c>
      <c r="F215" s="40">
        <f>IF(A215&gt;$F$10,0,IF((Params!$C$21+GiaDinh_K3!$D$8*Params!$C$5*C215)&gt;=0,(Params!$C$21+GiaDinh_K3!$D$8*Params!$C$5*C215)*'Tính chọn'!$D$23/Params!$C$16,(Params!$C$21+GiaDinh_K3!$D$8*Params!$C$5*C215)*'Tính chọn'!$D$23*Params!$C$16)+Catalogue!$F$15*C215/'Tính chọn'!$D$23)</f>
        <v>1.1221557519441854</v>
      </c>
      <c r="G215" s="40">
        <f>IF(A215&gt;$F$10,0,IF(('Tính chọn'!$D$6+GiaDinh_K3!$D$8*Params!$C$6*C215)&gt;=0,('Tính chọn'!$D$6+GiaDinh_K3!$D$8*Params!$C$6*C215)*'Tính chọn'!$D$23/Params!$C$16,('Tính chọn'!$D$6+GiaDinh_K3!$D$8*Params!$C$6*C215)*'Tính chọn'!$D$23*Params!$C$16)+Catalogue!$F$15*C215/'Tính chọn'!$D$23)</f>
        <v>4.1958281878514997E-2</v>
      </c>
      <c r="H215" s="43">
        <f>F215*D215/'Tính chọn'!$D$23</f>
        <v>0.71120795198851217</v>
      </c>
    </row>
    <row r="216" spans="1:8" x14ac:dyDescent="0.2">
      <c r="A216" s="39">
        <f>202*$B$5</f>
        <v>2.02</v>
      </c>
      <c r="B216" s="40">
        <f>IF(A216&lt;$F$4,GiaDinh_K3!$D$12,IF(A216&lt;$F$5,0,IF(A216&lt;$F$6,-GiaDinh_K3!$D$12,IF(A216&lt;$F$7,0,IF(A216&lt;$F$8,-GiaDinh_K3!$D$12,IF(A216&lt;$F$9,0,IF(A216&lt;$F$10,GiaDinh_K3!$D$12,0)))))))</f>
        <v>1.8</v>
      </c>
      <c r="C216" s="41">
        <f>IF(A216&lt;$F$4,GiaDinh_K3!$D$12*A216,IF(A216&lt;$F$5,GiaDinh_K3!$D$11,IF(A216&lt;$F$6,GiaDinh_K3!$D$11-GiaDinh_K3!$D$12*(A216-$F$5),IF(A216&lt;$F$7,0,IF(A216&lt;$F$8,-GiaDinh_K3!$D$12*(A216-$F$7),IF(A216&lt;$F$9,-GiaDinh_K3!$D$11,IF(A216&lt;$F$10,-GiaDinh_K3!$D$11+GiaDinh_K3!$D$12*(A216-$F$9),0)))))))</f>
        <v>-2.3999999999999744E-2</v>
      </c>
      <c r="D216" s="44">
        <f t="shared" si="6"/>
        <v>1.7999999999994155E-4</v>
      </c>
      <c r="E216" s="44">
        <f t="shared" si="7"/>
        <v>0.18199379999999973</v>
      </c>
      <c r="F216" s="40">
        <f>IF(A216&gt;$F$10,0,IF((Params!$C$21+GiaDinh_K3!$D$8*Params!$C$5*C216)&gt;=0,(Params!$C$21+GiaDinh_K3!$D$8*Params!$C$5*C216)*'Tính chọn'!$D$23/Params!$C$16,(Params!$C$21+GiaDinh_K3!$D$8*Params!$C$5*C216)*'Tính chọn'!$D$23*Params!$C$16)+Catalogue!$F$15*C216/'Tính chọn'!$D$23)</f>
        <v>1.4443873788629893</v>
      </c>
      <c r="G216" s="40">
        <f>IF(A216&gt;$F$10,0,IF(('Tính chọn'!$D$6+GiaDinh_K3!$D$8*Params!$C$6*C216)&gt;=0,('Tính chọn'!$D$6+GiaDinh_K3!$D$8*Params!$C$6*C216)*'Tính chọn'!$D$23/Params!$C$16,('Tính chọn'!$D$6+GiaDinh_K3!$D$8*Params!$C$6*C216)*'Tính chọn'!$D$23*Params!$C$16)+Catalogue!$F$15*C216/'Tính chọn'!$D$23)</f>
        <v>0.13798770717507536</v>
      </c>
      <c r="H216" s="43">
        <f>F216*D216/'Tính chọn'!$D$23</f>
        <v>0.3230944350228056</v>
      </c>
    </row>
    <row r="217" spans="1:8" x14ac:dyDescent="0.2">
      <c r="A217" s="39">
        <f>203*$B$5</f>
        <v>2.0300000000000002</v>
      </c>
      <c r="B217" s="40">
        <f>IF(A217&lt;$F$4,GiaDinh_K3!$D$12,IF(A217&lt;$F$5,0,IF(A217&lt;$F$6,-GiaDinh_K3!$D$12,IF(A217&lt;$F$7,0,IF(A217&lt;$F$8,-GiaDinh_K3!$D$12,IF(A217&lt;$F$9,0,IF(A217&lt;$F$10,GiaDinh_K3!$D$12,0)))))))</f>
        <v>1.8</v>
      </c>
      <c r="C217" s="41">
        <f>IF(A217&lt;$F$4,GiaDinh_K3!$D$12*A217,IF(A217&lt;$F$5,GiaDinh_K3!$D$11,IF(A217&lt;$F$6,GiaDinh_K3!$D$11-GiaDinh_K3!$D$12*(A217-$F$5),IF(A217&lt;$F$7,0,IF(A217&lt;$F$8,-GiaDinh_K3!$D$12*(A217-$F$7),IF(A217&lt;$F$9,-GiaDinh_K3!$D$11,IF(A217&lt;$F$10,-GiaDinh_K3!$D$11+GiaDinh_K3!$D$12*(A217-$F$9),0)))))))</f>
        <v>-5.9999999999993392E-3</v>
      </c>
      <c r="D217" s="44">
        <f t="shared" si="6"/>
        <v>2.999999999994614E-5</v>
      </c>
      <c r="E217" s="44">
        <f t="shared" si="7"/>
        <v>0.18199484999999974</v>
      </c>
      <c r="F217" s="40">
        <f>IF(A217&gt;$F$10,0,IF((Params!$C$21+GiaDinh_K3!$D$8*Params!$C$5*C217)&gt;=0,(Params!$C$21+GiaDinh_K3!$D$8*Params!$C$5*C217)*'Tính chọn'!$D$23/Params!$C$16,(Params!$C$21+GiaDinh_K3!$D$8*Params!$C$5*C217)*'Tính chọn'!$D$23*Params!$C$16)+Catalogue!$F$15*C217/'Tính chọn'!$D$23)</f>
        <v>1.7666190057818068</v>
      </c>
      <c r="G217" s="40">
        <f>IF(A217&gt;$F$10,0,IF(('Tính chọn'!$D$6+GiaDinh_K3!$D$8*Params!$C$6*C217)&gt;=0,('Tính chọn'!$D$6+GiaDinh_K3!$D$8*Params!$C$6*C217)*'Tính chọn'!$D$23/Params!$C$16,('Tính chọn'!$D$6+GiaDinh_K3!$D$8*Params!$C$6*C217)*'Tính chọn'!$D$23*Params!$C$16)+Catalogue!$F$15*C217/'Tính chọn'!$D$23)</f>
        <v>0.23401713247163994</v>
      </c>
      <c r="H217" s="43">
        <f>F217*D217/'Tính chọn'!$D$23</f>
        <v>6.5862383125836754E-2</v>
      </c>
    </row>
    <row r="218" spans="1:8" x14ac:dyDescent="0.2">
      <c r="A218" s="39">
        <f>204*$B$5</f>
        <v>2.04</v>
      </c>
      <c r="B218" s="40">
        <f>IF(A218&lt;$F$4,GiaDinh_K3!$D$12,IF(A218&lt;$F$5,0,IF(A218&lt;$F$6,-GiaDinh_K3!$D$12,IF(A218&lt;$F$7,0,IF(A218&lt;$F$8,-GiaDinh_K3!$D$12,IF(A218&lt;$F$9,0,IF(A218&lt;$F$10,GiaDinh_K3!$D$12,0)))))))</f>
        <v>0</v>
      </c>
      <c r="C218" s="41">
        <f>IF(A218&lt;$F$4,GiaDinh_K3!$D$12*A218,IF(A218&lt;$F$5,GiaDinh_K3!$D$11,IF(A218&lt;$F$6,GiaDinh_K3!$D$11-GiaDinh_K3!$D$12*(A218-$F$5),IF(A218&lt;$F$7,0,IF(A218&lt;$F$8,-GiaDinh_K3!$D$12*(A218-$F$7),IF(A218&lt;$F$9,-GiaDinh_K3!$D$11,IF(A218&lt;$F$10,-GiaDinh_K3!$D$11+GiaDinh_K3!$D$12*(A218-$F$9),0)))))))</f>
        <v>0</v>
      </c>
      <c r="D218" s="44">
        <f t="shared" si="6"/>
        <v>0</v>
      </c>
      <c r="E218" s="44">
        <f t="shared" si="7"/>
        <v>0.18199499999999974</v>
      </c>
      <c r="F218" s="40">
        <f>IF(A218&gt;$F$10,0,IF((Params!$C$21+GiaDinh_K3!$D$8*Params!$C$5*C218)&gt;=0,(Params!$C$21+GiaDinh_K3!$D$8*Params!$C$5*C218)*'Tính chọn'!$D$23/Params!$C$16,(Params!$C$21+GiaDinh_K3!$D$8*Params!$C$5*C218)*'Tính chọn'!$D$23*Params!$C$16)+Catalogue!$F$15*C218/'Tính chọn'!$D$23)</f>
        <v>0</v>
      </c>
      <c r="G218" s="40">
        <f>IF(A218&gt;$F$10,0,IF(('Tính chọn'!$D$6+GiaDinh_K3!$D$8*Params!$C$6*C218)&gt;=0,('Tính chọn'!$D$6+GiaDinh_K3!$D$8*Params!$C$6*C218)*'Tính chọn'!$D$23/Params!$C$16,('Tính chọn'!$D$6+GiaDinh_K3!$D$8*Params!$C$6*C218)*'Tính chọn'!$D$23*Params!$C$16)+Catalogue!$F$15*C218/'Tính chọn'!$D$23)</f>
        <v>0</v>
      </c>
      <c r="H218" s="43">
        <f>F218*D218/'Tính chọn'!$D$23</f>
        <v>0</v>
      </c>
    </row>
    <row r="219" spans="1:8" x14ac:dyDescent="0.2">
      <c r="A219" s="39">
        <f>205*$B$5</f>
        <v>2.0499999999999998</v>
      </c>
      <c r="B219" s="40">
        <f>IF(A219&lt;$F$4,GiaDinh_K3!$D$12,IF(A219&lt;$F$5,0,IF(A219&lt;$F$6,-GiaDinh_K3!$D$12,IF(A219&lt;$F$7,0,IF(A219&lt;$F$8,-GiaDinh_K3!$D$12,IF(A219&lt;$F$9,0,IF(A219&lt;$F$10,GiaDinh_K3!$D$12,0)))))))</f>
        <v>0</v>
      </c>
      <c r="C219" s="41">
        <f>IF(A219&lt;$F$4,GiaDinh_K3!$D$12*A219,IF(A219&lt;$F$5,GiaDinh_K3!$D$11,IF(A219&lt;$F$6,GiaDinh_K3!$D$11-GiaDinh_K3!$D$12*(A219-$F$5),IF(A219&lt;$F$7,0,IF(A219&lt;$F$8,-GiaDinh_K3!$D$12*(A219-$F$7),IF(A219&lt;$F$9,-GiaDinh_K3!$D$11,IF(A219&lt;$F$10,-GiaDinh_K3!$D$11+GiaDinh_K3!$D$12*(A219-$F$9),0)))))))</f>
        <v>0</v>
      </c>
      <c r="D219" s="44">
        <f t="shared" si="6"/>
        <v>0</v>
      </c>
      <c r="E219" s="44">
        <f t="shared" si="7"/>
        <v>0.18199499999999974</v>
      </c>
      <c r="F219" s="40">
        <f>IF(A219&gt;$F$10,0,IF((Params!$C$21+GiaDinh_K3!$D$8*Params!$C$5*C219)&gt;=0,(Params!$C$21+GiaDinh_K3!$D$8*Params!$C$5*C219)*'Tính chọn'!$D$23/Params!$C$16,(Params!$C$21+GiaDinh_K3!$D$8*Params!$C$5*C219)*'Tính chọn'!$D$23*Params!$C$16)+Catalogue!$F$15*C219/'Tính chọn'!$D$23)</f>
        <v>0</v>
      </c>
      <c r="G219" s="40">
        <f>IF(A219&gt;$F$10,0,IF(('Tính chọn'!$D$6+GiaDinh_K3!$D$8*Params!$C$6*C219)&gt;=0,('Tính chọn'!$D$6+GiaDinh_K3!$D$8*Params!$C$6*C219)*'Tính chọn'!$D$23/Params!$C$16,('Tính chọn'!$D$6+GiaDinh_K3!$D$8*Params!$C$6*C219)*'Tính chọn'!$D$23*Params!$C$16)+Catalogue!$F$15*C219/'Tính chọn'!$D$23)</f>
        <v>0</v>
      </c>
      <c r="H219" s="43">
        <f>F219*D219/'Tính chọn'!$D$23</f>
        <v>0</v>
      </c>
    </row>
    <row r="220" spans="1:8" x14ac:dyDescent="0.2">
      <c r="A220" s="39">
        <f>206*$B$5</f>
        <v>2.06</v>
      </c>
      <c r="B220" s="40">
        <f>IF(A220&lt;$F$4,GiaDinh_K3!$D$12,IF(A220&lt;$F$5,0,IF(A220&lt;$F$6,-GiaDinh_K3!$D$12,IF(A220&lt;$F$7,0,IF(A220&lt;$F$8,-GiaDinh_K3!$D$12,IF(A220&lt;$F$9,0,IF(A220&lt;$F$10,GiaDinh_K3!$D$12,0)))))))</f>
        <v>0</v>
      </c>
      <c r="C220" s="41">
        <f>IF(A220&lt;$F$4,GiaDinh_K3!$D$12*A220,IF(A220&lt;$F$5,GiaDinh_K3!$D$11,IF(A220&lt;$F$6,GiaDinh_K3!$D$11-GiaDinh_K3!$D$12*(A220-$F$5),IF(A220&lt;$F$7,0,IF(A220&lt;$F$8,-GiaDinh_K3!$D$12*(A220-$F$7),IF(A220&lt;$F$9,-GiaDinh_K3!$D$11,IF(A220&lt;$F$10,-GiaDinh_K3!$D$11+GiaDinh_K3!$D$12*(A220-$F$9),0)))))))</f>
        <v>0</v>
      </c>
      <c r="D220" s="44">
        <f t="shared" si="6"/>
        <v>0</v>
      </c>
      <c r="E220" s="44">
        <f t="shared" si="7"/>
        <v>0.18199499999999974</v>
      </c>
      <c r="F220" s="40">
        <f>IF(A220&gt;$F$10,0,IF((Params!$C$21+GiaDinh_K3!$D$8*Params!$C$5*C220)&gt;=0,(Params!$C$21+GiaDinh_K3!$D$8*Params!$C$5*C220)*'Tính chọn'!$D$23/Params!$C$16,(Params!$C$21+GiaDinh_K3!$D$8*Params!$C$5*C220)*'Tính chọn'!$D$23*Params!$C$16)+Catalogue!$F$15*C220/'Tính chọn'!$D$23)</f>
        <v>0</v>
      </c>
      <c r="G220" s="40">
        <f>IF(A220&gt;$F$10,0,IF(('Tính chọn'!$D$6+GiaDinh_K3!$D$8*Params!$C$6*C220)&gt;=0,('Tính chọn'!$D$6+GiaDinh_K3!$D$8*Params!$C$6*C220)*'Tính chọn'!$D$23/Params!$C$16,('Tính chọn'!$D$6+GiaDinh_K3!$D$8*Params!$C$6*C220)*'Tính chọn'!$D$23*Params!$C$16)+Catalogue!$F$15*C220/'Tính chọn'!$D$23)</f>
        <v>0</v>
      </c>
      <c r="H220" s="43">
        <f>F220*D220/'Tính chọn'!$D$23</f>
        <v>0</v>
      </c>
    </row>
    <row r="221" spans="1:8" x14ac:dyDescent="0.2">
      <c r="A221" s="39">
        <f>207*$B$5</f>
        <v>2.0699999999999998</v>
      </c>
      <c r="B221" s="40">
        <f>IF(A221&lt;$F$4,GiaDinh_K3!$D$12,IF(A221&lt;$F$5,0,IF(A221&lt;$F$6,-GiaDinh_K3!$D$12,IF(A221&lt;$F$7,0,IF(A221&lt;$F$8,-GiaDinh_K3!$D$12,IF(A221&lt;$F$9,0,IF(A221&lt;$F$10,GiaDinh_K3!$D$12,0)))))))</f>
        <v>0</v>
      </c>
      <c r="C221" s="41">
        <f>IF(A221&lt;$F$4,GiaDinh_K3!$D$12*A221,IF(A221&lt;$F$5,GiaDinh_K3!$D$11,IF(A221&lt;$F$6,GiaDinh_K3!$D$11-GiaDinh_K3!$D$12*(A221-$F$5),IF(A221&lt;$F$7,0,IF(A221&lt;$F$8,-GiaDinh_K3!$D$12*(A221-$F$7),IF(A221&lt;$F$9,-GiaDinh_K3!$D$11,IF(A221&lt;$F$10,-GiaDinh_K3!$D$11+GiaDinh_K3!$D$12*(A221-$F$9),0)))))))</f>
        <v>0</v>
      </c>
      <c r="D221" s="44">
        <f t="shared" si="6"/>
        <v>0</v>
      </c>
      <c r="E221" s="44">
        <f t="shared" si="7"/>
        <v>0.18199499999999974</v>
      </c>
      <c r="F221" s="40">
        <f>IF(A221&gt;$F$10,0,IF((Params!$C$21+GiaDinh_K3!$D$8*Params!$C$5*C221)&gt;=0,(Params!$C$21+GiaDinh_K3!$D$8*Params!$C$5*C221)*'Tính chọn'!$D$23/Params!$C$16,(Params!$C$21+GiaDinh_K3!$D$8*Params!$C$5*C221)*'Tính chọn'!$D$23*Params!$C$16)+Catalogue!$F$15*C221/'Tính chọn'!$D$23)</f>
        <v>0</v>
      </c>
      <c r="G221" s="40">
        <f>IF(A221&gt;$F$10,0,IF(('Tính chọn'!$D$6+GiaDinh_K3!$D$8*Params!$C$6*C221)&gt;=0,('Tính chọn'!$D$6+GiaDinh_K3!$D$8*Params!$C$6*C221)*'Tính chọn'!$D$23/Params!$C$16,('Tính chọn'!$D$6+GiaDinh_K3!$D$8*Params!$C$6*C221)*'Tính chọn'!$D$23*Params!$C$16)+Catalogue!$F$15*C221/'Tính chọn'!$D$23)</f>
        <v>0</v>
      </c>
      <c r="H221" s="43">
        <f>F221*D221/'Tính chọn'!$D$23</f>
        <v>0</v>
      </c>
    </row>
    <row r="222" spans="1:8" x14ac:dyDescent="0.2">
      <c r="A222" s="39">
        <f>208*$B$5</f>
        <v>2.08</v>
      </c>
      <c r="B222" s="40">
        <f>IF(A222&lt;$F$4,GiaDinh_K3!$D$12,IF(A222&lt;$F$5,0,IF(A222&lt;$F$6,-GiaDinh_K3!$D$12,IF(A222&lt;$F$7,0,IF(A222&lt;$F$8,-GiaDinh_K3!$D$12,IF(A222&lt;$F$9,0,IF(A222&lt;$F$10,GiaDinh_K3!$D$12,0)))))))</f>
        <v>0</v>
      </c>
      <c r="C222" s="41">
        <f>IF(A222&lt;$F$4,GiaDinh_K3!$D$12*A222,IF(A222&lt;$F$5,GiaDinh_K3!$D$11,IF(A222&lt;$F$6,GiaDinh_K3!$D$11-GiaDinh_K3!$D$12*(A222-$F$5),IF(A222&lt;$F$7,0,IF(A222&lt;$F$8,-GiaDinh_K3!$D$12*(A222-$F$7),IF(A222&lt;$F$9,-GiaDinh_K3!$D$11,IF(A222&lt;$F$10,-GiaDinh_K3!$D$11+GiaDinh_K3!$D$12*(A222-$F$9),0)))))))</f>
        <v>0</v>
      </c>
      <c r="D222" s="44">
        <f t="shared" si="6"/>
        <v>0</v>
      </c>
      <c r="E222" s="44">
        <f t="shared" si="7"/>
        <v>0.18199499999999974</v>
      </c>
      <c r="F222" s="40">
        <f>IF(A222&gt;$F$10,0,IF((Params!$C$21+GiaDinh_K3!$D$8*Params!$C$5*C222)&gt;=0,(Params!$C$21+GiaDinh_K3!$D$8*Params!$C$5*C222)*'Tính chọn'!$D$23/Params!$C$16,(Params!$C$21+GiaDinh_K3!$D$8*Params!$C$5*C222)*'Tính chọn'!$D$23*Params!$C$16)+Catalogue!$F$15*C222/'Tính chọn'!$D$23)</f>
        <v>0</v>
      </c>
      <c r="G222" s="40">
        <f>IF(A222&gt;$F$10,0,IF(('Tính chọn'!$D$6+GiaDinh_K3!$D$8*Params!$C$6*C222)&gt;=0,('Tính chọn'!$D$6+GiaDinh_K3!$D$8*Params!$C$6*C222)*'Tính chọn'!$D$23/Params!$C$16,('Tính chọn'!$D$6+GiaDinh_K3!$D$8*Params!$C$6*C222)*'Tính chọn'!$D$23*Params!$C$16)+Catalogue!$F$15*C222/'Tính chọn'!$D$23)</f>
        <v>0</v>
      </c>
      <c r="H222" s="43">
        <f>F222*D222/'Tính chọn'!$D$23</f>
        <v>0</v>
      </c>
    </row>
    <row r="223" spans="1:8" x14ac:dyDescent="0.2">
      <c r="A223" s="39">
        <f>209*$B$5</f>
        <v>2.09</v>
      </c>
      <c r="B223" s="40">
        <f>IF(A223&lt;$F$4,GiaDinh_K3!$D$12,IF(A223&lt;$F$5,0,IF(A223&lt;$F$6,-GiaDinh_K3!$D$12,IF(A223&lt;$F$7,0,IF(A223&lt;$F$8,-GiaDinh_K3!$D$12,IF(A223&lt;$F$9,0,IF(A223&lt;$F$10,GiaDinh_K3!$D$12,0)))))))</f>
        <v>0</v>
      </c>
      <c r="C223" s="41">
        <f>IF(A223&lt;$F$4,GiaDinh_K3!$D$12*A223,IF(A223&lt;$F$5,GiaDinh_K3!$D$11,IF(A223&lt;$F$6,GiaDinh_K3!$D$11-GiaDinh_K3!$D$12*(A223-$F$5),IF(A223&lt;$F$7,0,IF(A223&lt;$F$8,-GiaDinh_K3!$D$12*(A223-$F$7),IF(A223&lt;$F$9,-GiaDinh_K3!$D$11,IF(A223&lt;$F$10,-GiaDinh_K3!$D$11+GiaDinh_K3!$D$12*(A223-$F$9),0)))))))</f>
        <v>0</v>
      </c>
      <c r="D223" s="44">
        <f t="shared" si="6"/>
        <v>0</v>
      </c>
      <c r="E223" s="44">
        <f t="shared" si="7"/>
        <v>0.18199499999999974</v>
      </c>
      <c r="F223" s="40">
        <f>IF(A223&gt;$F$10,0,IF((Params!$C$21+GiaDinh_K3!$D$8*Params!$C$5*C223)&gt;=0,(Params!$C$21+GiaDinh_K3!$D$8*Params!$C$5*C223)*'Tính chọn'!$D$23/Params!$C$16,(Params!$C$21+GiaDinh_K3!$D$8*Params!$C$5*C223)*'Tính chọn'!$D$23*Params!$C$16)+Catalogue!$F$15*C223/'Tính chọn'!$D$23)</f>
        <v>0</v>
      </c>
      <c r="G223" s="40">
        <f>IF(A223&gt;$F$10,0,IF(('Tính chọn'!$D$6+GiaDinh_K3!$D$8*Params!$C$6*C223)&gt;=0,('Tính chọn'!$D$6+GiaDinh_K3!$D$8*Params!$C$6*C223)*'Tính chọn'!$D$23/Params!$C$16,('Tính chọn'!$D$6+GiaDinh_K3!$D$8*Params!$C$6*C223)*'Tính chọn'!$D$23*Params!$C$16)+Catalogue!$F$15*C223/'Tính chọn'!$D$23)</f>
        <v>0</v>
      </c>
      <c r="H223" s="43">
        <f>F223*D223/'Tính chọn'!$D$23</f>
        <v>0</v>
      </c>
    </row>
    <row r="224" spans="1:8" x14ac:dyDescent="0.2">
      <c r="A224" s="39">
        <f>210*$B$5</f>
        <v>2.1</v>
      </c>
      <c r="B224" s="40">
        <f>IF(A224&lt;$F$4,GiaDinh_K3!$D$12,IF(A224&lt;$F$5,0,IF(A224&lt;$F$6,-GiaDinh_K3!$D$12,IF(A224&lt;$F$7,0,IF(A224&lt;$F$8,-GiaDinh_K3!$D$12,IF(A224&lt;$F$9,0,IF(A224&lt;$F$10,GiaDinh_K3!$D$12,0)))))))</f>
        <v>0</v>
      </c>
      <c r="C224" s="41">
        <f>IF(A224&lt;$F$4,GiaDinh_K3!$D$12*A224,IF(A224&lt;$F$5,GiaDinh_K3!$D$11,IF(A224&lt;$F$6,GiaDinh_K3!$D$11-GiaDinh_K3!$D$12*(A224-$F$5),IF(A224&lt;$F$7,0,IF(A224&lt;$F$8,-GiaDinh_K3!$D$12*(A224-$F$7),IF(A224&lt;$F$9,-GiaDinh_K3!$D$11,IF(A224&lt;$F$10,-GiaDinh_K3!$D$11+GiaDinh_K3!$D$12*(A224-$F$9),0)))))))</f>
        <v>0</v>
      </c>
      <c r="D224" s="44">
        <f t="shared" si="6"/>
        <v>0</v>
      </c>
      <c r="E224" s="44">
        <f t="shared" si="7"/>
        <v>0.18199499999999974</v>
      </c>
      <c r="F224" s="40">
        <f>IF(A224&gt;$F$10,0,IF((Params!$C$21+GiaDinh_K3!$D$8*Params!$C$5*C224)&gt;=0,(Params!$C$21+GiaDinh_K3!$D$8*Params!$C$5*C224)*'Tính chọn'!$D$23/Params!$C$16,(Params!$C$21+GiaDinh_K3!$D$8*Params!$C$5*C224)*'Tính chọn'!$D$23*Params!$C$16)+Catalogue!$F$15*C224/'Tính chọn'!$D$23)</f>
        <v>0</v>
      </c>
      <c r="G224" s="40">
        <f>IF(A224&gt;$F$10,0,IF(('Tính chọn'!$D$6+GiaDinh_K3!$D$8*Params!$C$6*C224)&gt;=0,('Tính chọn'!$D$6+GiaDinh_K3!$D$8*Params!$C$6*C224)*'Tính chọn'!$D$23/Params!$C$16,('Tính chọn'!$D$6+GiaDinh_K3!$D$8*Params!$C$6*C224)*'Tính chọn'!$D$23*Params!$C$16)+Catalogue!$F$15*C224/'Tính chọn'!$D$23)</f>
        <v>0</v>
      </c>
      <c r="H224" s="43">
        <f>F224*D224/'Tính chọn'!$D$23</f>
        <v>0</v>
      </c>
    </row>
    <row r="225" spans="1:8" x14ac:dyDescent="0.2">
      <c r="A225" s="39">
        <f>211*$B$5</f>
        <v>2.11</v>
      </c>
      <c r="B225" s="40">
        <f>IF(A225&lt;$F$4,GiaDinh_K3!$D$12,IF(A225&lt;$F$5,0,IF(A225&lt;$F$6,-GiaDinh_K3!$D$12,IF(A225&lt;$F$7,0,IF(A225&lt;$F$8,-GiaDinh_K3!$D$12,IF(A225&lt;$F$9,0,IF(A225&lt;$F$10,GiaDinh_K3!$D$12,0)))))))</f>
        <v>0</v>
      </c>
      <c r="C225" s="41">
        <f>IF(A225&lt;$F$4,GiaDinh_K3!$D$12*A225,IF(A225&lt;$F$5,GiaDinh_K3!$D$11,IF(A225&lt;$F$6,GiaDinh_K3!$D$11-GiaDinh_K3!$D$12*(A225-$F$5),IF(A225&lt;$F$7,0,IF(A225&lt;$F$8,-GiaDinh_K3!$D$12*(A225-$F$7),IF(A225&lt;$F$9,-GiaDinh_K3!$D$11,IF(A225&lt;$F$10,-GiaDinh_K3!$D$11+GiaDinh_K3!$D$12*(A225-$F$9),0)))))))</f>
        <v>0</v>
      </c>
      <c r="D225" s="44">
        <f t="shared" si="6"/>
        <v>0</v>
      </c>
      <c r="E225" s="44">
        <f t="shared" si="7"/>
        <v>0.18199499999999974</v>
      </c>
      <c r="F225" s="40">
        <f>IF(A225&gt;$F$10,0,IF((Params!$C$21+GiaDinh_K3!$D$8*Params!$C$5*C225)&gt;=0,(Params!$C$21+GiaDinh_K3!$D$8*Params!$C$5*C225)*'Tính chọn'!$D$23/Params!$C$16,(Params!$C$21+GiaDinh_K3!$D$8*Params!$C$5*C225)*'Tính chọn'!$D$23*Params!$C$16)+Catalogue!$F$15*C225/'Tính chọn'!$D$23)</f>
        <v>0</v>
      </c>
      <c r="G225" s="40">
        <f>IF(A225&gt;$F$10,0,IF(('Tính chọn'!$D$6+GiaDinh_K3!$D$8*Params!$C$6*C225)&gt;=0,('Tính chọn'!$D$6+GiaDinh_K3!$D$8*Params!$C$6*C225)*'Tính chọn'!$D$23/Params!$C$16,('Tính chọn'!$D$6+GiaDinh_K3!$D$8*Params!$C$6*C225)*'Tính chọn'!$D$23*Params!$C$16)+Catalogue!$F$15*C225/'Tính chọn'!$D$23)</f>
        <v>0</v>
      </c>
      <c r="H225" s="43">
        <f>F225*D225/'Tính chọn'!$D$23</f>
        <v>0</v>
      </c>
    </row>
    <row r="226" spans="1:8" x14ac:dyDescent="0.2">
      <c r="A226" s="39">
        <f>212*$B$5</f>
        <v>2.12</v>
      </c>
      <c r="B226" s="40">
        <f>IF(A226&lt;$F$4,GiaDinh_K3!$D$12,IF(A226&lt;$F$5,0,IF(A226&lt;$F$6,-GiaDinh_K3!$D$12,IF(A226&lt;$F$7,0,IF(A226&lt;$F$8,-GiaDinh_K3!$D$12,IF(A226&lt;$F$9,0,IF(A226&lt;$F$10,GiaDinh_K3!$D$12,0)))))))</f>
        <v>0</v>
      </c>
      <c r="C226" s="41">
        <f>IF(A226&lt;$F$4,GiaDinh_K3!$D$12*A226,IF(A226&lt;$F$5,GiaDinh_K3!$D$11,IF(A226&lt;$F$6,GiaDinh_K3!$D$11-GiaDinh_K3!$D$12*(A226-$F$5),IF(A226&lt;$F$7,0,IF(A226&lt;$F$8,-GiaDinh_K3!$D$12*(A226-$F$7),IF(A226&lt;$F$9,-GiaDinh_K3!$D$11,IF(A226&lt;$F$10,-GiaDinh_K3!$D$11+GiaDinh_K3!$D$12*(A226-$F$9),0)))))))</f>
        <v>0</v>
      </c>
      <c r="D226" s="44">
        <f t="shared" si="6"/>
        <v>0</v>
      </c>
      <c r="E226" s="44">
        <f t="shared" si="7"/>
        <v>0.18199499999999974</v>
      </c>
      <c r="F226" s="40">
        <f>IF(A226&gt;$F$10,0,IF((Params!$C$21+GiaDinh_K3!$D$8*Params!$C$5*C226)&gt;=0,(Params!$C$21+GiaDinh_K3!$D$8*Params!$C$5*C226)*'Tính chọn'!$D$23/Params!$C$16,(Params!$C$21+GiaDinh_K3!$D$8*Params!$C$5*C226)*'Tính chọn'!$D$23*Params!$C$16)+Catalogue!$F$15*C226/'Tính chọn'!$D$23)</f>
        <v>0</v>
      </c>
      <c r="G226" s="40">
        <f>IF(A226&gt;$F$10,0,IF(('Tính chọn'!$D$6+GiaDinh_K3!$D$8*Params!$C$6*C226)&gt;=0,('Tính chọn'!$D$6+GiaDinh_K3!$D$8*Params!$C$6*C226)*'Tính chọn'!$D$23/Params!$C$16,('Tính chọn'!$D$6+GiaDinh_K3!$D$8*Params!$C$6*C226)*'Tính chọn'!$D$23*Params!$C$16)+Catalogue!$F$15*C226/'Tính chọn'!$D$23)</f>
        <v>0</v>
      </c>
      <c r="H226" s="43">
        <f>F226*D226/'Tính chọn'!$D$23</f>
        <v>0</v>
      </c>
    </row>
    <row r="227" spans="1:8" x14ac:dyDescent="0.2">
      <c r="A227" s="39">
        <f>213*$B$5</f>
        <v>2.13</v>
      </c>
      <c r="B227" s="40">
        <f>IF(A227&lt;$F$4,GiaDinh_K3!$D$12,IF(A227&lt;$F$5,0,IF(A227&lt;$F$6,-GiaDinh_K3!$D$12,IF(A227&lt;$F$7,0,IF(A227&lt;$F$8,-GiaDinh_K3!$D$12,IF(A227&lt;$F$9,0,IF(A227&lt;$F$10,GiaDinh_K3!$D$12,0)))))))</f>
        <v>0</v>
      </c>
      <c r="C227" s="41">
        <f>IF(A227&lt;$F$4,GiaDinh_K3!$D$12*A227,IF(A227&lt;$F$5,GiaDinh_K3!$D$11,IF(A227&lt;$F$6,GiaDinh_K3!$D$11-GiaDinh_K3!$D$12*(A227-$F$5),IF(A227&lt;$F$7,0,IF(A227&lt;$F$8,-GiaDinh_K3!$D$12*(A227-$F$7),IF(A227&lt;$F$9,-GiaDinh_K3!$D$11,IF(A227&lt;$F$10,-GiaDinh_K3!$D$11+GiaDinh_K3!$D$12*(A227-$F$9),0)))))))</f>
        <v>0</v>
      </c>
      <c r="D227" s="44">
        <f t="shared" si="6"/>
        <v>0</v>
      </c>
      <c r="E227" s="44">
        <f t="shared" si="7"/>
        <v>0.18199499999999974</v>
      </c>
      <c r="F227" s="40">
        <f>IF(A227&gt;$F$10,0,IF((Params!$C$21+GiaDinh_K3!$D$8*Params!$C$5*C227)&gt;=0,(Params!$C$21+GiaDinh_K3!$D$8*Params!$C$5*C227)*'Tính chọn'!$D$23/Params!$C$16,(Params!$C$21+GiaDinh_K3!$D$8*Params!$C$5*C227)*'Tính chọn'!$D$23*Params!$C$16)+Catalogue!$F$15*C227/'Tính chọn'!$D$23)</f>
        <v>0</v>
      </c>
      <c r="G227" s="40">
        <f>IF(A227&gt;$F$10,0,IF(('Tính chọn'!$D$6+GiaDinh_K3!$D$8*Params!$C$6*C227)&gt;=0,('Tính chọn'!$D$6+GiaDinh_K3!$D$8*Params!$C$6*C227)*'Tính chọn'!$D$23/Params!$C$16,('Tính chọn'!$D$6+GiaDinh_K3!$D$8*Params!$C$6*C227)*'Tính chọn'!$D$23*Params!$C$16)+Catalogue!$F$15*C227/'Tính chọn'!$D$23)</f>
        <v>0</v>
      </c>
      <c r="H227" s="43">
        <f>F227*D227/'Tính chọn'!$D$23</f>
        <v>0</v>
      </c>
    </row>
    <row r="228" spans="1:8" x14ac:dyDescent="0.2">
      <c r="A228" s="39">
        <f>214*$B$5</f>
        <v>2.14</v>
      </c>
      <c r="B228" s="40">
        <f>IF(A228&lt;$F$4,GiaDinh_K3!$D$12,IF(A228&lt;$F$5,0,IF(A228&lt;$F$6,-GiaDinh_K3!$D$12,IF(A228&lt;$F$7,0,IF(A228&lt;$F$8,-GiaDinh_K3!$D$12,IF(A228&lt;$F$9,0,IF(A228&lt;$F$10,GiaDinh_K3!$D$12,0)))))))</f>
        <v>0</v>
      </c>
      <c r="C228" s="41">
        <f>IF(A228&lt;$F$4,GiaDinh_K3!$D$12*A228,IF(A228&lt;$F$5,GiaDinh_K3!$D$11,IF(A228&lt;$F$6,GiaDinh_K3!$D$11-GiaDinh_K3!$D$12*(A228-$F$5),IF(A228&lt;$F$7,0,IF(A228&lt;$F$8,-GiaDinh_K3!$D$12*(A228-$F$7),IF(A228&lt;$F$9,-GiaDinh_K3!$D$11,IF(A228&lt;$F$10,-GiaDinh_K3!$D$11+GiaDinh_K3!$D$12*(A228-$F$9),0)))))))</f>
        <v>0</v>
      </c>
      <c r="D228" s="44">
        <f t="shared" si="6"/>
        <v>0</v>
      </c>
      <c r="E228" s="44">
        <f t="shared" si="7"/>
        <v>0.18199499999999974</v>
      </c>
      <c r="F228" s="40">
        <f>IF(A228&gt;$F$10,0,IF((Params!$C$21+GiaDinh_K3!$D$8*Params!$C$5*C228)&gt;=0,(Params!$C$21+GiaDinh_K3!$D$8*Params!$C$5*C228)*'Tính chọn'!$D$23/Params!$C$16,(Params!$C$21+GiaDinh_K3!$D$8*Params!$C$5*C228)*'Tính chọn'!$D$23*Params!$C$16)+Catalogue!$F$15*C228/'Tính chọn'!$D$23)</f>
        <v>0</v>
      </c>
      <c r="G228" s="40">
        <f>IF(A228&gt;$F$10,0,IF(('Tính chọn'!$D$6+GiaDinh_K3!$D$8*Params!$C$6*C228)&gt;=0,('Tính chọn'!$D$6+GiaDinh_K3!$D$8*Params!$C$6*C228)*'Tính chọn'!$D$23/Params!$C$16,('Tính chọn'!$D$6+GiaDinh_K3!$D$8*Params!$C$6*C228)*'Tính chọn'!$D$23*Params!$C$16)+Catalogue!$F$15*C228/'Tính chọn'!$D$23)</f>
        <v>0</v>
      </c>
      <c r="H228" s="43">
        <f>F228*D228/'Tính chọn'!$D$23</f>
        <v>0</v>
      </c>
    </row>
    <row r="229" spans="1:8" x14ac:dyDescent="0.2">
      <c r="A229" s="39">
        <f>215*$B$5</f>
        <v>2.15</v>
      </c>
      <c r="B229" s="40">
        <f>IF(A229&lt;$F$4,GiaDinh_K3!$D$12,IF(A229&lt;$F$5,0,IF(A229&lt;$F$6,-GiaDinh_K3!$D$12,IF(A229&lt;$F$7,0,IF(A229&lt;$F$8,-GiaDinh_K3!$D$12,IF(A229&lt;$F$9,0,IF(A229&lt;$F$10,GiaDinh_K3!$D$12,0)))))))</f>
        <v>0</v>
      </c>
      <c r="C229" s="41">
        <f>IF(A229&lt;$F$4,GiaDinh_K3!$D$12*A229,IF(A229&lt;$F$5,GiaDinh_K3!$D$11,IF(A229&lt;$F$6,GiaDinh_K3!$D$11-GiaDinh_K3!$D$12*(A229-$F$5),IF(A229&lt;$F$7,0,IF(A229&lt;$F$8,-GiaDinh_K3!$D$12*(A229-$F$7),IF(A229&lt;$F$9,-GiaDinh_K3!$D$11,IF(A229&lt;$F$10,-GiaDinh_K3!$D$11+GiaDinh_K3!$D$12*(A229-$F$9),0)))))))</f>
        <v>0</v>
      </c>
      <c r="D229" s="44">
        <f t="shared" si="6"/>
        <v>0</v>
      </c>
      <c r="E229" s="44">
        <f t="shared" si="7"/>
        <v>0.18199499999999974</v>
      </c>
      <c r="F229" s="40">
        <f>IF(A229&gt;$F$10,0,IF((Params!$C$21+GiaDinh_K3!$D$8*Params!$C$5*C229)&gt;=0,(Params!$C$21+GiaDinh_K3!$D$8*Params!$C$5*C229)*'Tính chọn'!$D$23/Params!$C$16,(Params!$C$21+GiaDinh_K3!$D$8*Params!$C$5*C229)*'Tính chọn'!$D$23*Params!$C$16)+Catalogue!$F$15*C229/'Tính chọn'!$D$23)</f>
        <v>0</v>
      </c>
      <c r="G229" s="40">
        <f>IF(A229&gt;$F$10,0,IF(('Tính chọn'!$D$6+GiaDinh_K3!$D$8*Params!$C$6*C229)&gt;=0,('Tính chọn'!$D$6+GiaDinh_K3!$D$8*Params!$C$6*C229)*'Tính chọn'!$D$23/Params!$C$16,('Tính chọn'!$D$6+GiaDinh_K3!$D$8*Params!$C$6*C229)*'Tính chọn'!$D$23*Params!$C$16)+Catalogue!$F$15*C229/'Tính chọn'!$D$23)</f>
        <v>0</v>
      </c>
      <c r="H229" s="43">
        <f>F229*D229/'Tính chọn'!$D$23</f>
        <v>0</v>
      </c>
    </row>
    <row r="230" spans="1:8" x14ac:dyDescent="0.2">
      <c r="A230" s="39">
        <f>216*$B$5</f>
        <v>2.16</v>
      </c>
      <c r="B230" s="40">
        <f>IF(A230&lt;$F$4,GiaDinh_K3!$D$12,IF(A230&lt;$F$5,0,IF(A230&lt;$F$6,-GiaDinh_K3!$D$12,IF(A230&lt;$F$7,0,IF(A230&lt;$F$8,-GiaDinh_K3!$D$12,IF(A230&lt;$F$9,0,IF(A230&lt;$F$10,GiaDinh_K3!$D$12,0)))))))</f>
        <v>0</v>
      </c>
      <c r="C230" s="41">
        <f>IF(A230&lt;$F$4,GiaDinh_K3!$D$12*A230,IF(A230&lt;$F$5,GiaDinh_K3!$D$11,IF(A230&lt;$F$6,GiaDinh_K3!$D$11-GiaDinh_K3!$D$12*(A230-$F$5),IF(A230&lt;$F$7,0,IF(A230&lt;$F$8,-GiaDinh_K3!$D$12*(A230-$F$7),IF(A230&lt;$F$9,-GiaDinh_K3!$D$11,IF(A230&lt;$F$10,-GiaDinh_K3!$D$11+GiaDinh_K3!$D$12*(A230-$F$9),0)))))))</f>
        <v>0</v>
      </c>
      <c r="D230" s="44">
        <f t="shared" si="6"/>
        <v>0</v>
      </c>
      <c r="E230" s="44">
        <f t="shared" si="7"/>
        <v>0.18199499999999974</v>
      </c>
      <c r="F230" s="40">
        <f>IF(A230&gt;$F$10,0,IF((Params!$C$21+GiaDinh_K3!$D$8*Params!$C$5*C230)&gt;=0,(Params!$C$21+GiaDinh_K3!$D$8*Params!$C$5*C230)*'Tính chọn'!$D$23/Params!$C$16,(Params!$C$21+GiaDinh_K3!$D$8*Params!$C$5*C230)*'Tính chọn'!$D$23*Params!$C$16)+Catalogue!$F$15*C230/'Tính chọn'!$D$23)</f>
        <v>0</v>
      </c>
      <c r="G230" s="40">
        <f>IF(A230&gt;$F$10,0,IF(('Tính chọn'!$D$6+GiaDinh_K3!$D$8*Params!$C$6*C230)&gt;=0,('Tính chọn'!$D$6+GiaDinh_K3!$D$8*Params!$C$6*C230)*'Tính chọn'!$D$23/Params!$C$16,('Tính chọn'!$D$6+GiaDinh_K3!$D$8*Params!$C$6*C230)*'Tính chọn'!$D$23*Params!$C$16)+Catalogue!$F$15*C230/'Tính chọn'!$D$23)</f>
        <v>0</v>
      </c>
      <c r="H230" s="43">
        <f>F230*D230/'Tính chọn'!$D$23</f>
        <v>0</v>
      </c>
    </row>
    <row r="231" spans="1:8" x14ac:dyDescent="0.2">
      <c r="A231" s="39">
        <f>217*$B$5</f>
        <v>2.17</v>
      </c>
      <c r="B231" s="40">
        <f>IF(A231&lt;$F$4,GiaDinh_K3!$D$12,IF(A231&lt;$F$5,0,IF(A231&lt;$F$6,-GiaDinh_K3!$D$12,IF(A231&lt;$F$7,0,IF(A231&lt;$F$8,-GiaDinh_K3!$D$12,IF(A231&lt;$F$9,0,IF(A231&lt;$F$10,GiaDinh_K3!$D$12,0)))))))</f>
        <v>0</v>
      </c>
      <c r="C231" s="41">
        <f>IF(A231&lt;$F$4,GiaDinh_K3!$D$12*A231,IF(A231&lt;$F$5,GiaDinh_K3!$D$11,IF(A231&lt;$F$6,GiaDinh_K3!$D$11-GiaDinh_K3!$D$12*(A231-$F$5),IF(A231&lt;$F$7,0,IF(A231&lt;$F$8,-GiaDinh_K3!$D$12*(A231-$F$7),IF(A231&lt;$F$9,-GiaDinh_K3!$D$11,IF(A231&lt;$F$10,-GiaDinh_K3!$D$11+GiaDinh_K3!$D$12*(A231-$F$9),0)))))))</f>
        <v>0</v>
      </c>
      <c r="D231" s="44">
        <f t="shared" si="6"/>
        <v>0</v>
      </c>
      <c r="E231" s="44">
        <f t="shared" si="7"/>
        <v>0.18199499999999974</v>
      </c>
      <c r="F231" s="40">
        <f>IF(A231&gt;$F$10,0,IF((Params!$C$21+GiaDinh_K3!$D$8*Params!$C$5*C231)&gt;=0,(Params!$C$21+GiaDinh_K3!$D$8*Params!$C$5*C231)*'Tính chọn'!$D$23/Params!$C$16,(Params!$C$21+GiaDinh_K3!$D$8*Params!$C$5*C231)*'Tính chọn'!$D$23*Params!$C$16)+Catalogue!$F$15*C231/'Tính chọn'!$D$23)</f>
        <v>0</v>
      </c>
      <c r="G231" s="40">
        <f>IF(A231&gt;$F$10,0,IF(('Tính chọn'!$D$6+GiaDinh_K3!$D$8*Params!$C$6*C231)&gt;=0,('Tính chọn'!$D$6+GiaDinh_K3!$D$8*Params!$C$6*C231)*'Tính chọn'!$D$23/Params!$C$16,('Tính chọn'!$D$6+GiaDinh_K3!$D$8*Params!$C$6*C231)*'Tính chọn'!$D$23*Params!$C$16)+Catalogue!$F$15*C231/'Tính chọn'!$D$23)</f>
        <v>0</v>
      </c>
      <c r="H231" s="43">
        <f>F231*D231/'Tính chọn'!$D$23</f>
        <v>0</v>
      </c>
    </row>
    <row r="232" spans="1:8" x14ac:dyDescent="0.2">
      <c r="A232" s="39">
        <f>218*$B$5</f>
        <v>2.1800000000000002</v>
      </c>
      <c r="B232" s="40">
        <f>IF(A232&lt;$F$4,GiaDinh_K3!$D$12,IF(A232&lt;$F$5,0,IF(A232&lt;$F$6,-GiaDinh_K3!$D$12,IF(A232&lt;$F$7,0,IF(A232&lt;$F$8,-GiaDinh_K3!$D$12,IF(A232&lt;$F$9,0,IF(A232&lt;$F$10,GiaDinh_K3!$D$12,0)))))))</f>
        <v>0</v>
      </c>
      <c r="C232" s="41">
        <f>IF(A232&lt;$F$4,GiaDinh_K3!$D$12*A232,IF(A232&lt;$F$5,GiaDinh_K3!$D$11,IF(A232&lt;$F$6,GiaDinh_K3!$D$11-GiaDinh_K3!$D$12*(A232-$F$5),IF(A232&lt;$F$7,0,IF(A232&lt;$F$8,-GiaDinh_K3!$D$12*(A232-$F$7),IF(A232&lt;$F$9,-GiaDinh_K3!$D$11,IF(A232&lt;$F$10,-GiaDinh_K3!$D$11+GiaDinh_K3!$D$12*(A232-$F$9),0)))))))</f>
        <v>0</v>
      </c>
      <c r="D232" s="44">
        <f t="shared" si="6"/>
        <v>0</v>
      </c>
      <c r="E232" s="44">
        <f t="shared" si="7"/>
        <v>0.18199499999999974</v>
      </c>
      <c r="F232" s="40">
        <f>IF(A232&gt;$F$10,0,IF((Params!$C$21+GiaDinh_K3!$D$8*Params!$C$5*C232)&gt;=0,(Params!$C$21+GiaDinh_K3!$D$8*Params!$C$5*C232)*'Tính chọn'!$D$23/Params!$C$16,(Params!$C$21+GiaDinh_K3!$D$8*Params!$C$5*C232)*'Tính chọn'!$D$23*Params!$C$16)+Catalogue!$F$15*C232/'Tính chọn'!$D$23)</f>
        <v>0</v>
      </c>
      <c r="G232" s="40">
        <f>IF(A232&gt;$F$10,0,IF(('Tính chọn'!$D$6+GiaDinh_K3!$D$8*Params!$C$6*C232)&gt;=0,('Tính chọn'!$D$6+GiaDinh_K3!$D$8*Params!$C$6*C232)*'Tính chọn'!$D$23/Params!$C$16,('Tính chọn'!$D$6+GiaDinh_K3!$D$8*Params!$C$6*C232)*'Tính chọn'!$D$23*Params!$C$16)+Catalogue!$F$15*C232/'Tính chọn'!$D$23)</f>
        <v>0</v>
      </c>
      <c r="H232" s="43">
        <f>F232*D232/'Tính chọn'!$D$23</f>
        <v>0</v>
      </c>
    </row>
    <row r="233" spans="1:8" x14ac:dyDescent="0.2">
      <c r="A233" s="39">
        <f>219*$B$5</f>
        <v>2.19</v>
      </c>
      <c r="B233" s="40">
        <f>IF(A233&lt;$F$4,GiaDinh_K3!$D$12,IF(A233&lt;$F$5,0,IF(A233&lt;$F$6,-GiaDinh_K3!$D$12,IF(A233&lt;$F$7,0,IF(A233&lt;$F$8,-GiaDinh_K3!$D$12,IF(A233&lt;$F$9,0,IF(A233&lt;$F$10,GiaDinh_K3!$D$12,0)))))))</f>
        <v>0</v>
      </c>
      <c r="C233" s="41">
        <f>IF(A233&lt;$F$4,GiaDinh_K3!$D$12*A233,IF(A233&lt;$F$5,GiaDinh_K3!$D$11,IF(A233&lt;$F$6,GiaDinh_K3!$D$11-GiaDinh_K3!$D$12*(A233-$F$5),IF(A233&lt;$F$7,0,IF(A233&lt;$F$8,-GiaDinh_K3!$D$12*(A233-$F$7),IF(A233&lt;$F$9,-GiaDinh_K3!$D$11,IF(A233&lt;$F$10,-GiaDinh_K3!$D$11+GiaDinh_K3!$D$12*(A233-$F$9),0)))))))</f>
        <v>0</v>
      </c>
      <c r="D233" s="44">
        <f t="shared" si="6"/>
        <v>0</v>
      </c>
      <c r="E233" s="44">
        <f t="shared" si="7"/>
        <v>0.18199499999999974</v>
      </c>
      <c r="F233" s="40">
        <f>IF(A233&gt;$F$10,0,IF((Params!$C$21+GiaDinh_K3!$D$8*Params!$C$5*C233)&gt;=0,(Params!$C$21+GiaDinh_K3!$D$8*Params!$C$5*C233)*'Tính chọn'!$D$23/Params!$C$16,(Params!$C$21+GiaDinh_K3!$D$8*Params!$C$5*C233)*'Tính chọn'!$D$23*Params!$C$16)+Catalogue!$F$15*C233/'Tính chọn'!$D$23)</f>
        <v>0</v>
      </c>
      <c r="G233" s="40">
        <f>IF(A233&gt;$F$10,0,IF(('Tính chọn'!$D$6+GiaDinh_K3!$D$8*Params!$C$6*C233)&gt;=0,('Tính chọn'!$D$6+GiaDinh_K3!$D$8*Params!$C$6*C233)*'Tính chọn'!$D$23/Params!$C$16,('Tính chọn'!$D$6+GiaDinh_K3!$D$8*Params!$C$6*C233)*'Tính chọn'!$D$23*Params!$C$16)+Catalogue!$F$15*C233/'Tính chọn'!$D$23)</f>
        <v>0</v>
      </c>
      <c r="H233" s="43">
        <f>F233*D233/'Tính chọn'!$D$23</f>
        <v>0</v>
      </c>
    </row>
    <row r="234" spans="1:8" x14ac:dyDescent="0.2">
      <c r="A234" s="39">
        <f>220*$B$5</f>
        <v>2.2000000000000002</v>
      </c>
      <c r="B234" s="40">
        <f>IF(A234&lt;$F$4,GiaDinh_K3!$D$12,IF(A234&lt;$F$5,0,IF(A234&lt;$F$6,-GiaDinh_K3!$D$12,IF(A234&lt;$F$7,0,IF(A234&lt;$F$8,-GiaDinh_K3!$D$12,IF(A234&lt;$F$9,0,IF(A234&lt;$F$10,GiaDinh_K3!$D$12,0)))))))</f>
        <v>0</v>
      </c>
      <c r="C234" s="41">
        <f>IF(A234&lt;$F$4,GiaDinh_K3!$D$12*A234,IF(A234&lt;$F$5,GiaDinh_K3!$D$11,IF(A234&lt;$F$6,GiaDinh_K3!$D$11-GiaDinh_K3!$D$12*(A234-$F$5),IF(A234&lt;$F$7,0,IF(A234&lt;$F$8,-GiaDinh_K3!$D$12*(A234-$F$7),IF(A234&lt;$F$9,-GiaDinh_K3!$D$11,IF(A234&lt;$F$10,-GiaDinh_K3!$D$11+GiaDinh_K3!$D$12*(A234-$F$9),0)))))))</f>
        <v>0</v>
      </c>
      <c r="D234" s="44">
        <f t="shared" si="6"/>
        <v>0</v>
      </c>
      <c r="E234" s="44">
        <f t="shared" si="7"/>
        <v>0.18199499999999974</v>
      </c>
      <c r="F234" s="40">
        <f>IF(A234&gt;$F$10,0,IF((Params!$C$21+GiaDinh_K3!$D$8*Params!$C$5*C234)&gt;=0,(Params!$C$21+GiaDinh_K3!$D$8*Params!$C$5*C234)*'Tính chọn'!$D$23/Params!$C$16,(Params!$C$21+GiaDinh_K3!$D$8*Params!$C$5*C234)*'Tính chọn'!$D$23*Params!$C$16)+Catalogue!$F$15*C234/'Tính chọn'!$D$23)</f>
        <v>0</v>
      </c>
      <c r="G234" s="40">
        <f>IF(A234&gt;$F$10,0,IF(('Tính chọn'!$D$6+GiaDinh_K3!$D$8*Params!$C$6*C234)&gt;=0,('Tính chọn'!$D$6+GiaDinh_K3!$D$8*Params!$C$6*C234)*'Tính chọn'!$D$23/Params!$C$16,('Tính chọn'!$D$6+GiaDinh_K3!$D$8*Params!$C$6*C234)*'Tính chọn'!$D$23*Params!$C$16)+Catalogue!$F$15*C234/'Tính chọn'!$D$23)</f>
        <v>0</v>
      </c>
      <c r="H234" s="43">
        <f>F234*D234/'Tính chọn'!$D$23</f>
        <v>0</v>
      </c>
    </row>
    <row r="235" spans="1:8" x14ac:dyDescent="0.2">
      <c r="A235" s="39">
        <f>221*$B$5</f>
        <v>2.21</v>
      </c>
      <c r="B235" s="40">
        <f>IF(A235&lt;$F$4,GiaDinh_K3!$D$12,IF(A235&lt;$F$5,0,IF(A235&lt;$F$6,-GiaDinh_K3!$D$12,IF(A235&lt;$F$7,0,IF(A235&lt;$F$8,-GiaDinh_K3!$D$12,IF(A235&lt;$F$9,0,IF(A235&lt;$F$10,GiaDinh_K3!$D$12,0)))))))</f>
        <v>0</v>
      </c>
      <c r="C235" s="41">
        <f>IF(A235&lt;$F$4,GiaDinh_K3!$D$12*A235,IF(A235&lt;$F$5,GiaDinh_K3!$D$11,IF(A235&lt;$F$6,GiaDinh_K3!$D$11-GiaDinh_K3!$D$12*(A235-$F$5),IF(A235&lt;$F$7,0,IF(A235&lt;$F$8,-GiaDinh_K3!$D$12*(A235-$F$7),IF(A235&lt;$F$9,-GiaDinh_K3!$D$11,IF(A235&lt;$F$10,-GiaDinh_K3!$D$11+GiaDinh_K3!$D$12*(A235-$F$9),0)))))))</f>
        <v>0</v>
      </c>
      <c r="D235" s="44">
        <f t="shared" si="6"/>
        <v>0</v>
      </c>
      <c r="E235" s="44">
        <f t="shared" si="7"/>
        <v>0.18199499999999974</v>
      </c>
      <c r="F235" s="40">
        <f>IF(A235&gt;$F$10,0,IF((Params!$C$21+GiaDinh_K3!$D$8*Params!$C$5*C235)&gt;=0,(Params!$C$21+GiaDinh_K3!$D$8*Params!$C$5*C235)*'Tính chọn'!$D$23/Params!$C$16,(Params!$C$21+GiaDinh_K3!$D$8*Params!$C$5*C235)*'Tính chọn'!$D$23*Params!$C$16)+Catalogue!$F$15*C235/'Tính chọn'!$D$23)</f>
        <v>0</v>
      </c>
      <c r="G235" s="40">
        <f>IF(A235&gt;$F$10,0,IF(('Tính chọn'!$D$6+GiaDinh_K3!$D$8*Params!$C$6*C235)&gt;=0,('Tính chọn'!$D$6+GiaDinh_K3!$D$8*Params!$C$6*C235)*'Tính chọn'!$D$23/Params!$C$16,('Tính chọn'!$D$6+GiaDinh_K3!$D$8*Params!$C$6*C235)*'Tính chọn'!$D$23*Params!$C$16)+Catalogue!$F$15*C235/'Tính chọn'!$D$23)</f>
        <v>0</v>
      </c>
      <c r="H235" s="43">
        <f>F235*D235/'Tính chọn'!$D$23</f>
        <v>0</v>
      </c>
    </row>
    <row r="236" spans="1:8" x14ac:dyDescent="0.2">
      <c r="A236" s="39">
        <f>222*$B$5</f>
        <v>2.2200000000000002</v>
      </c>
      <c r="B236" s="40">
        <f>IF(A236&lt;$F$4,GiaDinh_K3!$D$12,IF(A236&lt;$F$5,0,IF(A236&lt;$F$6,-GiaDinh_K3!$D$12,IF(A236&lt;$F$7,0,IF(A236&lt;$F$8,-GiaDinh_K3!$D$12,IF(A236&lt;$F$9,0,IF(A236&lt;$F$10,GiaDinh_K3!$D$12,0)))))))</f>
        <v>0</v>
      </c>
      <c r="C236" s="41">
        <f>IF(A236&lt;$F$4,GiaDinh_K3!$D$12*A236,IF(A236&lt;$F$5,GiaDinh_K3!$D$11,IF(A236&lt;$F$6,GiaDinh_K3!$D$11-GiaDinh_K3!$D$12*(A236-$F$5),IF(A236&lt;$F$7,0,IF(A236&lt;$F$8,-GiaDinh_K3!$D$12*(A236-$F$7),IF(A236&lt;$F$9,-GiaDinh_K3!$D$11,IF(A236&lt;$F$10,-GiaDinh_K3!$D$11+GiaDinh_K3!$D$12*(A236-$F$9),0)))))))</f>
        <v>0</v>
      </c>
      <c r="D236" s="44">
        <f t="shared" si="6"/>
        <v>0</v>
      </c>
      <c r="E236" s="44">
        <f t="shared" si="7"/>
        <v>0.18199499999999974</v>
      </c>
      <c r="F236" s="40">
        <f>IF(A236&gt;$F$10,0,IF((Params!$C$21+GiaDinh_K3!$D$8*Params!$C$5*C236)&gt;=0,(Params!$C$21+GiaDinh_K3!$D$8*Params!$C$5*C236)*'Tính chọn'!$D$23/Params!$C$16,(Params!$C$21+GiaDinh_K3!$D$8*Params!$C$5*C236)*'Tính chọn'!$D$23*Params!$C$16)+Catalogue!$F$15*C236/'Tính chọn'!$D$23)</f>
        <v>0</v>
      </c>
      <c r="G236" s="40">
        <f>IF(A236&gt;$F$10,0,IF(('Tính chọn'!$D$6+GiaDinh_K3!$D$8*Params!$C$6*C236)&gt;=0,('Tính chọn'!$D$6+GiaDinh_K3!$D$8*Params!$C$6*C236)*'Tính chọn'!$D$23/Params!$C$16,('Tính chọn'!$D$6+GiaDinh_K3!$D$8*Params!$C$6*C236)*'Tính chọn'!$D$23*Params!$C$16)+Catalogue!$F$15*C236/'Tính chọn'!$D$23)</f>
        <v>0</v>
      </c>
      <c r="H236" s="43">
        <f>F236*D236/'Tính chọn'!$D$23</f>
        <v>0</v>
      </c>
    </row>
    <row r="237" spans="1:8" x14ac:dyDescent="0.2">
      <c r="A237" s="39">
        <f>223*$B$5</f>
        <v>2.23</v>
      </c>
      <c r="B237" s="40">
        <f>IF(A237&lt;$F$4,GiaDinh_K3!$D$12,IF(A237&lt;$F$5,0,IF(A237&lt;$F$6,-GiaDinh_K3!$D$12,IF(A237&lt;$F$7,0,IF(A237&lt;$F$8,-GiaDinh_K3!$D$12,IF(A237&lt;$F$9,0,IF(A237&lt;$F$10,GiaDinh_K3!$D$12,0)))))))</f>
        <v>0</v>
      </c>
      <c r="C237" s="41">
        <f>IF(A237&lt;$F$4,GiaDinh_K3!$D$12*A237,IF(A237&lt;$F$5,GiaDinh_K3!$D$11,IF(A237&lt;$F$6,GiaDinh_K3!$D$11-GiaDinh_K3!$D$12*(A237-$F$5),IF(A237&lt;$F$7,0,IF(A237&lt;$F$8,-GiaDinh_K3!$D$12*(A237-$F$7),IF(A237&lt;$F$9,-GiaDinh_K3!$D$11,IF(A237&lt;$F$10,-GiaDinh_K3!$D$11+GiaDinh_K3!$D$12*(A237-$F$9),0)))))))</f>
        <v>0</v>
      </c>
      <c r="D237" s="44">
        <f t="shared" si="6"/>
        <v>0</v>
      </c>
      <c r="E237" s="44">
        <f t="shared" si="7"/>
        <v>0.18199499999999974</v>
      </c>
      <c r="F237" s="40">
        <f>IF(A237&gt;$F$10,0,IF((Params!$C$21+GiaDinh_K3!$D$8*Params!$C$5*C237)&gt;=0,(Params!$C$21+GiaDinh_K3!$D$8*Params!$C$5*C237)*'Tính chọn'!$D$23/Params!$C$16,(Params!$C$21+GiaDinh_K3!$D$8*Params!$C$5*C237)*'Tính chọn'!$D$23*Params!$C$16)+Catalogue!$F$15*C237/'Tính chọn'!$D$23)</f>
        <v>0</v>
      </c>
      <c r="G237" s="40">
        <f>IF(A237&gt;$F$10,0,IF(('Tính chọn'!$D$6+GiaDinh_K3!$D$8*Params!$C$6*C237)&gt;=0,('Tính chọn'!$D$6+GiaDinh_K3!$D$8*Params!$C$6*C237)*'Tính chọn'!$D$23/Params!$C$16,('Tính chọn'!$D$6+GiaDinh_K3!$D$8*Params!$C$6*C237)*'Tính chọn'!$D$23*Params!$C$16)+Catalogue!$F$15*C237/'Tính chọn'!$D$23)</f>
        <v>0</v>
      </c>
      <c r="H237" s="43">
        <f>F237*D237/'Tính chọn'!$D$23</f>
        <v>0</v>
      </c>
    </row>
    <row r="238" spans="1:8" x14ac:dyDescent="0.2">
      <c r="A238" s="39">
        <f>224*$B$5</f>
        <v>2.2400000000000002</v>
      </c>
      <c r="B238" s="40">
        <f>IF(A238&lt;$F$4,GiaDinh_K3!$D$12,IF(A238&lt;$F$5,0,IF(A238&lt;$F$6,-GiaDinh_K3!$D$12,IF(A238&lt;$F$7,0,IF(A238&lt;$F$8,-GiaDinh_K3!$D$12,IF(A238&lt;$F$9,0,IF(A238&lt;$F$10,GiaDinh_K3!$D$12,0)))))))</f>
        <v>0</v>
      </c>
      <c r="C238" s="41">
        <f>IF(A238&lt;$F$4,GiaDinh_K3!$D$12*A238,IF(A238&lt;$F$5,GiaDinh_K3!$D$11,IF(A238&lt;$F$6,GiaDinh_K3!$D$11-GiaDinh_K3!$D$12*(A238-$F$5),IF(A238&lt;$F$7,0,IF(A238&lt;$F$8,-GiaDinh_K3!$D$12*(A238-$F$7),IF(A238&lt;$F$9,-GiaDinh_K3!$D$11,IF(A238&lt;$F$10,-GiaDinh_K3!$D$11+GiaDinh_K3!$D$12*(A238-$F$9),0)))))))</f>
        <v>0</v>
      </c>
      <c r="D238" s="44">
        <f t="shared" si="6"/>
        <v>0</v>
      </c>
      <c r="E238" s="44">
        <f t="shared" si="7"/>
        <v>0.18199499999999974</v>
      </c>
      <c r="F238" s="40">
        <f>IF(A238&gt;$F$10,0,IF((Params!$C$21+GiaDinh_K3!$D$8*Params!$C$5*C238)&gt;=0,(Params!$C$21+GiaDinh_K3!$D$8*Params!$C$5*C238)*'Tính chọn'!$D$23/Params!$C$16,(Params!$C$21+GiaDinh_K3!$D$8*Params!$C$5*C238)*'Tính chọn'!$D$23*Params!$C$16)+Catalogue!$F$15*C238/'Tính chọn'!$D$23)</f>
        <v>0</v>
      </c>
      <c r="G238" s="40">
        <f>IF(A238&gt;$F$10,0,IF(('Tính chọn'!$D$6+GiaDinh_K3!$D$8*Params!$C$6*C238)&gt;=0,('Tính chọn'!$D$6+GiaDinh_K3!$D$8*Params!$C$6*C238)*'Tính chọn'!$D$23/Params!$C$16,('Tính chọn'!$D$6+GiaDinh_K3!$D$8*Params!$C$6*C238)*'Tính chọn'!$D$23*Params!$C$16)+Catalogue!$F$15*C238/'Tính chọn'!$D$23)</f>
        <v>0</v>
      </c>
      <c r="H238" s="43">
        <f>F238*D238/'Tính chọn'!$D$23</f>
        <v>0</v>
      </c>
    </row>
    <row r="239" spans="1:8" x14ac:dyDescent="0.2">
      <c r="A239" s="39">
        <f>225*$B$5</f>
        <v>2.25</v>
      </c>
      <c r="B239" s="40">
        <f>IF(A239&lt;$F$4,GiaDinh_K3!$D$12,IF(A239&lt;$F$5,0,IF(A239&lt;$F$6,-GiaDinh_K3!$D$12,IF(A239&lt;$F$7,0,IF(A239&lt;$F$8,-GiaDinh_K3!$D$12,IF(A239&lt;$F$9,0,IF(A239&lt;$F$10,GiaDinh_K3!$D$12,0)))))))</f>
        <v>0</v>
      </c>
      <c r="C239" s="41">
        <f>IF(A239&lt;$F$4,GiaDinh_K3!$D$12*A239,IF(A239&lt;$F$5,GiaDinh_K3!$D$11,IF(A239&lt;$F$6,GiaDinh_K3!$D$11-GiaDinh_K3!$D$12*(A239-$F$5),IF(A239&lt;$F$7,0,IF(A239&lt;$F$8,-GiaDinh_K3!$D$12*(A239-$F$7),IF(A239&lt;$F$9,-GiaDinh_K3!$D$11,IF(A239&lt;$F$10,-GiaDinh_K3!$D$11+GiaDinh_K3!$D$12*(A239-$F$9),0)))))))</f>
        <v>0</v>
      </c>
      <c r="D239" s="44">
        <f t="shared" si="6"/>
        <v>0</v>
      </c>
      <c r="E239" s="44">
        <f t="shared" si="7"/>
        <v>0.18199499999999974</v>
      </c>
      <c r="F239" s="40">
        <f>IF(A239&gt;$F$10,0,IF((Params!$C$21+GiaDinh_K3!$D$8*Params!$C$5*C239)&gt;=0,(Params!$C$21+GiaDinh_K3!$D$8*Params!$C$5*C239)*'Tính chọn'!$D$23/Params!$C$16,(Params!$C$21+GiaDinh_K3!$D$8*Params!$C$5*C239)*'Tính chọn'!$D$23*Params!$C$16)+Catalogue!$F$15*C239/'Tính chọn'!$D$23)</f>
        <v>0</v>
      </c>
      <c r="G239" s="40">
        <f>IF(A239&gt;$F$10,0,IF(('Tính chọn'!$D$6+GiaDinh_K3!$D$8*Params!$C$6*C239)&gt;=0,('Tính chọn'!$D$6+GiaDinh_K3!$D$8*Params!$C$6*C239)*'Tính chọn'!$D$23/Params!$C$16,('Tính chọn'!$D$6+GiaDinh_K3!$D$8*Params!$C$6*C239)*'Tính chọn'!$D$23*Params!$C$16)+Catalogue!$F$15*C239/'Tính chọn'!$D$23)</f>
        <v>0</v>
      </c>
      <c r="H239" s="43">
        <f>F239*D239/'Tính chọn'!$D$23</f>
        <v>0</v>
      </c>
    </row>
    <row r="240" spans="1:8" x14ac:dyDescent="0.2">
      <c r="A240" s="39">
        <f>226*$B$5</f>
        <v>2.2600000000000002</v>
      </c>
      <c r="B240" s="40">
        <f>IF(A240&lt;$F$4,GiaDinh_K3!$D$12,IF(A240&lt;$F$5,0,IF(A240&lt;$F$6,-GiaDinh_K3!$D$12,IF(A240&lt;$F$7,0,IF(A240&lt;$F$8,-GiaDinh_K3!$D$12,IF(A240&lt;$F$9,0,IF(A240&lt;$F$10,GiaDinh_K3!$D$12,0)))))))</f>
        <v>0</v>
      </c>
      <c r="C240" s="41">
        <f>IF(A240&lt;$F$4,GiaDinh_K3!$D$12*A240,IF(A240&lt;$F$5,GiaDinh_K3!$D$11,IF(A240&lt;$F$6,GiaDinh_K3!$D$11-GiaDinh_K3!$D$12*(A240-$F$5),IF(A240&lt;$F$7,0,IF(A240&lt;$F$8,-GiaDinh_K3!$D$12*(A240-$F$7),IF(A240&lt;$F$9,-GiaDinh_K3!$D$11,IF(A240&lt;$F$10,-GiaDinh_K3!$D$11+GiaDinh_K3!$D$12*(A240-$F$9),0)))))))</f>
        <v>0</v>
      </c>
      <c r="D240" s="44">
        <f t="shared" si="6"/>
        <v>0</v>
      </c>
      <c r="E240" s="44">
        <f t="shared" si="7"/>
        <v>0.18199499999999974</v>
      </c>
      <c r="F240" s="40">
        <f>IF(A240&gt;$F$10,0,IF((Params!$C$21+GiaDinh_K3!$D$8*Params!$C$5*C240)&gt;=0,(Params!$C$21+GiaDinh_K3!$D$8*Params!$C$5*C240)*'Tính chọn'!$D$23/Params!$C$16,(Params!$C$21+GiaDinh_K3!$D$8*Params!$C$5*C240)*'Tính chọn'!$D$23*Params!$C$16)+Catalogue!$F$15*C240/'Tính chọn'!$D$23)</f>
        <v>0</v>
      </c>
      <c r="G240" s="40">
        <f>IF(A240&gt;$F$10,0,IF(('Tính chọn'!$D$6+GiaDinh_K3!$D$8*Params!$C$6*C240)&gt;=0,('Tính chọn'!$D$6+GiaDinh_K3!$D$8*Params!$C$6*C240)*'Tính chọn'!$D$23/Params!$C$16,('Tính chọn'!$D$6+GiaDinh_K3!$D$8*Params!$C$6*C240)*'Tính chọn'!$D$23*Params!$C$16)+Catalogue!$F$15*C240/'Tính chọn'!$D$23)</f>
        <v>0</v>
      </c>
      <c r="H240" s="43">
        <f>F240*D240/'Tính chọn'!$D$23</f>
        <v>0</v>
      </c>
    </row>
    <row r="241" spans="1:8" x14ac:dyDescent="0.2">
      <c r="A241" s="39">
        <f>227*$B$5</f>
        <v>2.27</v>
      </c>
      <c r="B241" s="40">
        <f>IF(A241&lt;$F$4,GiaDinh_K3!$D$12,IF(A241&lt;$F$5,0,IF(A241&lt;$F$6,-GiaDinh_K3!$D$12,IF(A241&lt;$F$7,0,IF(A241&lt;$F$8,-GiaDinh_K3!$D$12,IF(A241&lt;$F$9,0,IF(A241&lt;$F$10,GiaDinh_K3!$D$12,0)))))))</f>
        <v>0</v>
      </c>
      <c r="C241" s="41">
        <f>IF(A241&lt;$F$4,GiaDinh_K3!$D$12*A241,IF(A241&lt;$F$5,GiaDinh_K3!$D$11,IF(A241&lt;$F$6,GiaDinh_K3!$D$11-GiaDinh_K3!$D$12*(A241-$F$5),IF(A241&lt;$F$7,0,IF(A241&lt;$F$8,-GiaDinh_K3!$D$12*(A241-$F$7),IF(A241&lt;$F$9,-GiaDinh_K3!$D$11,IF(A241&lt;$F$10,-GiaDinh_K3!$D$11+GiaDinh_K3!$D$12*(A241-$F$9),0)))))))</f>
        <v>0</v>
      </c>
      <c r="D241" s="44">
        <f t="shared" si="6"/>
        <v>0</v>
      </c>
      <c r="E241" s="44">
        <f t="shared" si="7"/>
        <v>0.18199499999999974</v>
      </c>
      <c r="F241" s="40">
        <f>IF(A241&gt;$F$10,0,IF((Params!$C$21+GiaDinh_K3!$D$8*Params!$C$5*C241)&gt;=0,(Params!$C$21+GiaDinh_K3!$D$8*Params!$C$5*C241)*'Tính chọn'!$D$23/Params!$C$16,(Params!$C$21+GiaDinh_K3!$D$8*Params!$C$5*C241)*'Tính chọn'!$D$23*Params!$C$16)+Catalogue!$F$15*C241/'Tính chọn'!$D$23)</f>
        <v>0</v>
      </c>
      <c r="G241" s="40">
        <f>IF(A241&gt;$F$10,0,IF(('Tính chọn'!$D$6+GiaDinh_K3!$D$8*Params!$C$6*C241)&gt;=0,('Tính chọn'!$D$6+GiaDinh_K3!$D$8*Params!$C$6*C241)*'Tính chọn'!$D$23/Params!$C$16,('Tính chọn'!$D$6+GiaDinh_K3!$D$8*Params!$C$6*C241)*'Tính chọn'!$D$23*Params!$C$16)+Catalogue!$F$15*C241/'Tính chọn'!$D$23)</f>
        <v>0</v>
      </c>
      <c r="H241" s="43">
        <f>F241*D241/'Tính chọn'!$D$23</f>
        <v>0</v>
      </c>
    </row>
    <row r="242" spans="1:8" x14ac:dyDescent="0.2">
      <c r="A242" s="39">
        <f>228*$B$5</f>
        <v>2.2800000000000002</v>
      </c>
      <c r="B242" s="40">
        <f>IF(A242&lt;$F$4,GiaDinh_K3!$D$12,IF(A242&lt;$F$5,0,IF(A242&lt;$F$6,-GiaDinh_K3!$D$12,IF(A242&lt;$F$7,0,IF(A242&lt;$F$8,-GiaDinh_K3!$D$12,IF(A242&lt;$F$9,0,IF(A242&lt;$F$10,GiaDinh_K3!$D$12,0)))))))</f>
        <v>0</v>
      </c>
      <c r="C242" s="41">
        <f>IF(A242&lt;$F$4,GiaDinh_K3!$D$12*A242,IF(A242&lt;$F$5,GiaDinh_K3!$D$11,IF(A242&lt;$F$6,GiaDinh_K3!$D$11-GiaDinh_K3!$D$12*(A242-$F$5),IF(A242&lt;$F$7,0,IF(A242&lt;$F$8,-GiaDinh_K3!$D$12*(A242-$F$7),IF(A242&lt;$F$9,-GiaDinh_K3!$D$11,IF(A242&lt;$F$10,-GiaDinh_K3!$D$11+GiaDinh_K3!$D$12*(A242-$F$9),0)))))))</f>
        <v>0</v>
      </c>
      <c r="D242" s="44">
        <f t="shared" si="6"/>
        <v>0</v>
      </c>
      <c r="E242" s="44">
        <f t="shared" si="7"/>
        <v>0.18199499999999974</v>
      </c>
      <c r="F242" s="40">
        <f>IF(A242&gt;$F$10,0,IF((Params!$C$21+GiaDinh_K3!$D$8*Params!$C$5*C242)&gt;=0,(Params!$C$21+GiaDinh_K3!$D$8*Params!$C$5*C242)*'Tính chọn'!$D$23/Params!$C$16,(Params!$C$21+GiaDinh_K3!$D$8*Params!$C$5*C242)*'Tính chọn'!$D$23*Params!$C$16)+Catalogue!$F$15*C242/'Tính chọn'!$D$23)</f>
        <v>0</v>
      </c>
      <c r="G242" s="40">
        <f>IF(A242&gt;$F$10,0,IF(('Tính chọn'!$D$6+GiaDinh_K3!$D$8*Params!$C$6*C242)&gt;=0,('Tính chọn'!$D$6+GiaDinh_K3!$D$8*Params!$C$6*C242)*'Tính chọn'!$D$23/Params!$C$16,('Tính chọn'!$D$6+GiaDinh_K3!$D$8*Params!$C$6*C242)*'Tính chọn'!$D$23*Params!$C$16)+Catalogue!$F$15*C242/'Tính chọn'!$D$23)</f>
        <v>0</v>
      </c>
      <c r="H242" s="43">
        <f>F242*D242/'Tính chọn'!$D$23</f>
        <v>0</v>
      </c>
    </row>
    <row r="243" spans="1:8" x14ac:dyDescent="0.2">
      <c r="A243" s="39">
        <f>229*$B$5</f>
        <v>2.29</v>
      </c>
      <c r="B243" s="40">
        <f>IF(A243&lt;$F$4,GiaDinh_K3!$D$12,IF(A243&lt;$F$5,0,IF(A243&lt;$F$6,-GiaDinh_K3!$D$12,IF(A243&lt;$F$7,0,IF(A243&lt;$F$8,-GiaDinh_K3!$D$12,IF(A243&lt;$F$9,0,IF(A243&lt;$F$10,GiaDinh_K3!$D$12,0)))))))</f>
        <v>0</v>
      </c>
      <c r="C243" s="41">
        <f>IF(A243&lt;$F$4,GiaDinh_K3!$D$12*A243,IF(A243&lt;$F$5,GiaDinh_K3!$D$11,IF(A243&lt;$F$6,GiaDinh_K3!$D$11-GiaDinh_K3!$D$12*(A243-$F$5),IF(A243&lt;$F$7,0,IF(A243&lt;$F$8,-GiaDinh_K3!$D$12*(A243-$F$7),IF(A243&lt;$F$9,-GiaDinh_K3!$D$11,IF(A243&lt;$F$10,-GiaDinh_K3!$D$11+GiaDinh_K3!$D$12*(A243-$F$9),0)))))))</f>
        <v>0</v>
      </c>
      <c r="D243" s="44">
        <f t="shared" si="6"/>
        <v>0</v>
      </c>
      <c r="E243" s="44">
        <f t="shared" si="7"/>
        <v>0.18199499999999974</v>
      </c>
      <c r="F243" s="40">
        <f>IF(A243&gt;$F$10,0,IF((Params!$C$21+GiaDinh_K3!$D$8*Params!$C$5*C243)&gt;=0,(Params!$C$21+GiaDinh_K3!$D$8*Params!$C$5*C243)*'Tính chọn'!$D$23/Params!$C$16,(Params!$C$21+GiaDinh_K3!$D$8*Params!$C$5*C243)*'Tính chọn'!$D$23*Params!$C$16)+Catalogue!$F$15*C243/'Tính chọn'!$D$23)</f>
        <v>0</v>
      </c>
      <c r="G243" s="40">
        <f>IF(A243&gt;$F$10,0,IF(('Tính chọn'!$D$6+GiaDinh_K3!$D$8*Params!$C$6*C243)&gt;=0,('Tính chọn'!$D$6+GiaDinh_K3!$D$8*Params!$C$6*C243)*'Tính chọn'!$D$23/Params!$C$16,('Tính chọn'!$D$6+GiaDinh_K3!$D$8*Params!$C$6*C243)*'Tính chọn'!$D$23*Params!$C$16)+Catalogue!$F$15*C243/'Tính chọn'!$D$23)</f>
        <v>0</v>
      </c>
      <c r="H243" s="43">
        <f>F243*D243/'Tính chọn'!$D$23</f>
        <v>0</v>
      </c>
    </row>
    <row r="244" spans="1:8" x14ac:dyDescent="0.2">
      <c r="A244" s="39">
        <f>230*$B$5</f>
        <v>2.3000000000000003</v>
      </c>
      <c r="B244" s="40">
        <f>IF(A244&lt;$F$4,GiaDinh_K3!$D$12,IF(A244&lt;$F$5,0,IF(A244&lt;$F$6,-GiaDinh_K3!$D$12,IF(A244&lt;$F$7,0,IF(A244&lt;$F$8,-GiaDinh_K3!$D$12,IF(A244&lt;$F$9,0,IF(A244&lt;$F$10,GiaDinh_K3!$D$12,0)))))))</f>
        <v>0</v>
      </c>
      <c r="C244" s="41">
        <f>IF(A244&lt;$F$4,GiaDinh_K3!$D$12*A244,IF(A244&lt;$F$5,GiaDinh_K3!$D$11,IF(A244&lt;$F$6,GiaDinh_K3!$D$11-GiaDinh_K3!$D$12*(A244-$F$5),IF(A244&lt;$F$7,0,IF(A244&lt;$F$8,-GiaDinh_K3!$D$12*(A244-$F$7),IF(A244&lt;$F$9,-GiaDinh_K3!$D$11,IF(A244&lt;$F$10,-GiaDinh_K3!$D$11+GiaDinh_K3!$D$12*(A244-$F$9),0)))))))</f>
        <v>0</v>
      </c>
      <c r="D244" s="44">
        <f t="shared" si="6"/>
        <v>0</v>
      </c>
      <c r="E244" s="44">
        <f t="shared" si="7"/>
        <v>0.18199499999999974</v>
      </c>
      <c r="F244" s="40">
        <f>IF(A244&gt;$F$10,0,IF((Params!$C$21+GiaDinh_K3!$D$8*Params!$C$5*C244)&gt;=0,(Params!$C$21+GiaDinh_K3!$D$8*Params!$C$5*C244)*'Tính chọn'!$D$23/Params!$C$16,(Params!$C$21+GiaDinh_K3!$D$8*Params!$C$5*C244)*'Tính chọn'!$D$23*Params!$C$16)+Catalogue!$F$15*C244/'Tính chọn'!$D$23)</f>
        <v>0</v>
      </c>
      <c r="G244" s="40">
        <f>IF(A244&gt;$F$10,0,IF(('Tính chọn'!$D$6+GiaDinh_K3!$D$8*Params!$C$6*C244)&gt;=0,('Tính chọn'!$D$6+GiaDinh_K3!$D$8*Params!$C$6*C244)*'Tính chọn'!$D$23/Params!$C$16,('Tính chọn'!$D$6+GiaDinh_K3!$D$8*Params!$C$6*C244)*'Tính chọn'!$D$23*Params!$C$16)+Catalogue!$F$15*C244/'Tính chọn'!$D$23)</f>
        <v>0</v>
      </c>
      <c r="H244" s="43">
        <f>F244*D244/'Tính chọn'!$D$23</f>
        <v>0</v>
      </c>
    </row>
    <row r="245" spans="1:8" x14ac:dyDescent="0.2">
      <c r="A245" s="39">
        <f>231*$B$5</f>
        <v>2.31</v>
      </c>
      <c r="B245" s="40">
        <f>IF(A245&lt;$F$4,GiaDinh_K3!$D$12,IF(A245&lt;$F$5,0,IF(A245&lt;$F$6,-GiaDinh_K3!$D$12,IF(A245&lt;$F$7,0,IF(A245&lt;$F$8,-GiaDinh_K3!$D$12,IF(A245&lt;$F$9,0,IF(A245&lt;$F$10,GiaDinh_K3!$D$12,0)))))))</f>
        <v>0</v>
      </c>
      <c r="C245" s="41">
        <f>IF(A245&lt;$F$4,GiaDinh_K3!$D$12*A245,IF(A245&lt;$F$5,GiaDinh_K3!$D$11,IF(A245&lt;$F$6,GiaDinh_K3!$D$11-GiaDinh_K3!$D$12*(A245-$F$5),IF(A245&lt;$F$7,0,IF(A245&lt;$F$8,-GiaDinh_K3!$D$12*(A245-$F$7),IF(A245&lt;$F$9,-GiaDinh_K3!$D$11,IF(A245&lt;$F$10,-GiaDinh_K3!$D$11+GiaDinh_K3!$D$12*(A245-$F$9),0)))))))</f>
        <v>0</v>
      </c>
      <c r="D245" s="44">
        <f t="shared" si="6"/>
        <v>0</v>
      </c>
      <c r="E245" s="44">
        <f t="shared" si="7"/>
        <v>0.18199499999999974</v>
      </c>
      <c r="F245" s="40">
        <f>IF(A245&gt;$F$10,0,IF((Params!$C$21+GiaDinh_K3!$D$8*Params!$C$5*C245)&gt;=0,(Params!$C$21+GiaDinh_K3!$D$8*Params!$C$5*C245)*'Tính chọn'!$D$23/Params!$C$16,(Params!$C$21+GiaDinh_K3!$D$8*Params!$C$5*C245)*'Tính chọn'!$D$23*Params!$C$16)+Catalogue!$F$15*C245/'Tính chọn'!$D$23)</f>
        <v>0</v>
      </c>
      <c r="G245" s="40">
        <f>IF(A245&gt;$F$10,0,IF(('Tính chọn'!$D$6+GiaDinh_K3!$D$8*Params!$C$6*C245)&gt;=0,('Tính chọn'!$D$6+GiaDinh_K3!$D$8*Params!$C$6*C245)*'Tính chọn'!$D$23/Params!$C$16,('Tính chọn'!$D$6+GiaDinh_K3!$D$8*Params!$C$6*C245)*'Tính chọn'!$D$23*Params!$C$16)+Catalogue!$F$15*C245/'Tính chọn'!$D$23)</f>
        <v>0</v>
      </c>
      <c r="H245" s="43">
        <f>F245*D245/'Tính chọn'!$D$23</f>
        <v>0</v>
      </c>
    </row>
    <row r="246" spans="1:8" x14ac:dyDescent="0.2">
      <c r="A246" s="39">
        <f>232*$B$5</f>
        <v>2.3199999999999998</v>
      </c>
      <c r="B246" s="40">
        <f>IF(A246&lt;$F$4,GiaDinh_K3!$D$12,IF(A246&lt;$F$5,0,IF(A246&lt;$F$6,-GiaDinh_K3!$D$12,IF(A246&lt;$F$7,0,IF(A246&lt;$F$8,-GiaDinh_K3!$D$12,IF(A246&lt;$F$9,0,IF(A246&lt;$F$10,GiaDinh_K3!$D$12,0)))))))</f>
        <v>0</v>
      </c>
      <c r="C246" s="41">
        <f>IF(A246&lt;$F$4,GiaDinh_K3!$D$12*A246,IF(A246&lt;$F$5,GiaDinh_K3!$D$11,IF(A246&lt;$F$6,GiaDinh_K3!$D$11-GiaDinh_K3!$D$12*(A246-$F$5),IF(A246&lt;$F$7,0,IF(A246&lt;$F$8,-GiaDinh_K3!$D$12*(A246-$F$7),IF(A246&lt;$F$9,-GiaDinh_K3!$D$11,IF(A246&lt;$F$10,-GiaDinh_K3!$D$11+GiaDinh_K3!$D$12*(A246-$F$9),0)))))))</f>
        <v>0</v>
      </c>
      <c r="D246" s="44">
        <f t="shared" si="6"/>
        <v>0</v>
      </c>
      <c r="E246" s="44">
        <f t="shared" si="7"/>
        <v>0.18199499999999974</v>
      </c>
      <c r="F246" s="40">
        <f>IF(A246&gt;$F$10,0,IF((Params!$C$21+GiaDinh_K3!$D$8*Params!$C$5*C246)&gt;=0,(Params!$C$21+GiaDinh_K3!$D$8*Params!$C$5*C246)*'Tính chọn'!$D$23/Params!$C$16,(Params!$C$21+GiaDinh_K3!$D$8*Params!$C$5*C246)*'Tính chọn'!$D$23*Params!$C$16)+Catalogue!$F$15*C246/'Tính chọn'!$D$23)</f>
        <v>0</v>
      </c>
      <c r="G246" s="40">
        <f>IF(A246&gt;$F$10,0,IF(('Tính chọn'!$D$6+GiaDinh_K3!$D$8*Params!$C$6*C246)&gt;=0,('Tính chọn'!$D$6+GiaDinh_K3!$D$8*Params!$C$6*C246)*'Tính chọn'!$D$23/Params!$C$16,('Tính chọn'!$D$6+GiaDinh_K3!$D$8*Params!$C$6*C246)*'Tính chọn'!$D$23*Params!$C$16)+Catalogue!$F$15*C246/'Tính chọn'!$D$23)</f>
        <v>0</v>
      </c>
      <c r="H246" s="43">
        <f>F246*D246/'Tính chọn'!$D$23</f>
        <v>0</v>
      </c>
    </row>
    <row r="247" spans="1:8" x14ac:dyDescent="0.2">
      <c r="A247" s="39">
        <f>233*$B$5</f>
        <v>2.33</v>
      </c>
      <c r="B247" s="40">
        <f>IF(A247&lt;$F$4,GiaDinh_K3!$D$12,IF(A247&lt;$F$5,0,IF(A247&lt;$F$6,-GiaDinh_K3!$D$12,IF(A247&lt;$F$7,0,IF(A247&lt;$F$8,-GiaDinh_K3!$D$12,IF(A247&lt;$F$9,0,IF(A247&lt;$F$10,GiaDinh_K3!$D$12,0)))))))</f>
        <v>0</v>
      </c>
      <c r="C247" s="41">
        <f>IF(A247&lt;$F$4,GiaDinh_K3!$D$12*A247,IF(A247&lt;$F$5,GiaDinh_K3!$D$11,IF(A247&lt;$F$6,GiaDinh_K3!$D$11-GiaDinh_K3!$D$12*(A247-$F$5),IF(A247&lt;$F$7,0,IF(A247&lt;$F$8,-GiaDinh_K3!$D$12*(A247-$F$7),IF(A247&lt;$F$9,-GiaDinh_K3!$D$11,IF(A247&lt;$F$10,-GiaDinh_K3!$D$11+GiaDinh_K3!$D$12*(A247-$F$9),0)))))))</f>
        <v>0</v>
      </c>
      <c r="D247" s="44">
        <f t="shared" si="6"/>
        <v>0</v>
      </c>
      <c r="E247" s="44">
        <f t="shared" si="7"/>
        <v>0.18199499999999974</v>
      </c>
      <c r="F247" s="40">
        <f>IF(A247&gt;$F$10,0,IF((Params!$C$21+GiaDinh_K3!$D$8*Params!$C$5*C247)&gt;=0,(Params!$C$21+GiaDinh_K3!$D$8*Params!$C$5*C247)*'Tính chọn'!$D$23/Params!$C$16,(Params!$C$21+GiaDinh_K3!$D$8*Params!$C$5*C247)*'Tính chọn'!$D$23*Params!$C$16)+Catalogue!$F$15*C247/'Tính chọn'!$D$23)</f>
        <v>0</v>
      </c>
      <c r="G247" s="40">
        <f>IF(A247&gt;$F$10,0,IF(('Tính chọn'!$D$6+GiaDinh_K3!$D$8*Params!$C$6*C247)&gt;=0,('Tính chọn'!$D$6+GiaDinh_K3!$D$8*Params!$C$6*C247)*'Tính chọn'!$D$23/Params!$C$16,('Tính chọn'!$D$6+GiaDinh_K3!$D$8*Params!$C$6*C247)*'Tính chọn'!$D$23*Params!$C$16)+Catalogue!$F$15*C247/'Tính chọn'!$D$23)</f>
        <v>0</v>
      </c>
      <c r="H247" s="43">
        <f>F247*D247/'Tính chọn'!$D$23</f>
        <v>0</v>
      </c>
    </row>
    <row r="248" spans="1:8" x14ac:dyDescent="0.2">
      <c r="A248" s="39">
        <f>234*$B$5</f>
        <v>2.34</v>
      </c>
      <c r="B248" s="40">
        <f>IF(A248&lt;$F$4,GiaDinh_K3!$D$12,IF(A248&lt;$F$5,0,IF(A248&lt;$F$6,-GiaDinh_K3!$D$12,IF(A248&lt;$F$7,0,IF(A248&lt;$F$8,-GiaDinh_K3!$D$12,IF(A248&lt;$F$9,0,IF(A248&lt;$F$10,GiaDinh_K3!$D$12,0)))))))</f>
        <v>0</v>
      </c>
      <c r="C248" s="41">
        <f>IF(A248&lt;$F$4,GiaDinh_K3!$D$12*A248,IF(A248&lt;$F$5,GiaDinh_K3!$D$11,IF(A248&lt;$F$6,GiaDinh_K3!$D$11-GiaDinh_K3!$D$12*(A248-$F$5),IF(A248&lt;$F$7,0,IF(A248&lt;$F$8,-GiaDinh_K3!$D$12*(A248-$F$7),IF(A248&lt;$F$9,-GiaDinh_K3!$D$11,IF(A248&lt;$F$10,-GiaDinh_K3!$D$11+GiaDinh_K3!$D$12*(A248-$F$9),0)))))))</f>
        <v>0</v>
      </c>
      <c r="D248" s="44">
        <f t="shared" si="6"/>
        <v>0</v>
      </c>
      <c r="E248" s="44">
        <f t="shared" si="7"/>
        <v>0.18199499999999974</v>
      </c>
      <c r="F248" s="40">
        <f>IF(A248&gt;$F$10,0,IF((Params!$C$21+GiaDinh_K3!$D$8*Params!$C$5*C248)&gt;=0,(Params!$C$21+GiaDinh_K3!$D$8*Params!$C$5*C248)*'Tính chọn'!$D$23/Params!$C$16,(Params!$C$21+GiaDinh_K3!$D$8*Params!$C$5*C248)*'Tính chọn'!$D$23*Params!$C$16)+Catalogue!$F$15*C248/'Tính chọn'!$D$23)</f>
        <v>0</v>
      </c>
      <c r="G248" s="40">
        <f>IF(A248&gt;$F$10,0,IF(('Tính chọn'!$D$6+GiaDinh_K3!$D$8*Params!$C$6*C248)&gt;=0,('Tính chọn'!$D$6+GiaDinh_K3!$D$8*Params!$C$6*C248)*'Tính chọn'!$D$23/Params!$C$16,('Tính chọn'!$D$6+GiaDinh_K3!$D$8*Params!$C$6*C248)*'Tính chọn'!$D$23*Params!$C$16)+Catalogue!$F$15*C248/'Tính chọn'!$D$23)</f>
        <v>0</v>
      </c>
      <c r="H248" s="43">
        <f>F248*D248/'Tính chọn'!$D$23</f>
        <v>0</v>
      </c>
    </row>
    <row r="249" spans="1:8" x14ac:dyDescent="0.2">
      <c r="A249" s="39">
        <f>235*$B$5</f>
        <v>2.35</v>
      </c>
      <c r="B249" s="40">
        <f>IF(A249&lt;$F$4,GiaDinh_K3!$D$12,IF(A249&lt;$F$5,0,IF(A249&lt;$F$6,-GiaDinh_K3!$D$12,IF(A249&lt;$F$7,0,IF(A249&lt;$F$8,-GiaDinh_K3!$D$12,IF(A249&lt;$F$9,0,IF(A249&lt;$F$10,GiaDinh_K3!$D$12,0)))))))</f>
        <v>0</v>
      </c>
      <c r="C249" s="41">
        <f>IF(A249&lt;$F$4,GiaDinh_K3!$D$12*A249,IF(A249&lt;$F$5,GiaDinh_K3!$D$11,IF(A249&lt;$F$6,GiaDinh_K3!$D$11-GiaDinh_K3!$D$12*(A249-$F$5),IF(A249&lt;$F$7,0,IF(A249&lt;$F$8,-GiaDinh_K3!$D$12*(A249-$F$7),IF(A249&lt;$F$9,-GiaDinh_K3!$D$11,IF(A249&lt;$F$10,-GiaDinh_K3!$D$11+GiaDinh_K3!$D$12*(A249-$F$9),0)))))))</f>
        <v>0</v>
      </c>
      <c r="D249" s="44">
        <f t="shared" si="6"/>
        <v>0</v>
      </c>
      <c r="E249" s="44">
        <f t="shared" si="7"/>
        <v>0.18199499999999974</v>
      </c>
      <c r="F249" s="40">
        <f>IF(A249&gt;$F$10,0,IF((Params!$C$21+GiaDinh_K3!$D$8*Params!$C$5*C249)&gt;=0,(Params!$C$21+GiaDinh_K3!$D$8*Params!$C$5*C249)*'Tính chọn'!$D$23/Params!$C$16,(Params!$C$21+GiaDinh_K3!$D$8*Params!$C$5*C249)*'Tính chọn'!$D$23*Params!$C$16)+Catalogue!$F$15*C249/'Tính chọn'!$D$23)</f>
        <v>0</v>
      </c>
      <c r="G249" s="40">
        <f>IF(A249&gt;$F$10,0,IF(('Tính chọn'!$D$6+GiaDinh_K3!$D$8*Params!$C$6*C249)&gt;=0,('Tính chọn'!$D$6+GiaDinh_K3!$D$8*Params!$C$6*C249)*'Tính chọn'!$D$23/Params!$C$16,('Tính chọn'!$D$6+GiaDinh_K3!$D$8*Params!$C$6*C249)*'Tính chọn'!$D$23*Params!$C$16)+Catalogue!$F$15*C249/'Tính chọn'!$D$23)</f>
        <v>0</v>
      </c>
      <c r="H249" s="43">
        <f>F249*D249/'Tính chọn'!$D$23</f>
        <v>0</v>
      </c>
    </row>
    <row r="250" spans="1:8" x14ac:dyDescent="0.2">
      <c r="A250" s="39">
        <f>236*$B$5</f>
        <v>2.36</v>
      </c>
      <c r="B250" s="40">
        <f>IF(A250&lt;$F$4,GiaDinh_K3!$D$12,IF(A250&lt;$F$5,0,IF(A250&lt;$F$6,-GiaDinh_K3!$D$12,IF(A250&lt;$F$7,0,IF(A250&lt;$F$8,-GiaDinh_K3!$D$12,IF(A250&lt;$F$9,0,IF(A250&lt;$F$10,GiaDinh_K3!$D$12,0)))))))</f>
        <v>0</v>
      </c>
      <c r="C250" s="41">
        <f>IF(A250&lt;$F$4,GiaDinh_K3!$D$12*A250,IF(A250&lt;$F$5,GiaDinh_K3!$D$11,IF(A250&lt;$F$6,GiaDinh_K3!$D$11-GiaDinh_K3!$D$12*(A250-$F$5),IF(A250&lt;$F$7,0,IF(A250&lt;$F$8,-GiaDinh_K3!$D$12*(A250-$F$7),IF(A250&lt;$F$9,-GiaDinh_K3!$D$11,IF(A250&lt;$F$10,-GiaDinh_K3!$D$11+GiaDinh_K3!$D$12*(A250-$F$9),0)))))))</f>
        <v>0</v>
      </c>
      <c r="D250" s="44">
        <f t="shared" si="6"/>
        <v>0</v>
      </c>
      <c r="E250" s="44">
        <f t="shared" si="7"/>
        <v>0.18199499999999974</v>
      </c>
      <c r="F250" s="40">
        <f>IF(A250&gt;$F$10,0,IF((Params!$C$21+GiaDinh_K3!$D$8*Params!$C$5*C250)&gt;=0,(Params!$C$21+GiaDinh_K3!$D$8*Params!$C$5*C250)*'Tính chọn'!$D$23/Params!$C$16,(Params!$C$21+GiaDinh_K3!$D$8*Params!$C$5*C250)*'Tính chọn'!$D$23*Params!$C$16)+Catalogue!$F$15*C250/'Tính chọn'!$D$23)</f>
        <v>0</v>
      </c>
      <c r="G250" s="40">
        <f>IF(A250&gt;$F$10,0,IF(('Tính chọn'!$D$6+GiaDinh_K3!$D$8*Params!$C$6*C250)&gt;=0,('Tính chọn'!$D$6+GiaDinh_K3!$D$8*Params!$C$6*C250)*'Tính chọn'!$D$23/Params!$C$16,('Tính chọn'!$D$6+GiaDinh_K3!$D$8*Params!$C$6*C250)*'Tính chọn'!$D$23*Params!$C$16)+Catalogue!$F$15*C250/'Tính chọn'!$D$23)</f>
        <v>0</v>
      </c>
      <c r="H250" s="43">
        <f>F250*D250/'Tính chọn'!$D$23</f>
        <v>0</v>
      </c>
    </row>
    <row r="251" spans="1:8" x14ac:dyDescent="0.2">
      <c r="A251" s="39">
        <f>237*$B$5</f>
        <v>2.37</v>
      </c>
      <c r="B251" s="40">
        <f>IF(A251&lt;$F$4,GiaDinh_K3!$D$12,IF(A251&lt;$F$5,0,IF(A251&lt;$F$6,-GiaDinh_K3!$D$12,IF(A251&lt;$F$7,0,IF(A251&lt;$F$8,-GiaDinh_K3!$D$12,IF(A251&lt;$F$9,0,IF(A251&lt;$F$10,GiaDinh_K3!$D$12,0)))))))</f>
        <v>0</v>
      </c>
      <c r="C251" s="41">
        <f>IF(A251&lt;$F$4,GiaDinh_K3!$D$12*A251,IF(A251&lt;$F$5,GiaDinh_K3!$D$11,IF(A251&lt;$F$6,GiaDinh_K3!$D$11-GiaDinh_K3!$D$12*(A251-$F$5),IF(A251&lt;$F$7,0,IF(A251&lt;$F$8,-GiaDinh_K3!$D$12*(A251-$F$7),IF(A251&lt;$F$9,-GiaDinh_K3!$D$11,IF(A251&lt;$F$10,-GiaDinh_K3!$D$11+GiaDinh_K3!$D$12*(A251-$F$9),0)))))))</f>
        <v>0</v>
      </c>
      <c r="D251" s="44">
        <f t="shared" si="6"/>
        <v>0</v>
      </c>
      <c r="E251" s="44">
        <f t="shared" si="7"/>
        <v>0.18199499999999974</v>
      </c>
      <c r="F251" s="40">
        <f>IF(A251&gt;$F$10,0,IF((Params!$C$21+GiaDinh_K3!$D$8*Params!$C$5*C251)&gt;=0,(Params!$C$21+GiaDinh_K3!$D$8*Params!$C$5*C251)*'Tính chọn'!$D$23/Params!$C$16,(Params!$C$21+GiaDinh_K3!$D$8*Params!$C$5*C251)*'Tính chọn'!$D$23*Params!$C$16)+Catalogue!$F$15*C251/'Tính chọn'!$D$23)</f>
        <v>0</v>
      </c>
      <c r="G251" s="40">
        <f>IF(A251&gt;$F$10,0,IF(('Tính chọn'!$D$6+GiaDinh_K3!$D$8*Params!$C$6*C251)&gt;=0,('Tính chọn'!$D$6+GiaDinh_K3!$D$8*Params!$C$6*C251)*'Tính chọn'!$D$23/Params!$C$16,('Tính chọn'!$D$6+GiaDinh_K3!$D$8*Params!$C$6*C251)*'Tính chọn'!$D$23*Params!$C$16)+Catalogue!$F$15*C251/'Tính chọn'!$D$23)</f>
        <v>0</v>
      </c>
      <c r="H251" s="43">
        <f>F251*D251/'Tính chọn'!$D$23</f>
        <v>0</v>
      </c>
    </row>
    <row r="252" spans="1:8" x14ac:dyDescent="0.2">
      <c r="A252" s="39">
        <f>238*$B$5</f>
        <v>2.38</v>
      </c>
      <c r="B252" s="40">
        <f>IF(A252&lt;$F$4,GiaDinh_K3!$D$12,IF(A252&lt;$F$5,0,IF(A252&lt;$F$6,-GiaDinh_K3!$D$12,IF(A252&lt;$F$7,0,IF(A252&lt;$F$8,-GiaDinh_K3!$D$12,IF(A252&lt;$F$9,0,IF(A252&lt;$F$10,GiaDinh_K3!$D$12,0)))))))</f>
        <v>0</v>
      </c>
      <c r="C252" s="41">
        <f>IF(A252&lt;$F$4,GiaDinh_K3!$D$12*A252,IF(A252&lt;$F$5,GiaDinh_K3!$D$11,IF(A252&lt;$F$6,GiaDinh_K3!$D$11-GiaDinh_K3!$D$12*(A252-$F$5),IF(A252&lt;$F$7,0,IF(A252&lt;$F$8,-GiaDinh_K3!$D$12*(A252-$F$7),IF(A252&lt;$F$9,-GiaDinh_K3!$D$11,IF(A252&lt;$F$10,-GiaDinh_K3!$D$11+GiaDinh_K3!$D$12*(A252-$F$9),0)))))))</f>
        <v>0</v>
      </c>
      <c r="D252" s="44">
        <f t="shared" si="6"/>
        <v>0</v>
      </c>
      <c r="E252" s="44">
        <f t="shared" si="7"/>
        <v>0.18199499999999974</v>
      </c>
      <c r="F252" s="40">
        <f>IF(A252&gt;$F$10,0,IF((Params!$C$21+GiaDinh_K3!$D$8*Params!$C$5*C252)&gt;=0,(Params!$C$21+GiaDinh_K3!$D$8*Params!$C$5*C252)*'Tính chọn'!$D$23/Params!$C$16,(Params!$C$21+GiaDinh_K3!$D$8*Params!$C$5*C252)*'Tính chọn'!$D$23*Params!$C$16)+Catalogue!$F$15*C252/'Tính chọn'!$D$23)</f>
        <v>0</v>
      </c>
      <c r="G252" s="40">
        <f>IF(A252&gt;$F$10,0,IF(('Tính chọn'!$D$6+GiaDinh_K3!$D$8*Params!$C$6*C252)&gt;=0,('Tính chọn'!$D$6+GiaDinh_K3!$D$8*Params!$C$6*C252)*'Tính chọn'!$D$23/Params!$C$16,('Tính chọn'!$D$6+GiaDinh_K3!$D$8*Params!$C$6*C252)*'Tính chọn'!$D$23*Params!$C$16)+Catalogue!$F$15*C252/'Tính chọn'!$D$23)</f>
        <v>0</v>
      </c>
      <c r="H252" s="43">
        <f>F252*D252/'Tính chọn'!$D$23</f>
        <v>0</v>
      </c>
    </row>
    <row r="253" spans="1:8" x14ac:dyDescent="0.2">
      <c r="A253" s="39">
        <f>239*$B$5</f>
        <v>2.39</v>
      </c>
      <c r="B253" s="40">
        <f>IF(A253&lt;$F$4,GiaDinh_K3!$D$12,IF(A253&lt;$F$5,0,IF(A253&lt;$F$6,-GiaDinh_K3!$D$12,IF(A253&lt;$F$7,0,IF(A253&lt;$F$8,-GiaDinh_K3!$D$12,IF(A253&lt;$F$9,0,IF(A253&lt;$F$10,GiaDinh_K3!$D$12,0)))))))</f>
        <v>0</v>
      </c>
      <c r="C253" s="41">
        <f>IF(A253&lt;$F$4,GiaDinh_K3!$D$12*A253,IF(A253&lt;$F$5,GiaDinh_K3!$D$11,IF(A253&lt;$F$6,GiaDinh_K3!$D$11-GiaDinh_K3!$D$12*(A253-$F$5),IF(A253&lt;$F$7,0,IF(A253&lt;$F$8,-GiaDinh_K3!$D$12*(A253-$F$7),IF(A253&lt;$F$9,-GiaDinh_K3!$D$11,IF(A253&lt;$F$10,-GiaDinh_K3!$D$11+GiaDinh_K3!$D$12*(A253-$F$9),0)))))))</f>
        <v>0</v>
      </c>
      <c r="D253" s="44">
        <f t="shared" si="6"/>
        <v>0</v>
      </c>
      <c r="E253" s="44">
        <f t="shared" si="7"/>
        <v>0.18199499999999974</v>
      </c>
      <c r="F253" s="40">
        <f>IF(A253&gt;$F$10,0,IF((Params!$C$21+GiaDinh_K3!$D$8*Params!$C$5*C253)&gt;=0,(Params!$C$21+GiaDinh_K3!$D$8*Params!$C$5*C253)*'Tính chọn'!$D$23/Params!$C$16,(Params!$C$21+GiaDinh_K3!$D$8*Params!$C$5*C253)*'Tính chọn'!$D$23*Params!$C$16)+Catalogue!$F$15*C253/'Tính chọn'!$D$23)</f>
        <v>0</v>
      </c>
      <c r="G253" s="40">
        <f>IF(A253&gt;$F$10,0,IF(('Tính chọn'!$D$6+GiaDinh_K3!$D$8*Params!$C$6*C253)&gt;=0,('Tính chọn'!$D$6+GiaDinh_K3!$D$8*Params!$C$6*C253)*'Tính chọn'!$D$23/Params!$C$16,('Tính chọn'!$D$6+GiaDinh_K3!$D$8*Params!$C$6*C253)*'Tính chọn'!$D$23*Params!$C$16)+Catalogue!$F$15*C253/'Tính chọn'!$D$23)</f>
        <v>0</v>
      </c>
      <c r="H253" s="43">
        <f>F253*D253/'Tính chọn'!$D$23</f>
        <v>0</v>
      </c>
    </row>
    <row r="254" spans="1:8" x14ac:dyDescent="0.2">
      <c r="A254" s="39">
        <f>240*$B$5</f>
        <v>2.4</v>
      </c>
      <c r="B254" s="40">
        <f>IF(A254&lt;$F$4,GiaDinh_K3!$D$12,IF(A254&lt;$F$5,0,IF(A254&lt;$F$6,-GiaDinh_K3!$D$12,IF(A254&lt;$F$7,0,IF(A254&lt;$F$8,-GiaDinh_K3!$D$12,IF(A254&lt;$F$9,0,IF(A254&lt;$F$10,GiaDinh_K3!$D$12,0)))))))</f>
        <v>0</v>
      </c>
      <c r="C254" s="41">
        <f>IF(A254&lt;$F$4,GiaDinh_K3!$D$12*A254,IF(A254&lt;$F$5,GiaDinh_K3!$D$11,IF(A254&lt;$F$6,GiaDinh_K3!$D$11-GiaDinh_K3!$D$12*(A254-$F$5),IF(A254&lt;$F$7,0,IF(A254&lt;$F$8,-GiaDinh_K3!$D$12*(A254-$F$7),IF(A254&lt;$F$9,-GiaDinh_K3!$D$11,IF(A254&lt;$F$10,-GiaDinh_K3!$D$11+GiaDinh_K3!$D$12*(A254-$F$9),0)))))))</f>
        <v>0</v>
      </c>
      <c r="D254" s="44">
        <f t="shared" si="6"/>
        <v>0</v>
      </c>
      <c r="E254" s="44">
        <f t="shared" si="7"/>
        <v>0.18199499999999974</v>
      </c>
      <c r="F254" s="40">
        <f>IF(A254&gt;$F$10,0,IF((Params!$C$21+GiaDinh_K3!$D$8*Params!$C$5*C254)&gt;=0,(Params!$C$21+GiaDinh_K3!$D$8*Params!$C$5*C254)*'Tính chọn'!$D$23/Params!$C$16,(Params!$C$21+GiaDinh_K3!$D$8*Params!$C$5*C254)*'Tính chọn'!$D$23*Params!$C$16)+Catalogue!$F$15*C254/'Tính chọn'!$D$23)</f>
        <v>0</v>
      </c>
      <c r="G254" s="40">
        <f>IF(A254&gt;$F$10,0,IF(('Tính chọn'!$D$6+GiaDinh_K3!$D$8*Params!$C$6*C254)&gt;=0,('Tính chọn'!$D$6+GiaDinh_K3!$D$8*Params!$C$6*C254)*'Tính chọn'!$D$23/Params!$C$16,('Tính chọn'!$D$6+GiaDinh_K3!$D$8*Params!$C$6*C254)*'Tính chọn'!$D$23*Params!$C$16)+Catalogue!$F$15*C254/'Tính chọn'!$D$23)</f>
        <v>0</v>
      </c>
      <c r="H254" s="43">
        <f>F254*D254/'Tính chọn'!$D$23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Tong_hop</vt:lpstr>
      <vt:lpstr>Params</vt:lpstr>
      <vt:lpstr>GiaDinh_K3</vt:lpstr>
      <vt:lpstr>Catalogue</vt:lpstr>
      <vt:lpstr>Tính chọn</vt:lpstr>
      <vt:lpstr>Kiểm tra</vt:lpstr>
      <vt:lpstr>Dẫn xuất</vt:lpstr>
      <vt:lpstr>Mo_phong</vt:lpstr>
      <vt:lpstr>WCCA</vt:lpstr>
      <vt:lpstr>Quy_dao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Ba Hung 20232107</cp:lastModifiedBy>
  <dcterms:created xsi:type="dcterms:W3CDTF">2026-10-25T01:21:31Z</dcterms:created>
  <dcterms:modified xsi:type="dcterms:W3CDTF">2026-10-27T15:58:54Z</dcterms:modified>
</cp:coreProperties>
</file>