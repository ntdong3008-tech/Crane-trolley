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Params" sheetId="2" state="visible" r:id="rId2"/>
    <sheet xmlns:r="http://schemas.openxmlformats.org/officeDocument/2006/relationships" name="GiaDinh_K3" sheetId="3" state="visible" r:id="rId3"/>
    <sheet xmlns:r="http://schemas.openxmlformats.org/officeDocument/2006/relationships" name="Catalogue" sheetId="4" state="visible" r:id="rId4"/>
    <sheet xmlns:r="http://schemas.openxmlformats.org/officeDocument/2006/relationships" name="Tính chọn" sheetId="5" state="visible" r:id="rId5"/>
    <sheet xmlns:r="http://schemas.openxmlformats.org/officeDocument/2006/relationships" name="Kiểm tra" sheetId="6" state="visible" r:id="rId6"/>
    <sheet xmlns:r="http://schemas.openxmlformats.org/officeDocument/2006/relationships" name="Dẫn xuất" sheetId="7" state="visible" r:id="rId7"/>
    <sheet xmlns:r="http://schemas.openxmlformats.org/officeDocument/2006/relationships" name="Mo_phong" sheetId="8" state="visible" r:id="rId8"/>
    <sheet xmlns:r="http://schemas.openxmlformats.org/officeDocument/2006/relationships" name="WCCA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000E+00"/>
  </numFmts>
  <fonts count="7">
    <font>
      <name val="Arial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color rgb="FFFFFFFF"/>
      <sz val="11"/>
    </font>
    <font>
      <name val="Arial"/>
      <color rgb="FF0000FF"/>
      <sz val="11"/>
    </font>
    <font>
      <name val="Arial"/>
      <color rgb="FF008000"/>
      <sz val="11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2" fillId="0" borderId="1" pivotButton="0" quotePrefix="0" xfId="0"/>
    <xf numFmtId="0" fontId="4" fillId="0" borderId="1" pivotButton="0" quotePrefix="0" xfId="0"/>
    <xf numFmtId="0" fontId="1" fillId="3" borderId="0" pivotButton="0" quotePrefix="0" xfId="0"/>
    <xf numFmtId="0" fontId="6" fillId="3" borderId="0" pivotButton="0" quotePrefix="0" xfId="0"/>
    <xf numFmtId="0" fontId="2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164" fontId="5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3" fillId="2" borderId="1" pivotButton="0" quotePrefix="0" xfId="0"/>
    <xf numFmtId="165" fontId="5" fillId="0" borderId="1" pivotButton="0" quotePrefix="0" xfId="0"/>
    <xf numFmtId="0" fontId="1" fillId="0" borderId="1" pivotButton="0" quotePrefix="0" xfId="0"/>
    <xf numFmtId="11" fontId="4" fillId="0" borderId="1" applyAlignment="1" pivotButton="0" quotePrefix="0" xfId="0">
      <alignment vertical="top" wrapText="1"/>
    </xf>
    <xf numFmtId="11" fontId="5" fillId="0" borderId="1" applyAlignment="1" pivotButton="0" quotePrefix="0" xfId="0">
      <alignment vertical="top" wrapText="1"/>
    </xf>
    <xf numFmtId="166" fontId="5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"/>
  <sheetViews>
    <sheetView tabSelected="1" workbookViewId="0">
      <selection activeCell="A1" sqref="A1"/>
    </sheetView>
  </sheetViews>
  <sheetFormatPr baseColWidth="8" defaultRowHeight="14.25"/>
  <cols>
    <col width="160" customWidth="1" min="1" max="1"/>
  </cols>
  <sheetData>
    <row r="1" ht="15" customHeight="1">
      <c r="A1" s="1" t="inlineStr">
        <is>
          <t>FILE TÍNH TOÁN &amp; KIỂM NGHIỆM THIẾT BỊ — HỆ TRUYỀN ĐỘNG XE CON CẦU TRỤC DẦM ĐÔI (x = 2)</t>
        </is>
      </c>
    </row>
    <row r="2">
      <c r="A2" s="2" t="inlineStr">
        <is>
          <t>Mã hồ sơ: CDRL-02 — Gói SOW-3.1 / SOW-3.3 (Khối 3 — CDR-EVT)</t>
        </is>
      </c>
    </row>
    <row r="3">
      <c r="A3" s="2" t="inlineStr">
        <is>
          <t>Phiên bản Excel: v1.3 — Ngày: 26/10/2026 — Người lập (Writer): AI; Người duyệt: Nhóm 8.5-EMG (v1.3 chưa qua Checker)</t>
        </is>
      </c>
    </row>
    <row r="4">
      <c r="A4" s="2" t="inlineStr">
        <is>
          <t>Lịch sử: v1.3 (26/10/2026) nhóm C — bộ thông số mô phỏng: mô hình 2 khối lượng (khối O), giới hạn điện áp &amp; giảm từ thông (khối P), biến tần trung bình &amp; DC-link (khối Q), kịch bản rút gọn TS-01/TS-02 (khối R), giả định [C] GiaDinh_K3 hàng 43–58, KT-34..KT-41, SRS-D14..D15, sheet Mo_phong; không đổi số nào của v1.2. v1.2 (25/10/2026) nhập i_thực = 155.34 (SEW R87), M_a,max, xác minh BE1 7 N·m, R_h Danotherm CBH 360, ACS380 tr.12/24 đối chiếu ảnh trang; v1.0 (24/10/2026) bản đầu; v1.1 (24/10/2026) xử lý Checker K6-2 (λ quy về U_N = 400 V), K6-3 (quán tính khi phanh), K6-4 (sheet WCCA), K7-1 (thử mô-men giữ ⇒ M_B ≥ 1.2·M_hold, M_B = 7 N·m), K8-1, K8-3.</t>
        </is>
      </c>
    </row>
    <row r="5">
      <c r="A5" s="2" t="inlineStr">
        <is>
          <t>Baseline: SSoT-8.5EMG-v1.2 (P-01..P-20), SRS Baseline A.1 (ký 24/10/2026; SRS-PERM-04: k_dt ≥ 1.20). Trạng thái: ĐÃ DUYỆT — Cổng G4 đóng 24/10/2026.</t>
        </is>
      </c>
    </row>
    <row r="6">
      <c r="A6" s="2" t="inlineStr">
        <is>
          <t>Phạm vi (QĐ-07): chỉ xét điều kiện vận hành lý tưởng — không mất điện, không E-STOP/dừng khẩn, không xét sự cố thiết bị.</t>
        </is>
      </c>
    </row>
    <row r="7">
      <c r="A7" s="2" t="n"/>
    </row>
    <row r="8" ht="15" customHeight="1">
      <c r="A8" s="1" t="inlineStr">
        <is>
          <t>QUY ƯỚC MÀU</t>
        </is>
      </c>
    </row>
    <row r="9">
      <c r="A9" s="2" t="inlineStr">
        <is>
          <t>Chữ xanh dương = số nhập (hằng số gốc / giả định / catalogue). Chữ đen = công thức. Chữ xanh lá = công thức lấy từ sheet khác.</t>
        </is>
      </c>
    </row>
    <row r="10">
      <c r="A10" s="2" t="inlineStr">
        <is>
          <t>Nền vàng = ô quyết định của Người dùng (chọn ứng viên động cơ, tỷ số truyền thực tế, R_h, M_B...). Ứng viên động cơ đã chốt sel = 1 (QĐ-04).</t>
        </is>
      </c>
    </row>
    <row r="11">
      <c r="A11" s="2" t="inlineStr">
        <is>
          <t>Mọi ô ở 'Tính chọn', 'Kiểm tra', 'Dẫn xuất' là công thức; không gõ lại hằng số (WORKFLOW_RULES §6).</t>
        </is>
      </c>
    </row>
    <row r="12">
      <c r="A12" s="2" t="n"/>
    </row>
    <row r="13" ht="15" customHeight="1">
      <c r="A13" s="1" t="inlineStr">
        <is>
          <t>CẤU TRÚC SHEET</t>
        </is>
      </c>
    </row>
    <row r="14">
      <c r="A14" s="2" t="inlineStr">
        <is>
          <t>Params — 20 thông số gốc P-01..P-20 (sao chép đúng SSoT v1.2).</t>
        </is>
      </c>
    </row>
    <row r="15">
      <c r="A15" s="2" t="inlineStr">
        <is>
          <t>GiaDinh_K3 — giả định thiết kế [C] phát sinh ở Khối 3 và ô quyết định (có lý do, mốc kiểm tra). Hàng 43–58: giả định mô phỏng (Khối 4).</t>
        </is>
      </c>
    </row>
    <row r="16">
      <c r="A16" s="2" t="inlineStr">
        <is>
          <t>Catalogue — dữ liệu catalogue web [W-01..W-05] cho 2 ứng viên động cơ SEW DRN và 2 biến tần ABB ACS380.</t>
        </is>
      </c>
    </row>
    <row r="17">
      <c r="A17" s="2" t="inlineStr">
        <is>
          <t>Tính chọn — các khối A..R: tải, quy đổi, S-curve, chu trình S3, λ, biến tần, hãm R_h, phanh, mạch thay thế ĐC, PI MO/SO; O–R: mô hình 2 khối lượng, giới hạn điện áp, DC-link, kịch bản mô phỏng.</t>
        </is>
      </c>
    </row>
    <row r="18">
      <c r="A18" s="2" t="inlineStr">
        <is>
          <t>Kiểm tra — so sánh với ngưỡng SRS Baseline A(.1) &amp; Downstream Allocation → Đạt / Không đạt / TBD.</t>
        </is>
      </c>
    </row>
    <row r="19">
      <c r="A19" s="2" t="inlineStr">
        <is>
          <t>Dẫn xuất — yêu cầu dẫn xuất SRS-D01..D15 (giá trị, yêu cầu cha, bước tính, phép kiểm chứng).</t>
        </is>
      </c>
    </row>
    <row r="20">
      <c r="A20" s="2" t="inlineStr">
        <is>
          <t>WCCA — phân tích trường hợp xấu nhất rút gọn WC-0..WC-7 bằng công thức.</t>
        </is>
      </c>
    </row>
    <row r="21">
      <c r="A21" s="2" t="inlineStr">
        <is>
          <t>Mo_phong — bộ thông số mô phỏng theo tên biến ICD v1.2 §4.1: nguồn duy nhất cho init_params.m (Khối 4); mọi ô là công thức trỏ về sheet gốc.</t>
        </is>
      </c>
    </row>
    <row r="22" ht="15" customHeight="1">
      <c r="A22" s="2" t="n"/>
    </row>
    <row r="23">
      <c r="A23" s="1" t="inlineStr">
        <is>
          <t>NGUỒN CATALOGUE WEB (cần lưu PDF vào 'Tài liệu tham khảo/')</t>
        </is>
      </c>
    </row>
    <row r="24">
      <c r="A24" s="2" t="inlineStr">
        <is>
          <t>[W-01] SEW-EURODRIVE Catalog DRN.. Gearmotors (IE3), 24832936/EN-09/2018, §13.4.1 tr.866 — https://match.kheoos.com/media/medias/k0/46-648c5348d0a1b.pdf</t>
        </is>
      </c>
    </row>
    <row r="25">
      <c r="A25" s="2" t="inlineStr">
        <is>
          <t>[W-02] SEW-EURODRIVE (E)DRN.. (IE3) Gearmotors 60 Hz Revision, 24772933/EN-01/2018, §1.4 tr.24-25 — https://download.sew-eurodrive.com/download/pdf/24772933.pdf</t>
        </is>
      </c>
    </row>
    <row r="26">
      <c r="A26" s="2" t="inlineStr">
        <is>
          <t>[W-03] SEW-EURODRIVE Addendum DRN.. Gearmotors (IE3) 2-/6-pole, 22866450/EN-06/2016, §4.3.2 tr.24-25 — https://download.sew-eurodrive.com/download/pdf/22866450.pdf</t>
        </is>
      </c>
    </row>
    <row r="27">
      <c r="A27" s="2" t="inlineStr">
        <is>
          <t>[W-04] SEW-EURODRIVE ES7C/EV7C — https://download.sew-eurodrive.com/download/html/31974465/en-EN/39119693963.html</t>
        </is>
      </c>
    </row>
    <row r="28">
      <c r="A28" s="2" t="inlineStr">
        <is>
          <t>[W-05] ABB ACS380 catalog 3AUA0000187460 REV D EN 22.9.2020, tr.10, 12, 24 — https://www.auser.fi/wp-content/uploads/ACS380-katalogi.pdf</t>
        </is>
      </c>
    </row>
    <row r="29">
      <c r="A29" s="2" t="inlineStr">
        <is>
          <t>[W-06] SEW Drive Selection (ứng dụng xe con, 25/10/2026): R87, i = 155.34, M_a,max 1550 N·m, F_Ra 17100 N — https://kz.sew-eurodrive.com/os/ds/</t>
        </is>
      </c>
    </row>
    <row r="30">
      <c r="A30" s="2" t="inlineStr">
        <is>
          <t>[W-07] SEW Technical Note B-107-04 'BE Brake - Torques / Spring Combinations / Air Gap' — BE1: 10/7/5 N·m</t>
        </is>
      </c>
    </row>
    <row r="31">
      <c r="A31" s="2" t="inlineStr">
        <is>
          <t>[W-08] ABB ACS380 Quick installation and start-up guide (QISG rev F) — cầu chì gG OFAF000H6 cho 03A3-4</t>
        </is>
      </c>
    </row>
    <row r="32">
      <c r="A32" s="2" t="inlineStr">
        <is>
          <t>[W-09] Danotherm CBH 360 C T 406 210R (Partco): 210 Ω ±10%, 200 W @40 °C, công tắc nhiệt</t>
        </is>
      </c>
    </row>
    <row r="33">
      <c r="A33" s="2" t="inlineStr">
        <is>
          <t>[W-10] ABB AF09-30-10-13 (1SBL137001R1310): AC-3 9 A @400 V, AC-1 25 A (plc-direct)</t>
        </is>
      </c>
    </row>
    <row r="34">
      <c r="A34" s="2" t="inlineStr">
        <is>
          <t>Tất cả PDF nguồn lưu tại 'Tài liệu tham khảo/Catalogue web/'.</t>
        </is>
      </c>
    </row>
    <row r="35" ht="15" customHeight="1">
      <c r="A35" s="2" t="n"/>
    </row>
    <row r="36">
      <c r="A36" s="1" t="inlineStr">
        <is>
          <t>GIẢI THÍCH NGẮN (vì sao tính như vậy)</t>
        </is>
      </c>
    </row>
    <row r="37">
      <c r="A37" s="2" t="inlineStr">
        <is>
          <t>1) Xe con chạy rất chậm (0.12 m/s) nhưng khối lượng lớn (14,244 kg): mô-men gia tốc ≈ 5 lần mô-men cản tĩnh, trong khi pha gia tốc chỉ ≈ 0.5 s/lần → động cơ phải chọn theo mô-men cực đại (λ), không theo nhiệt.</t>
        </is>
      </c>
    </row>
    <row r="38">
      <c r="A38" s="2" t="inlineStr">
        <is>
          <t>2) M_đt tính theo trung bình bình phương mô-men trên thời gian đóng điện của chu kỳ S3-40% (t_lv = 240 s/600 s); k_dt = P_đm/P_đt.</t>
        </is>
      </c>
    </row>
    <row r="39">
      <c r="A39" s="2" t="inlineStr">
        <is>
          <t>3) λ kiểm tra ở sụt áp -10%: mô-men tới hạn tỷ lệ U², quy về điện áp định mức động cơ U_N = 400 V → λ_K·(342/400)² phải ≥ M_max/M_N.</t>
        </is>
      </c>
    </row>
    <row r="40">
      <c r="A40" s="2" t="inlineStr">
        <is>
          <t>4) R_h nằm trong [R_min; R_max] của chopper biến tần và không lớn hơn U_chop²/P_hãm để hấp thụ đủ công suất hãm đỉnh.</t>
        </is>
      </c>
    </row>
    <row r="41">
      <c r="A41" s="2" t="inlineStr">
        <is>
          <t>5) Tham số mạch thay thế ĐC ước lượng từ dữ liệu bảng tên (sơ đồ vòng tròn, bỏ qua R_s khi tính I0); cần nhận dạng lại (ID-run) khi có động cơ thật.</t>
        </is>
      </c>
    </row>
    <row r="42">
      <c r="A42" s="2" t="inlineStr">
        <is>
          <t>6) PI dòng chỉnh theo tối ưu module (Bài 2.1 slide 26-27; Bài 2.3 slide 33-37); PI tốc độ theo tối ưu đối xứng, chỉnh tại J_tune = √(J_max·J_min) để độ dự trữ pha bằng nhau ở đầy/không tải.</t>
        </is>
      </c>
    </row>
    <row r="43">
      <c r="A43" s="2" t="inlineStr">
        <is>
          <t>7) Mô phỏng dùng mô hình 2 khối lượng: xe con cứng m_xc + con lắc (Q + m_nh). Vì t_acc ≈ 0.5 s ≪ T_p ≈ 7 s, tải chưa kịp chuyển động khi xe tăng tốc nên mô-men đỉnh trên Simulink chỉ ≈ 1/2 mô-men khối cứng của Excel (khối O). Excel giữ khối cứng vì là cận trên an toàn theo bài giảng.</t>
        </is>
      </c>
    </row>
    <row r="44">
      <c r="A44" s="2" t="inlineStr">
        <is>
          <t>8) ĐC định mức 400 V/50 Hz chạy trên lưới 380 V: nghịch lưu chỉ tạo được k_u·U_dc/√2 nên ở gần v_max phải giảm từ thông (khối P, SRS-D14..D15); KT-37/38 kiểm dòng vẫn trong giới hạn.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0" customWidth="1" min="1" max="1"/>
    <col width="12" customWidth="1" min="2" max="2"/>
    <col width="14" customWidth="1" min="3" max="3"/>
    <col width="10" customWidth="1" min="4" max="4"/>
    <col width="12" customWidth="1" min="5" max="5"/>
    <col width="26" customWidth="1" min="6" max="6"/>
    <col width="48" customWidth="1" min="7" max="7"/>
    <col width="40" customWidth="1" min="8" max="8"/>
  </cols>
  <sheetData>
    <row r="1" ht="15" customHeight="1">
      <c r="A1" s="3" t="inlineStr">
        <is>
          <t>Mã P-xx</t>
        </is>
      </c>
      <c r="B1" s="3" t="inlineStr">
        <is>
          <t>Ký hiệu</t>
        </is>
      </c>
      <c r="C1" s="3" t="inlineStr">
        <is>
          <t>Giá trị</t>
        </is>
      </c>
      <c r="D1" s="3" t="inlineStr">
        <is>
          <t>Đơn vị</t>
        </is>
      </c>
      <c r="E1" s="3" t="inlineStr">
        <is>
          <t>Loại [A/B/C]</t>
        </is>
      </c>
      <c r="F1" s="3" t="inlineStr">
        <is>
          <t>ID yêu cầu</t>
        </is>
      </c>
      <c r="G1" s="3" t="inlineStr">
        <is>
          <t>Nguồn</t>
        </is>
      </c>
      <c r="H1" s="3" t="inlineStr">
        <is>
          <t>Tên thông số (tham khảo)</t>
        </is>
      </c>
    </row>
    <row r="2">
      <c r="A2" s="4" t="inlineStr">
        <is>
          <t>P-01</t>
        </is>
      </c>
      <c r="B2" s="4" t="inlineStr">
        <is>
          <t>Q</t>
        </is>
      </c>
      <c r="C2" s="5" t="n">
        <v>12222</v>
      </c>
      <c r="D2" s="4" t="inlineStr">
        <is>
          <t>kg</t>
        </is>
      </c>
      <c r="E2" s="4" t="inlineStr">
        <is>
          <t>[A]</t>
        </is>
      </c>
      <c r="F2" s="4" t="inlineStr">
        <is>
          <t>SRS-PERM-01</t>
        </is>
      </c>
      <c r="G2" s="4" t="inlineStr">
        <is>
          <t>Đề bài x = 2 (SSoT v1.2)</t>
        </is>
      </c>
      <c r="H2" s="4" t="inlineStr">
        <is>
          <t>Tải trọng nâng định mức</t>
        </is>
      </c>
    </row>
    <row r="3">
      <c r="A3" s="4" t="inlineStr">
        <is>
          <t>P-02</t>
        </is>
      </c>
      <c r="B3" s="4" t="inlineStr">
        <is>
          <t>m_nh</t>
        </is>
      </c>
      <c r="C3" s="5" t="n">
        <v>222</v>
      </c>
      <c r="D3" s="4" t="inlineStr">
        <is>
          <t>kg</t>
        </is>
      </c>
      <c r="E3" s="4" t="inlineStr">
        <is>
          <t>[A]</t>
        </is>
      </c>
      <c r="F3" s="4" t="inlineStr">
        <is>
          <t>SRS-PERM-01</t>
        </is>
      </c>
      <c r="G3" s="4" t="inlineStr">
        <is>
          <t>Đề bài x = 2</t>
        </is>
      </c>
      <c r="H3" s="4" t="inlineStr">
        <is>
          <t>Khối lượng cơ cấu nâng hạ</t>
        </is>
      </c>
    </row>
    <row r="4">
      <c r="A4" s="4" t="inlineStr">
        <is>
          <t>P-03</t>
        </is>
      </c>
      <c r="B4" s="4" t="inlineStr">
        <is>
          <t>m_xc</t>
        </is>
      </c>
      <c r="C4" s="5" t="n">
        <v>1800</v>
      </c>
      <c r="D4" s="4" t="inlineStr">
        <is>
          <t>kg</t>
        </is>
      </c>
      <c r="E4" s="4" t="inlineStr">
        <is>
          <t>[C]</t>
        </is>
      </c>
      <c r="F4" s="4" t="inlineStr">
        <is>
          <t>SRS-PERM-01</t>
        </is>
      </c>
      <c r="G4" s="4" t="inlineStr">
        <is>
          <t>Giả định ~15% Q; kiểm tra lại Khối 2 (chưa có catalogue)</t>
        </is>
      </c>
      <c r="H4" s="4" t="inlineStr">
        <is>
          <t>Khối lượng bản thân xe con</t>
        </is>
      </c>
    </row>
    <row r="5">
      <c r="A5" s="4" t="inlineStr">
        <is>
          <t>P-04</t>
        </is>
      </c>
      <c r="B5" s="4" t="inlineStr">
        <is>
          <t>M_Σ</t>
        </is>
      </c>
      <c r="C5" s="4">
        <f>$C$2+$C$3+$C$4</f>
        <v/>
      </c>
      <c r="D5" s="4" t="inlineStr">
        <is>
          <t>kg</t>
        </is>
      </c>
      <c r="E5" s="4" t="inlineStr">
        <is>
          <t>[B]</t>
        </is>
      </c>
      <c r="F5" s="4" t="inlineStr">
        <is>
          <t>SRS-PERM-01</t>
        </is>
      </c>
      <c r="G5" s="4" t="inlineStr">
        <is>
          <t>P-01+P-02+P-03</t>
        </is>
      </c>
      <c r="H5" s="4" t="inlineStr">
        <is>
          <t>Tổng khối lượng đầy tải</t>
        </is>
      </c>
    </row>
    <row r="6">
      <c r="A6" s="4" t="inlineStr">
        <is>
          <t>P-05</t>
        </is>
      </c>
      <c r="B6" s="4" t="inlineStr">
        <is>
          <t>m_tĩnh</t>
        </is>
      </c>
      <c r="C6" s="4">
        <f>$C$3+$C$4</f>
        <v/>
      </c>
      <c r="D6" s="4" t="inlineStr">
        <is>
          <t>kg</t>
        </is>
      </c>
      <c r="E6" s="4" t="inlineStr">
        <is>
          <t>[B]</t>
        </is>
      </c>
      <c r="F6" s="4" t="inlineStr">
        <is>
          <t>SRS-PERM-01</t>
        </is>
      </c>
      <c r="G6" s="4" t="inlineStr">
        <is>
          <t>P-02+P-03</t>
        </is>
      </c>
      <c r="H6" s="4" t="inlineStr">
        <is>
          <t>Tổng khối lượng không tải</t>
        </is>
      </c>
    </row>
    <row r="7">
      <c r="A7" s="4" t="inlineStr">
        <is>
          <t>P-06</t>
        </is>
      </c>
      <c r="B7" s="4" t="inlineStr">
        <is>
          <t>h</t>
        </is>
      </c>
      <c r="C7" s="5" t="n">
        <v>12</v>
      </c>
      <c r="D7" s="4" t="inlineStr">
        <is>
          <t>m</t>
        </is>
      </c>
      <c r="E7" s="4" t="inlineStr">
        <is>
          <t>[A]</t>
        </is>
      </c>
      <c r="F7" s="4" t="inlineStr">
        <is>
          <t>SRS-PERM-03</t>
        </is>
      </c>
      <c r="G7" s="4" t="inlineStr">
        <is>
          <t>Đề bài x = 2</t>
        </is>
      </c>
      <c r="H7" s="4" t="inlineStr">
        <is>
          <t>Chiều cao nâng (dài cáp)</t>
        </is>
      </c>
    </row>
    <row r="8">
      <c r="A8" s="4" t="inlineStr">
        <is>
          <t>P-07</t>
        </is>
      </c>
      <c r="B8" s="4" t="inlineStr">
        <is>
          <t>ω_p</t>
        </is>
      </c>
      <c r="C8" s="4">
        <f>SQRT($C$19/$C$7)</f>
        <v/>
      </c>
      <c r="D8" s="4" t="inlineStr">
        <is>
          <t>rad/s</t>
        </is>
      </c>
      <c r="E8" s="4" t="inlineStr">
        <is>
          <t>[B]</t>
        </is>
      </c>
      <c r="F8" s="4" t="inlineStr">
        <is>
          <t>SRS-PERM-03</t>
        </is>
      </c>
      <c r="G8" s="4" t="inlineStr">
        <is>
          <t>√(g/h)</t>
        </is>
      </c>
      <c r="H8" s="4" t="inlineStr">
        <is>
          <t>Tần số góc con lắc</t>
        </is>
      </c>
    </row>
    <row r="9">
      <c r="A9" s="4" t="inlineStr">
        <is>
          <t>P-08</t>
        </is>
      </c>
      <c r="B9" s="4" t="inlineStr">
        <is>
          <t>T_p</t>
        </is>
      </c>
      <c r="C9" s="4">
        <f>2*PI()/$C$8</f>
        <v/>
      </c>
      <c r="D9" s="4" t="inlineStr">
        <is>
          <t>s</t>
        </is>
      </c>
      <c r="E9" s="4" t="inlineStr">
        <is>
          <t>[B]</t>
        </is>
      </c>
      <c r="F9" s="4" t="inlineStr">
        <is>
          <t>SRS-PERM-03</t>
        </is>
      </c>
      <c r="G9" s="4" t="inlineStr">
        <is>
          <t>2π/ω_p</t>
        </is>
      </c>
      <c r="H9" s="4" t="inlineStr">
        <is>
          <t>Chu kỳ con lắc</t>
        </is>
      </c>
    </row>
    <row r="10">
      <c r="A10" s="4" t="inlineStr">
        <is>
          <t>P-09</t>
        </is>
      </c>
      <c r="B10" s="4" t="inlineStr">
        <is>
          <t>v_max</t>
        </is>
      </c>
      <c r="C10" s="5" t="n">
        <v>0.12</v>
      </c>
      <c r="D10" s="4" t="inlineStr">
        <is>
          <t>m/s</t>
        </is>
      </c>
      <c r="E10" s="4" t="inlineStr">
        <is>
          <t>[A]</t>
        </is>
      </c>
      <c r="F10" s="4" t="inlineStr">
        <is>
          <t>SRS-PERM-02</t>
        </is>
      </c>
      <c r="G10" s="4" t="inlineStr">
        <is>
          <t>Đề bài x = 2</t>
        </is>
      </c>
      <c r="H10" s="4" t="inlineStr">
        <is>
          <t>Vận tốc di chuyển lớn nhất</t>
        </is>
      </c>
    </row>
    <row r="11">
      <c r="A11" s="4" t="inlineStr">
        <is>
          <t>P-10</t>
        </is>
      </c>
      <c r="B11" s="4" t="inlineStr">
        <is>
          <t>a_max</t>
        </is>
      </c>
      <c r="C11" s="5" t="n">
        <v>0.5</v>
      </c>
      <c r="D11" s="4" t="inlineStr">
        <is>
          <t>m/s²</t>
        </is>
      </c>
      <c r="E11" s="4" t="inlineStr">
        <is>
          <t>[A]</t>
        </is>
      </c>
      <c r="F11" s="4" t="inlineStr">
        <is>
          <t>SRS-FUNC-03, SRS-PERM-03</t>
        </is>
      </c>
      <c r="G11" s="4" t="inlineStr">
        <is>
          <t>Đề bài</t>
        </is>
      </c>
      <c r="H11" s="4" t="inlineStr">
        <is>
          <t>Gia tốc cực đại cho phép</t>
        </is>
      </c>
    </row>
    <row r="12">
      <c r="A12" s="4" t="inlineStr">
        <is>
          <t>P-11</t>
        </is>
      </c>
      <c r="B12" s="4" t="inlineStr">
        <is>
          <t>ρ_max</t>
        </is>
      </c>
      <c r="C12" s="5" t="n">
        <v>2</v>
      </c>
      <c r="D12" s="4" t="inlineStr">
        <is>
          <t>m/s³</t>
        </is>
      </c>
      <c r="E12" s="4" t="inlineStr">
        <is>
          <t>[A]</t>
        </is>
      </c>
      <c r="F12" s="4" t="inlineStr">
        <is>
          <t>SRS-FUNC-03, SRS-PERM-03</t>
        </is>
      </c>
      <c r="G12" s="4" t="inlineStr">
        <is>
          <t>Đề bài</t>
        </is>
      </c>
      <c r="H12" s="4" t="inlineStr">
        <is>
          <t>Độ giật cực đại cho phép</t>
        </is>
      </c>
    </row>
    <row r="13">
      <c r="A13" s="4" t="inlineStr">
        <is>
          <t>P-12</t>
        </is>
      </c>
      <c r="B13" s="4" t="inlineStr">
        <is>
          <t>D_bx</t>
        </is>
      </c>
      <c r="C13" s="5" t="n">
        <v>0.25</v>
      </c>
      <c r="D13" s="4" t="inlineStr">
        <is>
          <t>m</t>
        </is>
      </c>
      <c r="E13" s="4" t="inlineStr">
        <is>
          <t>[C]</t>
        </is>
      </c>
      <c r="F13" s="4" t="inlineStr">
        <is>
          <t>SRS-PERM-01, SRS-PERM-02</t>
        </is>
      </c>
      <c r="G13" s="4" t="inlineStr">
        <is>
          <t>Giả định SSoT (nguồn DIN 536 chưa có trong kho)</t>
        </is>
      </c>
      <c r="H13" s="4" t="inlineStr">
        <is>
          <t>Đường kính bánh xe</t>
        </is>
      </c>
    </row>
    <row r="14">
      <c r="A14" s="4" t="inlineStr">
        <is>
          <t>P-13</t>
        </is>
      </c>
      <c r="B14" s="4" t="inlineStr">
        <is>
          <t>w_0</t>
        </is>
      </c>
      <c r="C14" s="5" t="n">
        <v>0.015</v>
      </c>
      <c r="D14" s="4" t="inlineStr">
        <is>
          <t>-</t>
        </is>
      </c>
      <c r="E14" s="4" t="inlineStr">
        <is>
          <t>[C]</t>
        </is>
      </c>
      <c r="F14" s="4" t="inlineStr">
        <is>
          <t>SRS-PERM-01</t>
        </is>
      </c>
      <c r="G14" s="4" t="inlineStr">
        <is>
          <t>Giả định SSoT; dải SOW 0.012-0.018</t>
        </is>
      </c>
      <c r="H14" s="4" t="inlineStr">
        <is>
          <t>Suất cản lăn riêng</t>
        </is>
      </c>
    </row>
    <row r="15">
      <c r="A15" s="4" t="inlineStr">
        <is>
          <t>P-14</t>
        </is>
      </c>
      <c r="B15" s="4" t="inlineStr">
        <is>
          <t>φ</t>
        </is>
      </c>
      <c r="C15" s="5" t="n">
        <v>0.2</v>
      </c>
      <c r="D15" s="4" t="inlineStr">
        <is>
          <t>-</t>
        </is>
      </c>
      <c r="E15" s="4" t="inlineStr">
        <is>
          <t>[C]</t>
        </is>
      </c>
      <c r="F15" s="4" t="inlineStr">
        <is>
          <t>SRS-PERM-01</t>
        </is>
      </c>
      <c r="G15" s="4" t="inlineStr">
        <is>
          <t>Giả định SSoT (Bài 4 slide 43: truyền lực ma sát)</t>
        </is>
      </c>
      <c r="H15" s="4" t="inlineStr">
        <is>
          <t>Hệ số bám bánh thép-ray</t>
        </is>
      </c>
    </row>
    <row r="16">
      <c r="A16" s="4" t="inlineStr">
        <is>
          <t>P-15</t>
        </is>
      </c>
      <c r="B16" s="4" t="inlineStr">
        <is>
          <t>η</t>
        </is>
      </c>
      <c r="C16" s="5" t="n">
        <v>0.9</v>
      </c>
      <c r="D16" s="4" t="inlineStr">
        <is>
          <t>-</t>
        </is>
      </c>
      <c r="E16" s="4" t="inlineStr">
        <is>
          <t>[C]</t>
        </is>
      </c>
      <c r="F16" s="4" t="inlineStr">
        <is>
          <t>SRS-PERM-01</t>
        </is>
      </c>
      <c r="G16" s="4" t="inlineStr">
        <is>
          <t>Giả định SSoT (bảo thủ cho geared motor)</t>
        </is>
      </c>
      <c r="H16" s="4" t="inlineStr">
        <is>
          <t>Hiệu suất cơ khí</t>
        </is>
      </c>
    </row>
    <row r="17">
      <c r="A17" s="4" t="inlineStr">
        <is>
          <t>P-16</t>
        </is>
      </c>
      <c r="B17" s="4" t="inlineStr">
        <is>
          <t>i</t>
        </is>
      </c>
      <c r="C17" s="5" t="n">
        <v>150</v>
      </c>
      <c r="D17" s="4" t="inlineStr">
        <is>
          <t>-</t>
        </is>
      </c>
      <c r="E17" s="4" t="inlineStr">
        <is>
          <t>[C]</t>
        </is>
      </c>
      <c r="F17" s="4" t="inlineStr">
        <is>
          <t>SRS-PERM-01, SRS-PERM-02</t>
        </is>
      </c>
      <c r="G17" s="4" t="inlineStr">
        <is>
          <t>Giả định SSoT; Khối 3 dùng i_thực (SRS-D03)</t>
        </is>
      </c>
      <c r="H17" s="4" t="inlineStr">
        <is>
          <t>Tỷ số truyền sơ bộ</t>
        </is>
      </c>
    </row>
    <row r="18">
      <c r="A18" s="4" t="inlineStr">
        <is>
          <t>P-17</t>
        </is>
      </c>
      <c r="B18" s="4" t="inlineStr">
        <is>
          <t>Chế độ</t>
        </is>
      </c>
      <c r="C18" s="5" t="inlineStr">
        <is>
          <t>S3 - 40%</t>
        </is>
      </c>
      <c r="D18" s="4" t="inlineStr">
        <is>
          <t>-</t>
        </is>
      </c>
      <c r="E18" s="4" t="inlineStr">
        <is>
          <t>[C]</t>
        </is>
      </c>
      <c r="F18" s="4" t="inlineStr">
        <is>
          <t>SRS-PERM-04</t>
        </is>
      </c>
      <c r="G18" s="4" t="inlineStr">
        <is>
          <t>IEC 60034-1 ([R4] tr.23)</t>
        </is>
      </c>
      <c r="H18" s="4" t="inlineStr">
        <is>
          <t>Chế độ làm việc định mức</t>
        </is>
      </c>
    </row>
    <row r="19">
      <c r="A19" s="4" t="inlineStr">
        <is>
          <t>P-18</t>
        </is>
      </c>
      <c r="B19" s="4" t="inlineStr">
        <is>
          <t>g</t>
        </is>
      </c>
      <c r="C19" s="5" t="n">
        <v>9.81</v>
      </c>
      <c r="D19" s="4" t="inlineStr">
        <is>
          <t>m/s²</t>
        </is>
      </c>
      <c r="E19" s="4" t="inlineStr">
        <is>
          <t>[C]</t>
        </is>
      </c>
      <c r="F19" s="4" t="inlineStr">
        <is>
          <t>SRS-PERM-01, SRS-PERM-03</t>
        </is>
      </c>
      <c r="G19" s="4" t="inlineStr">
        <is>
          <t>Hằng số</t>
        </is>
      </c>
      <c r="H19" s="4" t="inlineStr">
        <is>
          <t>Gia tốc trọng trường</t>
        </is>
      </c>
    </row>
    <row r="20">
      <c r="A20" s="4" t="inlineStr">
        <is>
          <t>P-19</t>
        </is>
      </c>
      <c r="B20" s="4" t="inlineStr">
        <is>
          <t>U_lưới</t>
        </is>
      </c>
      <c r="C20" s="5" t="n">
        <v>380</v>
      </c>
      <c r="D20" s="4" t="inlineStr">
        <is>
          <t>V (±10%, 50 Hz)</t>
        </is>
      </c>
      <c r="E20" s="4" t="inlineStr">
        <is>
          <t>[C]</t>
        </is>
      </c>
      <c r="F20" s="4" t="inlineStr">
        <is>
          <t>SRS-PERM-04</t>
        </is>
      </c>
      <c r="G20" s="4" t="inlineStr">
        <is>
          <t>Lưới hạ thế VN</t>
        </is>
      </c>
      <c r="H20" s="4" t="inlineStr">
        <is>
          <t>Nguồn điện lưới</t>
        </is>
      </c>
    </row>
    <row r="21">
      <c r="A21" s="4" t="inlineStr">
        <is>
          <t>P-20</t>
        </is>
      </c>
      <c r="B21" s="4" t="inlineStr">
        <is>
          <t>F_c.đầy</t>
        </is>
      </c>
      <c r="C21" s="4">
        <f>$C$5*$C$19*$C$14</f>
        <v/>
      </c>
      <c r="D21" s="4" t="inlineStr">
        <is>
          <t>N</t>
        </is>
      </c>
      <c r="E21" s="4" t="inlineStr">
        <is>
          <t>[B]</t>
        </is>
      </c>
      <c r="F21" s="4" t="inlineStr">
        <is>
          <t>SRS-PERM-01</t>
        </is>
      </c>
      <c r="G21" s="4" t="inlineStr">
        <is>
          <t>M_Σ·g·w_0</t>
        </is>
      </c>
      <c r="H21" s="4" t="inlineStr">
        <is>
          <t>Lực cản tĩnh đầy tải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2" customWidth="1" min="1" max="1"/>
    <col width="46" customWidth="1" min="2" max="2"/>
    <col width="12" customWidth="1" min="3" max="3"/>
    <col width="16" customWidth="1" min="4" max="4"/>
    <col width="12" customWidth="1" min="5" max="5"/>
    <col width="52" customWidth="1" min="6" max="6"/>
    <col width="30" customWidth="1" min="7" max="7"/>
  </cols>
  <sheetData>
    <row r="1" ht="15" customHeight="1">
      <c r="A1" s="3" t="inlineStr">
        <is>
          <t>Mã</t>
        </is>
      </c>
      <c r="B1" s="3" t="inlineStr">
        <is>
          <t>Đại lượng</t>
        </is>
      </c>
      <c r="C1" s="3" t="inlineStr">
        <is>
          <t>Ký hiệu</t>
        </is>
      </c>
      <c r="D1" s="3" t="inlineStr">
        <is>
          <t>Giá trị</t>
        </is>
      </c>
      <c r="E1" s="3" t="inlineStr">
        <is>
          <t>Đơn vị</t>
        </is>
      </c>
      <c r="F1" s="3" t="inlineStr">
        <is>
          <t>Công thức / Ghi chú</t>
        </is>
      </c>
      <c r="G1" s="3" t="inlineStr">
        <is>
          <t>Nguồn công thức</t>
        </is>
      </c>
    </row>
    <row r="2" ht="15" customHeight="1">
      <c r="A2" s="6" t="inlineStr">
        <is>
          <t>Phân giải số của P-17 và P-19 (không phải số mới)</t>
        </is>
      </c>
      <c r="B2" s="7" t="n"/>
      <c r="C2" s="7" t="n"/>
      <c r="D2" s="7" t="n"/>
      <c r="E2" s="7" t="n"/>
      <c r="F2" s="7" t="n"/>
      <c r="G2" s="7" t="n"/>
    </row>
    <row r="3">
      <c r="A3" s="8" t="inlineStr">
        <is>
          <t>CD</t>
        </is>
      </c>
      <c r="B3" s="8" t="inlineStr">
        <is>
          <t>Hệ số đóng điện tương đối của S3</t>
        </is>
      </c>
      <c r="C3" s="8" t="inlineStr">
        <is>
          <t>CD</t>
        </is>
      </c>
      <c r="D3" s="9" t="n">
        <v>0.4</v>
      </c>
      <c r="E3" s="8" t="inlineStr">
        <is>
          <t>-</t>
        </is>
      </c>
      <c r="F3" s="8" t="inlineStr">
        <is>
          <t>Từ P-17 'S3 - 40%'</t>
        </is>
      </c>
      <c r="G3" s="8" t="inlineStr">
        <is>
          <t>P-17; IEC 60034-1 [R4] tr.23</t>
        </is>
      </c>
    </row>
    <row r="4">
      <c r="A4" s="8" t="inlineStr">
        <is>
          <t>Tck</t>
        </is>
      </c>
      <c r="B4" s="8" t="inlineStr">
        <is>
          <t>Chu kỳ chuẩn S3</t>
        </is>
      </c>
      <c r="C4" s="8" t="inlineStr">
        <is>
          <t>T_ck</t>
        </is>
      </c>
      <c r="D4" s="10" t="n">
        <v>600</v>
      </c>
      <c r="E4" s="8" t="inlineStr">
        <is>
          <t>s</t>
        </is>
      </c>
      <c r="F4" s="8" t="inlineStr">
        <is>
          <t>10 phút (SRS-PERM-04)</t>
        </is>
      </c>
      <c r="G4" s="8" t="inlineStr">
        <is>
          <t>SRS-PERM-04</t>
        </is>
      </c>
    </row>
    <row r="5">
      <c r="A5" s="8" t="inlineStr">
        <is>
          <t>dU</t>
        </is>
      </c>
      <c r="B5" s="8" t="inlineStr">
        <is>
          <t>Dung sai điện áp lưới</t>
        </is>
      </c>
      <c r="C5" s="8" t="inlineStr">
        <is>
          <t>ΔU</t>
        </is>
      </c>
      <c r="D5" s="9" t="n">
        <v>0.1</v>
      </c>
      <c r="E5" s="8" t="inlineStr">
        <is>
          <t>-</t>
        </is>
      </c>
      <c r="F5" s="8" t="inlineStr">
        <is>
          <t>±10% (P-19)</t>
        </is>
      </c>
      <c r="G5" s="8" t="inlineStr">
        <is>
          <t>P-19</t>
        </is>
      </c>
    </row>
    <row r="6">
      <c r="A6" s="8" t="inlineStr">
        <is>
          <t>f_grid</t>
        </is>
      </c>
      <c r="B6" s="8" t="inlineStr">
        <is>
          <t>Tần số lưới</t>
        </is>
      </c>
      <c r="C6" s="8" t="inlineStr">
        <is>
          <t>f</t>
        </is>
      </c>
      <c r="D6" s="10" t="n">
        <v>50</v>
      </c>
      <c r="E6" s="8" t="inlineStr">
        <is>
          <t>Hz</t>
        </is>
      </c>
      <c r="F6" s="8" t="inlineStr">
        <is>
          <t>P-19</t>
        </is>
      </c>
      <c r="G6" s="8" t="inlineStr">
        <is>
          <t>P-19</t>
        </is>
      </c>
    </row>
    <row r="7" ht="15" customHeight="1">
      <c r="A7" s="6" t="inlineStr">
        <is>
          <t>Giả định thiết kế [C] phát sinh ở Khối 3 (mỗi dòng: lý do + mốc kiểm tra)</t>
        </is>
      </c>
      <c r="B7" s="7" t="n"/>
      <c r="C7" s="7" t="n"/>
      <c r="D7" s="7" t="n"/>
      <c r="E7" s="7" t="n"/>
      <c r="F7" s="7" t="n"/>
      <c r="G7" s="7" t="n"/>
    </row>
    <row r="8" ht="28.5" customHeight="1">
      <c r="A8" s="8" t="inlineStr">
        <is>
          <t>delta</t>
        </is>
      </c>
      <c r="B8" s="8" t="inlineStr">
        <is>
          <t>Hệ số kể đến quán tính chi tiết quay hộp số/khớp nối</t>
        </is>
      </c>
      <c r="C8" s="8" t="inlineStr">
        <is>
          <t>δ</t>
        </is>
      </c>
      <c r="D8" s="9" t="n">
        <v>1.15</v>
      </c>
      <c r="E8" s="8" t="inlineStr">
        <is>
          <t>-</t>
        </is>
      </c>
      <c r="F8" s="8" t="inlineStr">
        <is>
          <t>Giữa dải 1.1-1.2 (WORKFLOW §4.2-B4); kiểm tra lại khi có J hộp số SEW</t>
        </is>
      </c>
      <c r="G8" s="8" t="inlineStr">
        <is>
          <t>WORKFLOW_RULES §4.2-B4</t>
        </is>
      </c>
    </row>
    <row r="9">
      <c r="A9" s="8" t="inlineStr">
        <is>
          <t>k_dan</t>
        </is>
      </c>
      <c r="B9" s="8" t="inlineStr">
        <is>
          <t>Tỷ lệ trọng lượng bám trên bánh dẫn</t>
        </is>
      </c>
      <c r="C9" s="8" t="inlineStr">
        <is>
          <t>k_dẫn</t>
        </is>
      </c>
      <c r="D9" s="9" t="n">
        <v>0.5</v>
      </c>
      <c r="E9" s="8" t="inlineStr">
        <is>
          <t>-</t>
        </is>
      </c>
      <c r="F9" s="8" t="inlineStr">
        <is>
          <t>2/4 bánh dẫn (SAD TO-02 phương án A)</t>
        </is>
      </c>
      <c r="G9" s="8" t="inlineStr">
        <is>
          <t>WORKFLOW §4.2-B3; SAD §3.2</t>
        </is>
      </c>
    </row>
    <row r="10" ht="28.5" customHeight="1">
      <c r="A10" s="8" t="inlineStr">
        <is>
          <t>n_trip</t>
        </is>
      </c>
      <c r="B10" s="8" t="inlineStr">
        <is>
          <t>Số hành trình trong một chu kỳ S3</t>
        </is>
      </c>
      <c r="C10" s="8" t="inlineStr">
        <is>
          <t>n_ht</t>
        </is>
      </c>
      <c r="D10" s="10" t="n">
        <v>2</v>
      </c>
      <c r="E10" s="8" t="inlineStr">
        <is>
          <t>-</t>
        </is>
      </c>
      <c r="F10" s="8" t="inlineStr">
        <is>
          <t>1 hành trình đầy tải (Tiến) + 1 hành trình không tải (Lùi); chiều dài hành trình suy ra để CD đúng 40%</t>
        </is>
      </c>
      <c r="G10" s="8" t="inlineStr">
        <is>
          <t>Giả định chu trình [C]</t>
        </is>
      </c>
    </row>
    <row r="11">
      <c r="A11" s="8" t="inlineStr">
        <is>
          <t>a_set</t>
        </is>
      </c>
      <c r="B11" s="8" t="inlineStr">
        <is>
          <t>Gia tốc đặt S-curve</t>
        </is>
      </c>
      <c r="C11" s="8" t="inlineStr">
        <is>
          <t>a*</t>
        </is>
      </c>
      <c r="D11" s="11" t="n">
        <v>0.45</v>
      </c>
      <c r="E11" s="8" t="inlineStr">
        <is>
          <t>m/s²</t>
        </is>
      </c>
      <c r="F11" s="8" t="inlineStr">
        <is>
          <t>Dự trữ 10% dưới P-10; nằm trong dải QCD-Q03 [0.45; 0.50]</t>
        </is>
      </c>
      <c r="G11" s="8" t="inlineStr">
        <is>
          <t>SRS-FUNC-03; SOW QCD-Q03</t>
        </is>
      </c>
    </row>
    <row r="12">
      <c r="A12" s="8" t="inlineStr">
        <is>
          <t>rho_set</t>
        </is>
      </c>
      <c r="B12" s="8" t="inlineStr">
        <is>
          <t>Độ giật đặt S-curve</t>
        </is>
      </c>
      <c r="C12" s="8" t="inlineStr">
        <is>
          <t>ρ*</t>
        </is>
      </c>
      <c r="D12" s="11" t="n">
        <v>1.8</v>
      </c>
      <c r="E12" s="8" t="inlineStr">
        <is>
          <t>m/s³</t>
        </is>
      </c>
      <c r="F12" s="8" t="inlineStr">
        <is>
          <t>Dự trữ 10% dưới P-11; dải QCD-Q03 [1.80; 2.00]</t>
        </is>
      </c>
      <c r="G12" s="8" t="inlineStr">
        <is>
          <t>SRS-FUNC-03; SOW QCD-Q03</t>
        </is>
      </c>
    </row>
    <row r="13">
      <c r="A13" s="8" t="inlineStr">
        <is>
          <t>eta_inv</t>
        </is>
      </c>
      <c r="B13" s="8" t="inlineStr">
        <is>
          <t>Hiệu suất biến tần</t>
        </is>
      </c>
      <c r="C13" s="8" t="inlineStr">
        <is>
          <t>η_inv</t>
        </is>
      </c>
      <c r="D13" s="9" t="n">
        <v>0.97</v>
      </c>
      <c r="E13" s="8" t="inlineStr">
        <is>
          <t>-</t>
        </is>
      </c>
      <c r="F13" s="8" t="inlineStr">
        <is>
          <t>Giá trị điển hình, chưa xác minh catalogue</t>
        </is>
      </c>
      <c r="G13" s="8" t="inlineStr">
        <is>
          <t>Giả định [C]</t>
        </is>
      </c>
    </row>
    <row r="14" ht="28.5" customHeight="1">
      <c r="A14" s="8" t="inlineStr">
        <is>
          <t>U_chop</t>
        </is>
      </c>
      <c r="B14" s="8" t="inlineStr">
        <is>
          <t>Ngưỡng mở Chopper (thiết kế mô hình)</t>
        </is>
      </c>
      <c r="C14" s="8" t="inlineStr">
        <is>
          <t>U_chop</t>
        </is>
      </c>
      <c r="D14" s="10" t="n">
        <v>700</v>
      </c>
      <c r="E14" s="8" t="inlineStr">
        <is>
          <t>V</t>
        </is>
      </c>
      <c r="F14" s="8" t="inlineStr">
        <is>
          <t>Downstream #3: 700 ± 20 V; ngưỡng thật ACS380 chưa xác minh</t>
        </is>
      </c>
      <c r="G14" s="8" t="inlineStr">
        <is>
          <t>SRS Baseline A §4 #3</t>
        </is>
      </c>
    </row>
    <row r="15">
      <c r="A15" s="8" t="inlineStr">
        <is>
          <t>U_dcmax</t>
        </is>
      </c>
      <c r="B15" s="8" t="inlineStr">
        <is>
          <t>Giới hạn điện áp DC-link</t>
        </is>
      </c>
      <c r="C15" s="8" t="inlineStr">
        <is>
          <t>U_dc,max</t>
        </is>
      </c>
      <c r="D15" s="10" t="n">
        <v>780</v>
      </c>
      <c r="E15" s="8" t="inlineStr">
        <is>
          <t>V</t>
        </is>
      </c>
      <c r="F15" s="8" t="inlineStr">
        <is>
          <t>Downstream #3</t>
        </is>
      </c>
      <c r="G15" s="8" t="inlineStr">
        <is>
          <t>SRS Baseline A §4 #3</t>
        </is>
      </c>
    </row>
    <row r="16">
      <c r="A16" s="8" t="inlineStr">
        <is>
          <t>U_trip</t>
        </is>
      </c>
      <c r="B16" s="8" t="inlineStr">
        <is>
          <t>Ngưỡng ngắt quá áp (mô hình)</t>
        </is>
      </c>
      <c r="C16" s="8" t="inlineStr">
        <is>
          <t>U_trip</t>
        </is>
      </c>
      <c r="D16" s="10" t="n">
        <v>800</v>
      </c>
      <c r="E16" s="8" t="inlineStr">
        <is>
          <t>V</t>
        </is>
      </c>
      <c r="F16" s="8" t="inlineStr">
        <is>
          <t>Downstream #3: 800 ± 10 V</t>
        </is>
      </c>
      <c r="G16" s="8" t="inlineStr">
        <is>
          <t>SRS Baseline A §4 #3</t>
        </is>
      </c>
    </row>
    <row r="17" ht="28.5" customHeight="1">
      <c r="A17" s="8" t="inlineStr">
        <is>
          <t>kp_brake</t>
        </is>
      </c>
      <c r="B17" s="8" t="inlineStr">
        <is>
          <t>Hệ số an toàn phanh giữ</t>
        </is>
      </c>
      <c r="C17" s="8" t="inlineStr">
        <is>
          <t>k_p</t>
        </is>
      </c>
      <c r="D17" s="9" t="n">
        <v>1.25</v>
      </c>
      <c r="E17" s="8" t="inlineStr">
        <is>
          <t>-</t>
        </is>
      </c>
      <c r="F17" s="8" t="inlineStr">
        <is>
          <t>Cận trên dải 1.1-1.25 (TCVN 4244 §1.5.3.3 theo Baseline, chưa đối chiếu bản scan)</t>
        </is>
      </c>
      <c r="G17" s="8" t="inlineStr">
        <is>
          <t>[R1] qua WORKFLOW §4.2-C3</t>
        </is>
      </c>
    </row>
    <row r="18">
      <c r="A18" s="8" t="inlineStr">
        <is>
          <t>k_hold</t>
        </is>
      </c>
      <c r="B18" s="8" t="inlineStr">
        <is>
          <t>Mô-men giữ thử trước khi nhả phanh (bội số M_N)</t>
        </is>
      </c>
      <c r="C18" s="8" t="inlineStr">
        <is>
          <t>M_hold/M_N</t>
        </is>
      </c>
      <c r="D18" s="9" t="n">
        <v>1</v>
      </c>
      <c r="E18" s="8" t="inlineStr">
        <is>
          <t>-</t>
        </is>
      </c>
      <c r="F18" s="8" t="inlineStr">
        <is>
          <t>Cận dưới dải [100%; 150%] (Downstream #5)</t>
        </is>
      </c>
      <c r="G18" s="8" t="inlineStr">
        <is>
          <t>SRS Baseline A §4 #5</t>
        </is>
      </c>
    </row>
    <row r="19">
      <c r="A19" s="8" t="inlineStr">
        <is>
          <t>k_test</t>
        </is>
      </c>
      <c r="B19" s="8" t="inlineStr">
        <is>
          <t>Hệ số dự trữ phanh khi thử mô-men giữ</t>
        </is>
      </c>
      <c r="C19" s="8" t="inlineStr">
        <is>
          <t>k_thử</t>
        </is>
      </c>
      <c r="D19" s="9" t="n">
        <v>1.2</v>
      </c>
      <c r="E19" s="8" t="inlineStr">
        <is>
          <t>-</t>
        </is>
      </c>
      <c r="F19" s="8" t="inlineStr">
        <is>
          <t>Phanh phải giữ được M_hold khi thử (SDD §5)</t>
        </is>
      </c>
      <c r="G19" s="8" t="inlineStr">
        <is>
          <t>Giả định [C]</t>
        </is>
      </c>
    </row>
    <row r="20" ht="28.5" customHeight="1">
      <c r="A20" s="8" t="inlineStr">
        <is>
          <t>MB_set</t>
        </is>
      </c>
      <c r="B20" s="8" t="inlineStr">
        <is>
          <t>Mô-men phanh đặt (cấp phanh)</t>
        </is>
      </c>
      <c r="C20" s="8" t="inlineStr">
        <is>
          <t>M_B</t>
        </is>
      </c>
      <c r="D20" s="12" t="n">
        <v>7</v>
      </c>
      <c r="E20" s="8" t="inlineStr">
        <is>
          <t>N·m</t>
        </is>
      </c>
      <c r="F20" s="8" t="inlineStr">
        <is>
          <t>Cấp 7 N·m của BE1 (4 lò xo thường + 2 lò xo xanh; các cấp 10/7/5 N·m) — đã xác minh</t>
        </is>
      </c>
      <c r="G20" s="8" t="inlineStr">
        <is>
          <t>[W-07] SEW B-107-04; QĐ-05</t>
        </is>
      </c>
    </row>
    <row r="21">
      <c r="A21" s="8" t="inlineStr">
        <is>
          <t>t_close</t>
        </is>
      </c>
      <c r="B21" s="8" t="inlineStr">
        <is>
          <t>Thời gian kẹp phanh (từ lúc cắt điện)</t>
        </is>
      </c>
      <c r="C21" s="8" t="inlineStr">
        <is>
          <t>t_kẹp</t>
        </is>
      </c>
      <c r="D21" s="9" t="n">
        <v>0.05</v>
      </c>
      <c r="E21" s="8" t="inlineStr">
        <is>
          <t>s</t>
        </is>
      </c>
      <c r="F21" s="8" t="inlineStr">
        <is>
          <t>Giả định, chưa xác minh catalogue BE</t>
        </is>
      </c>
      <c r="G21" s="8" t="inlineStr">
        <is>
          <t>Giả định [C]</t>
        </is>
      </c>
    </row>
    <row r="22">
      <c r="A22" s="8" t="inlineStr">
        <is>
          <t>f_sw</t>
        </is>
      </c>
      <c r="B22" s="8" t="inlineStr">
        <is>
          <t>Tần số băm PWM</t>
        </is>
      </c>
      <c r="C22" s="8" t="inlineStr">
        <is>
          <t>f_sw</t>
        </is>
      </c>
      <c r="D22" s="10" t="n">
        <v>4000</v>
      </c>
      <c r="E22" s="8" t="inlineStr">
        <is>
          <t>Hz</t>
        </is>
      </c>
      <c r="F22" s="8" t="inlineStr">
        <is>
          <t>Mặc định ACS380</t>
        </is>
      </c>
      <c r="G22" s="8" t="inlineStr">
        <is>
          <t>[W-05] tr.10</t>
        </is>
      </c>
    </row>
    <row r="23">
      <c r="A23" s="8" t="inlineStr">
        <is>
          <t>k_Tmu</t>
        </is>
      </c>
      <c r="B23" s="8" t="inlineStr">
        <is>
          <t>Hệ số trễ nhỏ không bù vòng dòng (T_μi = k/f_sw)</t>
        </is>
      </c>
      <c r="C23" s="8" t="inlineStr">
        <is>
          <t>k_μ</t>
        </is>
      </c>
      <c r="D23" s="9" t="n">
        <v>1.5</v>
      </c>
      <c r="E23" s="8" t="inlineStr">
        <is>
          <t>-</t>
        </is>
      </c>
      <c r="F23" s="8" t="inlineStr">
        <is>
          <t>Trễ tính toán 1 chu kỳ + 0.5 chu kỳ PWM</t>
        </is>
      </c>
      <c r="G23" s="8" t="inlineStr">
        <is>
          <t>Giả định [C] (Bài 2.1 slide 26)</t>
        </is>
      </c>
    </row>
    <row r="24">
      <c r="A24" s="8" t="inlineStr">
        <is>
          <t>Tf_w</t>
        </is>
      </c>
      <c r="B24" s="8" t="inlineStr">
        <is>
          <t>Hằng số thời gian lọc đo tốc độ</t>
        </is>
      </c>
      <c r="C24" s="8" t="inlineStr">
        <is>
          <t>T_fω</t>
        </is>
      </c>
      <c r="D24" s="9" t="n">
        <v>0.001</v>
      </c>
      <c r="E24" s="8" t="inlineStr">
        <is>
          <t>s</t>
        </is>
      </c>
      <c r="F24" s="8" t="inlineStr">
        <is>
          <t>Lọc đo encoder</t>
        </is>
      </c>
      <c r="G24" s="8" t="inlineStr">
        <is>
          <t>Giả định [C]</t>
        </is>
      </c>
    </row>
    <row r="25">
      <c r="A25" s="8" t="inlineStr">
        <is>
          <t>Ts_w</t>
        </is>
      </c>
      <c r="B25" s="8" t="inlineStr">
        <is>
          <t>Chu kỳ đo tốc độ encoder</t>
        </is>
      </c>
      <c r="C25" s="8" t="inlineStr">
        <is>
          <t>T_s,ω</t>
        </is>
      </c>
      <c r="D25" s="9" t="n">
        <v>0.001</v>
      </c>
      <c r="E25" s="8" t="inlineStr">
        <is>
          <t>s</t>
        </is>
      </c>
      <c r="F25" s="8" t="inlineStr">
        <is>
          <t>Đếm sườn trong 1 ms</t>
        </is>
      </c>
      <c r="G25" s="8" t="inlineStr">
        <is>
          <t>Giả định [C]</t>
        </is>
      </c>
    </row>
    <row r="26">
      <c r="A26" s="8" t="inlineStr">
        <is>
          <t>k_fe</t>
        </is>
      </c>
      <c r="B26" s="8" t="inlineStr">
        <is>
          <t>Tỷ lệ tổn hao sắt + cơ + phụ trong tổng tổn hao</t>
        </is>
      </c>
      <c r="C26" s="8" t="inlineStr">
        <is>
          <t>k_Fe</t>
        </is>
      </c>
      <c r="D26" s="9" t="n">
        <v>0.3</v>
      </c>
      <c r="E26" s="8" t="inlineStr">
        <is>
          <t>-</t>
        </is>
      </c>
      <c r="F26" s="8" t="inlineStr">
        <is>
          <t>Dùng để tách R_s; kiểm tra lại bằng ID-run</t>
        </is>
      </c>
      <c r="G26" s="8" t="inlineStr">
        <is>
          <t>Giả định [C]</t>
        </is>
      </c>
    </row>
    <row r="27">
      <c r="A27" s="8" t="inlineStr">
        <is>
          <t>k_sig</t>
        </is>
      </c>
      <c r="B27" s="8" t="inlineStr">
        <is>
          <t>Tỷ lệ chia điện kháng tản cho stator</t>
        </is>
      </c>
      <c r="C27" s="8" t="inlineStr">
        <is>
          <t>k_σ</t>
        </is>
      </c>
      <c r="D27" s="9" t="n">
        <v>0.5</v>
      </c>
      <c r="E27" s="8" t="inlineStr">
        <is>
          <t>-</t>
        </is>
      </c>
      <c r="F27" s="8" t="inlineStr">
        <is>
          <t>L_σs = L_σr = L_k/2 (thông lệ)</t>
        </is>
      </c>
      <c r="G27" s="8" t="inlineStr">
        <is>
          <t>Giả định [C]</t>
        </is>
      </c>
    </row>
    <row r="28">
      <c r="A28" s="8" t="inlineStr">
        <is>
          <t>pp</t>
        </is>
      </c>
      <c r="B28" s="8" t="inlineStr">
        <is>
          <t>Số đôi cực</t>
        </is>
      </c>
      <c r="C28" s="8" t="inlineStr">
        <is>
          <t>p</t>
        </is>
      </c>
      <c r="D28" s="10" t="n">
        <v>2</v>
      </c>
      <c r="E28" s="8" t="inlineStr">
        <is>
          <t>-</t>
        </is>
      </c>
      <c r="F28" s="8" t="inlineStr">
        <is>
          <t>Động cơ 4 cực</t>
        </is>
      </c>
      <c r="G28" s="8" t="inlineStr">
        <is>
          <t>[W-01]</t>
        </is>
      </c>
    </row>
    <row r="29">
      <c r="A29" s="8" t="inlineStr">
        <is>
          <t>U_N</t>
        </is>
      </c>
      <c r="B29" s="8" t="inlineStr">
        <is>
          <t>Điện áp định mức động cơ (dây)</t>
        </is>
      </c>
      <c r="C29" s="8" t="inlineStr">
        <is>
          <t>U_N</t>
        </is>
      </c>
      <c r="D29" s="10" t="n">
        <v>400</v>
      </c>
      <c r="E29" s="8" t="inlineStr">
        <is>
          <t>V</t>
        </is>
      </c>
      <c r="F29" s="8" t="inlineStr">
        <is>
          <t>DRN 400 V/50 Hz</t>
        </is>
      </c>
      <c r="G29" s="8" t="inlineStr">
        <is>
          <t>[W-01]</t>
        </is>
      </c>
    </row>
    <row r="30">
      <c r="A30" s="8" t="inlineStr">
        <is>
          <t>r_creep</t>
        </is>
      </c>
      <c r="B30" s="8" t="inlineStr">
        <is>
          <t>Tỷ lệ tốc độ bò</t>
        </is>
      </c>
      <c r="C30" s="8" t="inlineStr">
        <is>
          <t>r_bò</t>
        </is>
      </c>
      <c r="D30" s="11" t="n">
        <v>0.275</v>
      </c>
      <c r="E30" s="8" t="inlineStr">
        <is>
          <t>-</t>
        </is>
      </c>
      <c r="F30" s="8" t="inlineStr">
        <is>
          <t>Giữa dải 25-30% (Downstream #8)</t>
        </is>
      </c>
      <c r="G30" s="8" t="inlineStr">
        <is>
          <t>SRS Baseline A §4 #8</t>
        </is>
      </c>
    </row>
    <row r="31">
      <c r="A31" s="8" t="inlineStr">
        <is>
          <t>v_stop</t>
        </is>
      </c>
      <c r="B31" s="8" t="inlineStr">
        <is>
          <t>Ngưỡng đóng phanh</t>
        </is>
      </c>
      <c r="C31" s="8" t="inlineStr">
        <is>
          <t>|v|_đóng</t>
        </is>
      </c>
      <c r="D31" s="9" t="n">
        <v>0.005</v>
      </c>
      <c r="E31" s="8" t="inlineStr">
        <is>
          <t>m/s</t>
        </is>
      </c>
      <c r="F31" s="8" t="inlineStr">
        <is>
          <t>Downstream #5</t>
        </is>
      </c>
      <c r="G31" s="8" t="inlineStr">
        <is>
          <t>SRS Baseline A §4 #5</t>
        </is>
      </c>
    </row>
    <row r="32">
      <c r="A32" s="8" t="inlineStr">
        <is>
          <t>v_rev</t>
        </is>
      </c>
      <c r="B32" s="8" t="inlineStr">
        <is>
          <t>Ngưỡng cấm đảo chiều</t>
        </is>
      </c>
      <c r="C32" s="8" t="inlineStr">
        <is>
          <t>|v|_đảo</t>
        </is>
      </c>
      <c r="D32" s="9" t="n">
        <v>0.002</v>
      </c>
      <c r="E32" s="8" t="inlineStr">
        <is>
          <t>m/s</t>
        </is>
      </c>
      <c r="F32" s="8" t="inlineStr">
        <is>
          <t>Downstream #5</t>
        </is>
      </c>
      <c r="G32" s="8" t="inlineStr">
        <is>
          <t>SRS Baseline A §4 #5</t>
        </is>
      </c>
    </row>
    <row r="33">
      <c r="A33" s="8" t="inlineStr">
        <is>
          <t>N_enc</t>
        </is>
      </c>
      <c r="B33" s="8" t="inlineStr">
        <is>
          <t>Số chu kỳ encoder / vòng</t>
        </is>
      </c>
      <c r="C33" s="8" t="inlineStr">
        <is>
          <t>N_enc</t>
        </is>
      </c>
      <c r="D33" s="10" t="n">
        <v>1024</v>
      </c>
      <c r="E33" s="8" t="inlineStr">
        <is>
          <t>xung/vg</t>
        </is>
      </c>
      <c r="F33" s="8" t="inlineStr">
        <is>
          <t>SEW ES7C</t>
        </is>
      </c>
      <c r="G33" s="8" t="inlineStr">
        <is>
          <t>[W-04]</t>
        </is>
      </c>
    </row>
    <row r="34">
      <c r="A34" s="8" t="inlineStr">
        <is>
          <t>Tf_jerk</t>
        </is>
      </c>
      <c r="B34" s="8" t="inlineStr">
        <is>
          <t>Hằng số lọc đạo hàm đo độ giật</t>
        </is>
      </c>
      <c r="C34" s="8" t="inlineStr">
        <is>
          <t>T_f</t>
        </is>
      </c>
      <c r="D34" s="9" t="n">
        <v>0.005</v>
      </c>
      <c r="E34" s="8" t="inlineStr">
        <is>
          <t>s</t>
        </is>
      </c>
      <c r="F34" s="8" t="inlineStr">
        <is>
          <t>Trong dải 0.005-0.01 s</t>
        </is>
      </c>
      <c r="G34" s="8" t="inlineStr">
        <is>
          <t>SRS chi tiết §5.4</t>
        </is>
      </c>
    </row>
    <row r="35">
      <c r="A35" s="8" t="inlineStr">
        <is>
          <t>exl_max</t>
        </is>
      </c>
      <c r="B35" s="8" t="inlineStr">
        <is>
          <t>Sai lệch tốc độ xác lập cho phép</t>
        </is>
      </c>
      <c r="C35" s="8" t="inlineStr">
        <is>
          <t>e_xl,max</t>
        </is>
      </c>
      <c r="D35" s="9" t="n">
        <v>0.05</v>
      </c>
      <c r="E35" s="8" t="inlineStr">
        <is>
          <t>-</t>
        </is>
      </c>
      <c r="F35" s="8" t="inlineStr">
        <is>
          <t>Downstream #2</t>
        </is>
      </c>
      <c r="G35" s="8" t="inlineStr">
        <is>
          <t>SRS Baseline A §4 #2</t>
        </is>
      </c>
    </row>
    <row r="36">
      <c r="A36" s="8" t="inlineStr">
        <is>
          <t>PM_min</t>
        </is>
      </c>
      <c r="B36" s="8" t="inlineStr">
        <is>
          <t>Độ dự trữ pha tối thiểu vòng tốc độ</t>
        </is>
      </c>
      <c r="C36" s="8" t="inlineStr">
        <is>
          <t>PM_min</t>
        </is>
      </c>
      <c r="D36" s="10" t="n">
        <v>30</v>
      </c>
      <c r="E36" s="8" t="inlineStr">
        <is>
          <t>°</t>
        </is>
      </c>
      <c r="F36" s="8" t="inlineStr">
        <is>
          <t>Thông lệ thiết kế (gián tiếp cho M_p ≤ 10%)</t>
        </is>
      </c>
      <c r="G36" s="8" t="inlineStr">
        <is>
          <t>Giả định [C]</t>
        </is>
      </c>
    </row>
    <row r="37" ht="15" customHeight="1">
      <c r="A37" s="6" t="inlineStr">
        <is>
          <t>Ô quyết định của Người dùng (cổng G4)</t>
        </is>
      </c>
      <c r="B37" s="7" t="n"/>
      <c r="C37" s="7" t="n"/>
      <c r="D37" s="7" t="n"/>
      <c r="E37" s="7" t="n"/>
      <c r="F37" s="7" t="n"/>
      <c r="G37" s="7" t="n"/>
    </row>
    <row r="38" ht="28.5" customHeight="1">
      <c r="A38" s="8" t="inlineStr">
        <is>
          <t>sel</t>
        </is>
      </c>
      <c r="B38" s="8" t="inlineStr">
        <is>
          <t>Ứng viên chọn (1 = DRN80M4 + ACS380-03A3-4; 2 = DRN90S4 + ACS380-04A0-4)</t>
        </is>
      </c>
      <c r="C38" s="8" t="inlineStr">
        <is>
          <t>sel</t>
        </is>
      </c>
      <c r="D38" s="12" t="n">
        <v>1</v>
      </c>
      <c r="E38" s="8" t="inlineStr">
        <is>
          <t>-</t>
        </is>
      </c>
      <c r="F38" s="8" t="inlineStr">
        <is>
          <t>ĐÃ CHỐT = 1 (QĐ-04, 24/10/2026): DRN80M4 + ACS380-03A3-4; chấp nhận biên quá tải 1.03 ở WC-5</t>
        </is>
      </c>
      <c r="G38" s="8" t="inlineStr">
        <is>
          <t>Người dùng — QĐ-04</t>
        </is>
      </c>
    </row>
    <row r="39" ht="28.5" customHeight="1">
      <c r="A39" s="8" t="inlineStr">
        <is>
          <t>i_in</t>
        </is>
      </c>
      <c r="B39" s="8" t="inlineStr">
        <is>
          <t>Tỷ số truyền thực tế của hộp số SEW R87</t>
        </is>
      </c>
      <c r="C39" s="8" t="inlineStr">
        <is>
          <t>i_thực</t>
        </is>
      </c>
      <c r="D39" s="11" t="n">
        <v>155.34</v>
      </c>
      <c r="E39" s="8" t="inlineStr">
        <is>
          <t>-</t>
        </is>
      </c>
      <c r="F39" s="8" t="inlineStr">
        <is>
          <t>R87, tỷ số tổng 155.34 — SEW Drive Selection (ứng dụng xe con, 25/10/2026)</t>
        </is>
      </c>
      <c r="G39" s="8" t="inlineStr">
        <is>
          <t>[W-06]</t>
        </is>
      </c>
    </row>
    <row r="40">
      <c r="A40" s="8" t="inlineStr">
        <is>
          <t>Ma_max</t>
        </is>
      </c>
      <c r="B40" s="8" t="inlineStr">
        <is>
          <t>Mô-men ra cho phép lớn nhất của hộp số R87</t>
        </is>
      </c>
      <c r="C40" s="8" t="inlineStr">
        <is>
          <t>M_a,max</t>
        </is>
      </c>
      <c r="D40" s="10" t="n">
        <v>1550</v>
      </c>
      <c r="E40" s="8" t="inlineStr">
        <is>
          <t>N·m</t>
        </is>
      </c>
      <c r="F40" s="8" t="inlineStr">
        <is>
          <t>SEW Drive Selection: R87, i = 155.34</t>
        </is>
      </c>
      <c r="G40" s="8" t="inlineStr">
        <is>
          <t>[W-06]</t>
        </is>
      </c>
    </row>
    <row r="41">
      <c r="A41" s="8" t="inlineStr">
        <is>
          <t>FRa</t>
        </is>
      </c>
      <c r="B41" s="8" t="inlineStr">
        <is>
          <t>Tải hướng kính cho phép trên trục ra (n = 1400)</t>
        </is>
      </c>
      <c r="C41" s="8" t="inlineStr">
        <is>
          <t>F_Ra</t>
        </is>
      </c>
      <c r="D41" s="10" t="n">
        <v>17100</v>
      </c>
      <c r="E41" s="8" t="inlineStr">
        <is>
          <t>N</t>
        </is>
      </c>
      <c r="F41" s="8" t="inlineStr">
        <is>
          <t>SEW Drive Selection: R87</t>
        </is>
      </c>
      <c r="G41" s="8" t="inlineStr">
        <is>
          <t>[W-06]</t>
        </is>
      </c>
    </row>
    <row r="42" ht="42.75" customHeight="1">
      <c r="A42" s="8" t="inlineStr">
        <is>
          <t>Rh_set</t>
        </is>
      </c>
      <c r="B42" s="8" t="inlineStr">
        <is>
          <t>Điện trở xả hãm chọn</t>
        </is>
      </c>
      <c r="C42" s="8" t="inlineStr">
        <is>
          <t>R_h</t>
        </is>
      </c>
      <c r="D42" s="12" t="n">
        <v>210</v>
      </c>
      <c r="E42" s="8" t="inlineStr">
        <is>
          <t>Ω</t>
        </is>
      </c>
      <c r="F42" s="8" t="inlineStr">
        <is>
          <t>Danotherm CBH 360 C T 406 210R: 210 Ω ±10%, 200 W (40 °C), công tắc nhiệt — điện trở mẫu ABB cho ACS380-01A8…05A6-4</t>
        </is>
      </c>
      <c r="G42" s="8" t="inlineStr">
        <is>
          <t>[W-05] tr.24; [W-09]</t>
        </is>
      </c>
    </row>
    <row r="43">
      <c r="A43" s="6" t="inlineStr">
        <is>
          <t>Giả định mô phỏng [C] — Khối 4, nhóm C (26/10/2026): mô hình 2 khối lượng, giới hạn điện áp, biến tần trung bình, kịch bản rút gọn</t>
        </is>
      </c>
      <c r="B43" s="7" t="n"/>
      <c r="C43" s="7" t="n"/>
      <c r="D43" s="7" t="n"/>
      <c r="E43" s="7" t="n"/>
      <c r="F43" s="7" t="n"/>
      <c r="G43" s="7" t="n"/>
    </row>
    <row r="44">
      <c r="A44" s="8" t="inlineStr">
        <is>
          <t>k_u</t>
        </is>
      </c>
      <c r="B44" s="8" t="inlineStr">
        <is>
          <t>Hệ số dự trữ điện áp điều chế (để vòng dòng còn biên)</t>
        </is>
      </c>
      <c r="C44" s="8" t="inlineStr">
        <is>
          <t>k_u</t>
        </is>
      </c>
      <c r="D44" s="9" t="n">
        <v>0.95</v>
      </c>
      <c r="E44" s="8" t="inlineStr">
        <is>
          <t>-</t>
        </is>
      </c>
      <c r="F44" s="8" t="inlineStr">
        <is>
          <t>U_1 ≤ k_u·U_dc/√2 (SVPWM tuyến tính); 5% dành cho điều chỉnh dòng</t>
        </is>
      </c>
      <c r="G44" s="8" t="inlineStr">
        <is>
          <t>Giả định [C]</t>
        </is>
      </c>
    </row>
    <row r="45">
      <c r="A45" s="8" t="inlineStr">
        <is>
          <t>zeta</t>
        </is>
      </c>
      <c r="B45" s="8" t="inlineStr">
        <is>
          <t>Hệ số tắt dần con lắc</t>
        </is>
      </c>
      <c r="C45" s="8" t="inlineStr">
        <is>
          <t>ζ</t>
        </is>
      </c>
      <c r="D45" s="9" t="n">
        <v>0</v>
      </c>
      <c r="E45" s="8" t="inlineStr">
        <is>
          <t>-</t>
        </is>
      </c>
      <c r="F45" s="8" t="inlineStr">
        <is>
          <t>Bảo thủ: không tắt dần (SDD §3.4)</t>
        </is>
      </c>
      <c r="G45" s="8" t="inlineStr">
        <is>
          <t>Giả định [C]</t>
        </is>
      </c>
    </row>
    <row r="46">
      <c r="A46" s="8" t="inlineStr">
        <is>
          <t>C_dc</t>
        </is>
      </c>
      <c r="B46" s="8" t="inlineStr">
        <is>
          <t>Điện dung tụ DC-link (mô hình)</t>
        </is>
      </c>
      <c r="C46" s="8" t="inlineStr">
        <is>
          <t>C_dc</t>
        </is>
      </c>
      <c r="D46" s="22" t="n">
        <v>0.00022</v>
      </c>
      <c r="E46" s="8" t="inlineStr">
        <is>
          <t>F</t>
        </is>
      </c>
      <c r="F46" s="8" t="inlineStr">
        <is>
          <t>Chưa có trong catalogue ACS380-03A3-4 — chưa xác minh. C lớn hơn ⇒ chopper ít tác động hơn (xem KT-39)</t>
        </is>
      </c>
      <c r="G46" s="8" t="inlineStr">
        <is>
          <t>Giả định [C]</t>
        </is>
      </c>
    </row>
    <row r="47">
      <c r="A47" s="8" t="inlineStr">
        <is>
          <t>dU_hys</t>
        </is>
      </c>
      <c r="B47" s="8" t="inlineStr">
        <is>
          <t>Độ trễ đóng/cắt chopper</t>
        </is>
      </c>
      <c r="C47" s="8" t="inlineStr">
        <is>
          <t>ΔU_hys</t>
        </is>
      </c>
      <c r="D47" s="9" t="n">
        <v>20</v>
      </c>
      <c r="E47" s="8" t="inlineStr">
        <is>
          <t>V</t>
        </is>
      </c>
      <c r="F47" s="8" t="inlineStr">
        <is>
          <t>Chopper ON tại U_chop, OFF tại U_chop − ΔU_hys</t>
        </is>
      </c>
      <c r="G47" s="8" t="inlineStr">
        <is>
          <t>Giả định [C]</t>
        </is>
      </c>
    </row>
    <row r="48">
      <c r="A48" s="8" t="inlineStr">
        <is>
          <t>Ts_sim</t>
        </is>
      </c>
      <c r="B48" s="8" t="inlineStr">
        <is>
          <t>Bước giải cố định Simulink</t>
        </is>
      </c>
      <c r="C48" s="8" t="inlineStr">
        <is>
          <t>T_s</t>
        </is>
      </c>
      <c r="D48" s="22" t="n">
        <v>5e-05</v>
      </c>
      <c r="E48" s="8" t="inlineStr">
        <is>
          <t>s</t>
        </is>
      </c>
      <c r="F48" s="8" t="inlineStr">
        <is>
          <t>≤ 1e-4 s; Ts_I = 250 µs và Ts_w = 1 ms là bội nguyên (KT-40)</t>
        </is>
      </c>
      <c r="G48" s="8" t="inlineStr">
        <is>
          <t>DVP v1.2 §3.4; ICD §4</t>
        </is>
      </c>
    </row>
    <row r="49">
      <c r="A49" s="8" t="inlineStr">
        <is>
          <t>enc_mod</t>
        </is>
      </c>
      <c r="B49" s="8" t="inlineStr">
        <is>
          <t>Mô hình đo tốc độ trong mô phỏng</t>
        </is>
      </c>
      <c r="C49" s="8" t="inlineStr">
        <is>
          <t>enc_model</t>
        </is>
      </c>
      <c r="D49" s="9" t="n">
        <v>0</v>
      </c>
      <c r="E49" s="8" t="inlineStr">
        <is>
          <t>-</t>
        </is>
      </c>
      <c r="F49" s="8" t="inlineStr">
        <is>
          <t>0 = tốc độ lý tưởng + lọc T_fω (mặc định); 1 = lượng tử 4·N_enc sườn / Ts_w (chỉ khảo sát nhiễu: Δω·K_p,ω ≈ 1.1 A dao động i_sq)</t>
        </is>
      </c>
      <c r="G49" s="8" t="inlineStr">
        <is>
          <t>Giả định [C]</t>
        </is>
      </c>
    </row>
    <row r="50">
      <c r="A50" s="8" t="inlineStr">
        <is>
          <t>t_mag</t>
        </is>
      </c>
      <c r="B50" s="8" t="inlineStr">
        <is>
          <t>Thời gian từ hóa trước khi nhả phanh</t>
        </is>
      </c>
      <c r="C50" s="8" t="inlineStr">
        <is>
          <t>t_mag</t>
        </is>
      </c>
      <c r="D50" s="9" t="n">
        <v>0.5</v>
      </c>
      <c r="E50" s="8" t="inlineStr">
        <is>
          <t>s</t>
        </is>
      </c>
      <c r="F50" s="8" t="inlineStr">
        <is>
          <t>≥ 3T_r</t>
        </is>
      </c>
      <c r="G50" s="8" t="inlineStr">
        <is>
          <t>SDD §5.1 [C]</t>
        </is>
      </c>
    </row>
    <row r="51">
      <c r="A51" s="8" t="inlineStr">
        <is>
          <t>t_test</t>
        </is>
      </c>
      <c r="B51" s="8" t="inlineStr">
        <is>
          <t>Thời gian thử mô-men giữ (phanh còn kẹp)</t>
        </is>
      </c>
      <c r="C51" s="8" t="inlineStr">
        <is>
          <t>t_test</t>
        </is>
      </c>
      <c r="D51" s="9" t="n">
        <v>0.2</v>
      </c>
      <c r="E51" s="8" t="inlineStr">
        <is>
          <t>s</t>
        </is>
      </c>
      <c r="F51" s="8" t="inlineStr">
        <is>
          <t>Tăng dốc 0.05 s, giữ 0.1 s, giảm dốc 0.05 s</t>
        </is>
      </c>
      <c r="G51" s="8" t="inlineStr">
        <is>
          <t>SDD §5.1 [C]</t>
        </is>
      </c>
    </row>
    <row r="52">
      <c r="A52" s="8" t="inlineStr">
        <is>
          <t>t_open</t>
        </is>
      </c>
      <c r="B52" s="8" t="inlineStr">
        <is>
          <t>Thời gian chờ nhả phanh</t>
        </is>
      </c>
      <c r="C52" s="8" t="inlineStr">
        <is>
          <t>t_open</t>
        </is>
      </c>
      <c r="D52" s="9" t="n">
        <v>0.1</v>
      </c>
      <c r="E52" s="8" t="inlineStr">
        <is>
          <t>s</t>
        </is>
      </c>
      <c r="F52" s="8" t="inlineStr">
        <is>
          <t>Chưa xác minh BE1</t>
        </is>
      </c>
      <c r="G52" s="8" t="inlineStr">
        <is>
          <t>SDD §5.1 [C]</t>
        </is>
      </c>
    </row>
    <row r="53">
      <c r="A53" s="8" t="inlineStr">
        <is>
          <t>t_hx</t>
        </is>
      </c>
      <c r="B53" s="8" t="inlineStr">
        <is>
          <t>Thời gian ĐC giữ ω* = 0 thêm sau khi phanh kẹp</t>
        </is>
      </c>
      <c r="C53" s="8" t="inlineStr">
        <is>
          <t>t_hx</t>
        </is>
      </c>
      <c r="D53" s="9" t="n">
        <v>0.05</v>
      </c>
      <c r="E53" s="8" t="inlineStr">
        <is>
          <t>s</t>
        </is>
      </c>
      <c r="F53" s="8" t="inlineStr">
        <is>
          <t>S6 kéo dài t_close + t_hx</t>
        </is>
      </c>
      <c r="G53" s="8" t="inlineStr">
        <is>
          <t>SDD §5.1 [C]</t>
        </is>
      </c>
    </row>
    <row r="54">
      <c r="A54" s="8" t="inlineStr">
        <is>
          <t>t_cmd</t>
        </is>
      </c>
      <c r="B54" s="8" t="inlineStr">
        <is>
          <t>Thời điểm nhấn lệnh chạy (tính từ READY)</t>
        </is>
      </c>
      <c r="C54" s="8" t="inlineStr">
        <is>
          <t>t_cmd</t>
        </is>
      </c>
      <c r="D54" s="9" t="n">
        <v>0.5</v>
      </c>
      <c r="E54" s="8" t="inlineStr">
        <is>
          <t>s</t>
        </is>
      </c>
      <c r="F54" s="8" t="inlineStr">
        <is>
          <t>Kịch bản rút gọn TS-01/TS-02</t>
        </is>
      </c>
      <c r="G54" s="8" t="inlineStr">
        <is>
          <t>Giả định [C]</t>
        </is>
      </c>
    </row>
    <row r="55">
      <c r="A55" s="8" t="inlineStr">
        <is>
          <t>T_run</t>
        </is>
      </c>
      <c r="B55" s="8" t="inlineStr">
        <is>
          <t>Thời gian chạy đều mỗi hành trình (rút gọn)</t>
        </is>
      </c>
      <c r="C55" s="8" t="inlineStr">
        <is>
          <t>T_run</t>
        </is>
      </c>
      <c r="D55" s="9" t="n">
        <v>10</v>
      </c>
      <c r="E55" s="8" t="inlineStr">
        <is>
          <t>s</t>
        </is>
      </c>
      <c r="F55" s="8" t="inlineStr">
        <is>
          <t>≥ T_p để thấy dao động lắc khi chạy đều; thay cho 119 s của chu trình nhiệt (khối F vẫn dùng cho k_dt)</t>
        </is>
      </c>
      <c r="G55" s="8" t="inlineStr">
        <is>
          <t>Giả định [C]</t>
        </is>
      </c>
    </row>
    <row r="56">
      <c r="A56" s="8" t="inlineStr">
        <is>
          <t>T_dwell</t>
        </is>
      </c>
      <c r="B56" s="8" t="inlineStr">
        <is>
          <t>Thời gian quan sát sau khi dừng</t>
        </is>
      </c>
      <c r="C56" s="8" t="inlineStr">
        <is>
          <t>T_dwell</t>
        </is>
      </c>
      <c r="D56" s="9" t="n">
        <v>10</v>
      </c>
      <c r="E56" s="8" t="inlineStr">
        <is>
          <t>s</t>
        </is>
      </c>
      <c r="F56" s="8" t="inlineStr">
        <is>
          <t>Lắc dư sau dừng, U_dc sau hãm</t>
        </is>
      </c>
      <c r="G56" s="8" t="inlineStr">
        <is>
          <t>Giả định [C]</t>
        </is>
      </c>
    </row>
    <row r="57">
      <c r="A57" s="8" t="inlineStr">
        <is>
          <t>t_rev</t>
        </is>
      </c>
      <c r="B57" s="8" t="inlineStr">
        <is>
          <t>TS-02: nhấn REV sau khi bắt đầu chạy đều</t>
        </is>
      </c>
      <c r="C57" s="8" t="inlineStr">
        <is>
          <t>t_rev</t>
        </is>
      </c>
      <c r="D57" s="9" t="n">
        <v>3</v>
      </c>
      <c r="E57" s="8" t="inlineStr">
        <is>
          <t>s</t>
        </is>
      </c>
      <c r="F57" s="8" t="inlineStr">
        <is>
          <t>Kiểm khóa chéo khi v = v_max</t>
        </is>
      </c>
      <c r="G57" s="8" t="inlineStr">
        <is>
          <t>Giả định [C]</t>
        </is>
      </c>
    </row>
    <row r="58">
      <c r="A58" s="8" t="inlineStr">
        <is>
          <t>mech_mod</t>
        </is>
      </c>
      <c r="B58" s="8" t="inlineStr">
        <is>
          <t>Mô hình cơ khí trong mô phỏng</t>
        </is>
      </c>
      <c r="C58" s="8" t="inlineStr">
        <is>
          <t>mech_model</t>
        </is>
      </c>
      <c r="D58" s="9" t="n">
        <v>0</v>
      </c>
      <c r="E58" s="8" t="inlineStr">
        <is>
          <t>-</t>
        </is>
      </c>
      <c r="F58" s="8" t="inlineStr">
        <is>
          <t>0 = 2 khối lượng (mặc định, DV-01..07); 1 = khối cứng như Excel (tải gắn cứng, bỏ F_lắc) — chạy thêm cho DV-04 vì với 2 khối năng lượng hãm mỗi lần dừng chỉ ≈ 0–28 J, tùy pha lắc</t>
        </is>
      </c>
      <c r="G58" s="8" t="inlineStr">
        <is>
          <t>Giả định [C]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0" customWidth="1" min="1" max="1"/>
    <col width="44" customWidth="1" min="2" max="2"/>
    <col width="12" customWidth="1" min="3" max="3"/>
    <col width="18" customWidth="1" min="4" max="5"/>
    <col width="14" customWidth="1" min="6" max="6"/>
    <col width="10" customWidth="1" min="7" max="7"/>
    <col width="60" customWidth="1" min="8" max="8"/>
  </cols>
  <sheetData>
    <row r="1" ht="15" customHeight="1">
      <c r="A1" s="3" t="inlineStr">
        <is>
          <t>Mã</t>
        </is>
      </c>
      <c r="B1" s="3" t="inlineStr">
        <is>
          <t>Thông số</t>
        </is>
      </c>
      <c r="C1" s="3" t="inlineStr">
        <is>
          <t>Ký hiệu</t>
        </is>
      </c>
      <c r="D1" s="3" t="inlineStr">
        <is>
          <t>Ứng viên 1</t>
        </is>
      </c>
      <c r="E1" s="3" t="inlineStr">
        <is>
          <t>Ứng viên 2</t>
        </is>
      </c>
      <c r="F1" s="3" t="inlineStr">
        <is>
          <t>Đang chọn</t>
        </is>
      </c>
      <c r="G1" s="3" t="inlineStr">
        <is>
          <t>Đơn vị</t>
        </is>
      </c>
      <c r="H1" s="3" t="inlineStr">
        <is>
          <t>Nguồn (trang/bảng)</t>
        </is>
      </c>
    </row>
    <row r="2" ht="15" customHeight="1">
      <c r="A2" s="6" t="inlineStr">
        <is>
          <t>Động cơ SEW DRN.. IE3, 400 V, 50 Hz, 4 cực, S1</t>
        </is>
      </c>
      <c r="B2" s="7" t="n"/>
      <c r="C2" s="7" t="n"/>
      <c r="D2" s="7" t="n"/>
      <c r="E2" s="7" t="n"/>
      <c r="F2" s="7" t="n"/>
      <c r="G2" s="7" t="n"/>
      <c r="H2" s="7" t="n"/>
    </row>
    <row r="3">
      <c r="A3" s="4" t="inlineStr">
        <is>
          <t>mot_name</t>
        </is>
      </c>
      <c r="B3" s="4" t="inlineStr">
        <is>
          <t>Mã động cơ</t>
        </is>
      </c>
      <c r="C3" s="4" t="n"/>
      <c r="D3" s="5" t="inlineStr">
        <is>
          <t>DRN80M4</t>
        </is>
      </c>
      <c r="E3" s="5" t="inlineStr">
        <is>
          <t>DRN90S4</t>
        </is>
      </c>
      <c r="F3" s="13">
        <f>INDEX(D3:E3,1,GiaDinh_K3!$D$38)</f>
        <v/>
      </c>
      <c r="G3" s="4" t="inlineStr">
        <is>
          <t>-</t>
        </is>
      </c>
      <c r="H3" s="4" t="inlineStr">
        <is>
          <t>[W-01] tr.866</t>
        </is>
      </c>
    </row>
    <row r="4">
      <c r="A4" s="4" t="inlineStr">
        <is>
          <t>P_N</t>
        </is>
      </c>
      <c r="B4" s="4" t="inlineStr">
        <is>
          <t>Công suất định mức (S1)</t>
        </is>
      </c>
      <c r="C4" s="4" t="inlineStr">
        <is>
          <t>P_N</t>
        </is>
      </c>
      <c r="D4" s="5" t="n">
        <v>0.75</v>
      </c>
      <c r="E4" s="5" t="n">
        <v>1.1</v>
      </c>
      <c r="F4" s="13">
        <f>INDEX(D4:E4,1,GiaDinh_K3!$D$38)</f>
        <v/>
      </c>
      <c r="G4" s="4" t="inlineStr">
        <is>
          <t>kW</t>
        </is>
      </c>
      <c r="H4" s="4" t="inlineStr">
        <is>
          <t>[W-01] tr.866</t>
        </is>
      </c>
    </row>
    <row r="5">
      <c r="A5" s="4" t="inlineStr">
        <is>
          <t>M_N</t>
        </is>
      </c>
      <c r="B5" s="4" t="inlineStr">
        <is>
          <t>Mô-men định mức</t>
        </is>
      </c>
      <c r="C5" s="4" t="inlineStr">
        <is>
          <t>M_N</t>
        </is>
      </c>
      <c r="D5" s="5" t="n">
        <v>4.95</v>
      </c>
      <c r="E5" s="5" t="n">
        <v>7.2</v>
      </c>
      <c r="F5" s="13">
        <f>INDEX(D5:E5,1,GiaDinh_K3!$D$38)</f>
        <v/>
      </c>
      <c r="G5" s="4" t="inlineStr">
        <is>
          <t>N·m</t>
        </is>
      </c>
      <c r="H5" s="4" t="inlineStr">
        <is>
          <t>[W-01] tr.866</t>
        </is>
      </c>
    </row>
    <row r="6">
      <c r="A6" s="4" t="inlineStr">
        <is>
          <t>n_N</t>
        </is>
      </c>
      <c r="B6" s="4" t="inlineStr">
        <is>
          <t>Tốc độ định mức</t>
        </is>
      </c>
      <c r="C6" s="4" t="inlineStr">
        <is>
          <t>n_N</t>
        </is>
      </c>
      <c r="D6" s="5" t="n">
        <v>1440</v>
      </c>
      <c r="E6" s="5" t="n">
        <v>1455</v>
      </c>
      <c r="F6" s="13">
        <f>INDEX(D6:E6,1,GiaDinh_K3!$D$38)</f>
        <v/>
      </c>
      <c r="G6" s="4" t="inlineStr">
        <is>
          <t>vg/ph</t>
        </is>
      </c>
      <c r="H6" s="4" t="inlineStr">
        <is>
          <t>[W-01] tr.866</t>
        </is>
      </c>
    </row>
    <row r="7">
      <c r="A7" s="4" t="inlineStr">
        <is>
          <t>I_N</t>
        </is>
      </c>
      <c r="B7" s="4" t="inlineStr">
        <is>
          <t>Dòng định mức (400 V)</t>
        </is>
      </c>
      <c r="C7" s="4" t="inlineStr">
        <is>
          <t>I_N</t>
        </is>
      </c>
      <c r="D7" s="5" t="n">
        <v>1.75</v>
      </c>
      <c r="E7" s="5" t="n">
        <v>2.55</v>
      </c>
      <c r="F7" s="13">
        <f>INDEX(D7:E7,1,GiaDinh_K3!$D$38)</f>
        <v/>
      </c>
      <c r="G7" s="4" t="inlineStr">
        <is>
          <t>A</t>
        </is>
      </c>
      <c r="H7" s="4" t="inlineStr">
        <is>
          <t>[W-01] tr.866</t>
        </is>
      </c>
    </row>
    <row r="8">
      <c r="A8" s="4" t="inlineStr">
        <is>
          <t>cosN</t>
        </is>
      </c>
      <c r="B8" s="4" t="inlineStr">
        <is>
          <t>Hệ số công suất</t>
        </is>
      </c>
      <c r="C8" s="4" t="inlineStr">
        <is>
          <t>cosφ_N</t>
        </is>
      </c>
      <c r="D8" s="5" t="n">
        <v>0.74</v>
      </c>
      <c r="E8" s="5" t="n">
        <v>0.73</v>
      </c>
      <c r="F8" s="13">
        <f>INDEX(D8:E8,1,GiaDinh_K3!$D$38)</f>
        <v/>
      </c>
      <c r="G8" s="4" t="inlineStr">
        <is>
          <t>-</t>
        </is>
      </c>
      <c r="H8" s="4" t="inlineStr">
        <is>
          <t>[W-01] tr.866</t>
        </is>
      </c>
    </row>
    <row r="9">
      <c r="A9" s="4" t="inlineStr">
        <is>
          <t>effN</t>
        </is>
      </c>
      <c r="B9" s="4" t="inlineStr">
        <is>
          <t>Hiệu suất 100% tải</t>
        </is>
      </c>
      <c r="C9" s="4" t="inlineStr">
        <is>
          <t>η_đc</t>
        </is>
      </c>
      <c r="D9" s="5" t="n">
        <v>0.829</v>
      </c>
      <c r="E9" s="5" t="n">
        <v>0.845</v>
      </c>
      <c r="F9" s="13">
        <f>INDEX(D9:E9,1,GiaDinh_K3!$D$38)</f>
        <v/>
      </c>
      <c r="G9" s="4" t="inlineStr">
        <is>
          <t>-</t>
        </is>
      </c>
      <c r="H9" s="4" t="inlineStr">
        <is>
          <t>[W-01] tr.866</t>
        </is>
      </c>
    </row>
    <row r="10">
      <c r="A10" s="4" t="inlineStr">
        <is>
          <t>IA</t>
        </is>
      </c>
      <c r="B10" s="4" t="inlineStr">
        <is>
          <t>Bội số dòng khởi động</t>
        </is>
      </c>
      <c r="C10" s="4" t="inlineStr">
        <is>
          <t>I_A/I_N</t>
        </is>
      </c>
      <c r="D10" s="5" t="n">
        <v>6.7</v>
      </c>
      <c r="E10" s="5" t="n">
        <v>6.9</v>
      </c>
      <c r="F10" s="13">
        <f>INDEX(D10:E10,1,GiaDinh_K3!$D$38)</f>
        <v/>
      </c>
      <c r="G10" s="4" t="inlineStr">
        <is>
          <t>-</t>
        </is>
      </c>
      <c r="H10" s="4" t="inlineStr">
        <is>
          <t>[W-01] tr.866</t>
        </is>
      </c>
    </row>
    <row r="11">
      <c r="A11" s="4" t="inlineStr">
        <is>
          <t>MA</t>
        </is>
      </c>
      <c r="B11" s="4" t="inlineStr">
        <is>
          <t>Bội số mô-men khởi động</t>
        </is>
      </c>
      <c r="C11" s="4" t="inlineStr">
        <is>
          <t>M_A/M_N</t>
        </is>
      </c>
      <c r="D11" s="5" t="n">
        <v>3.1</v>
      </c>
      <c r="E11" s="5" t="n">
        <v>2.7</v>
      </c>
      <c r="F11" s="13">
        <f>INDEX(D11:E11,1,GiaDinh_K3!$D$38)</f>
        <v/>
      </c>
      <c r="G11" s="4" t="inlineStr">
        <is>
          <t>-</t>
        </is>
      </c>
      <c r="H11" s="4" t="inlineStr">
        <is>
          <t>[W-01] tr.866</t>
        </is>
      </c>
    </row>
    <row r="12">
      <c r="A12" s="4" t="inlineStr">
        <is>
          <t>lamK</t>
        </is>
      </c>
      <c r="B12" s="4" t="inlineStr">
        <is>
          <t>Bội số mô-men tới hạn</t>
        </is>
      </c>
      <c r="C12" s="4" t="inlineStr">
        <is>
          <t>λ_K = M_K/M_N</t>
        </is>
      </c>
      <c r="D12" s="5" t="n">
        <v>3.4</v>
      </c>
      <c r="E12" s="5" t="n">
        <v>3.3</v>
      </c>
      <c r="F12" s="13">
        <f>INDEX(D12:E12,1,GiaDinh_K3!$D$38)</f>
        <v/>
      </c>
      <c r="G12" s="4" t="inlineStr">
        <is>
          <t>-</t>
        </is>
      </c>
      <c r="H12" s="4" t="inlineStr">
        <is>
          <t>[W-01] tr.866</t>
        </is>
      </c>
    </row>
    <row r="13">
      <c r="A13" s="4" t="inlineStr">
        <is>
          <t>MH</t>
        </is>
      </c>
      <c r="B13" s="4" t="inlineStr">
        <is>
          <t>Bội số mô-men cực tiểu (saddle)</t>
        </is>
      </c>
      <c r="C13" s="4" t="inlineStr">
        <is>
          <t>M_H/M_N</t>
        </is>
      </c>
      <c r="D13" s="5" t="n">
        <v>2.7</v>
      </c>
      <c r="E13" s="5" t="n">
        <v>2.1</v>
      </c>
      <c r="F13" s="13">
        <f>INDEX(D13:E13,1,GiaDinh_K3!$D$38)</f>
        <v/>
      </c>
      <c r="G13" s="4" t="inlineStr">
        <is>
          <t>-</t>
        </is>
      </c>
      <c r="H13" s="4" t="inlineStr">
        <is>
          <t>[W-01] tr.866</t>
        </is>
      </c>
    </row>
    <row r="14">
      <c r="A14" s="4" t="inlineStr">
        <is>
          <t>J_mot</t>
        </is>
      </c>
      <c r="B14" s="4" t="inlineStr">
        <is>
          <t>Quán tính rotor</t>
        </is>
      </c>
      <c r="C14" s="4" t="inlineStr">
        <is>
          <t>J_Mot</t>
        </is>
      </c>
      <c r="D14" s="5" t="n">
        <v>0.00247</v>
      </c>
      <c r="E14" s="5" t="n">
        <v>0.0054</v>
      </c>
      <c r="F14" s="13">
        <f>INDEX(D14:E14,1,GiaDinh_K3!$D$38)</f>
        <v/>
      </c>
      <c r="G14" s="4" t="inlineStr">
        <is>
          <t>kg·m²</t>
        </is>
      </c>
      <c r="H14" s="4" t="inlineStr">
        <is>
          <t>[W-02] tr.24 (24.7 / 54 ×10⁻⁴)</t>
        </is>
      </c>
    </row>
    <row r="15">
      <c r="A15" s="4" t="inlineStr">
        <is>
          <t>J_B</t>
        </is>
      </c>
      <c r="B15" s="4" t="inlineStr">
        <is>
          <t>Quán tính rotor kèm phanh</t>
        </is>
      </c>
      <c r="C15" s="4" t="inlineStr">
        <is>
          <t>J_BMot</t>
        </is>
      </c>
      <c r="D15" s="5" t="n">
        <v>0.00262</v>
      </c>
      <c r="E15" s="5" t="n">
        <v>0.00587</v>
      </c>
      <c r="F15" s="13">
        <f>INDEX(D15:E15,1,GiaDinh_K3!$D$38)</f>
        <v/>
      </c>
      <c r="G15" s="4" t="inlineStr">
        <is>
          <t>kg·m²</t>
        </is>
      </c>
      <c r="H15" s="4" t="inlineStr">
        <is>
          <t>[W-02] tr.24 (26.2 / 58.7 ×10⁻⁴)</t>
        </is>
      </c>
    </row>
    <row r="16">
      <c r="A16" s="4" t="inlineStr">
        <is>
          <t>brake</t>
        </is>
      </c>
      <c r="B16" s="4" t="inlineStr">
        <is>
          <t>Loại phanh tiêu chuẩn</t>
        </is>
      </c>
      <c r="C16" s="4" t="inlineStr">
        <is>
          <t>BE..</t>
        </is>
      </c>
      <c r="D16" s="5" t="inlineStr">
        <is>
          <t>BE1</t>
        </is>
      </c>
      <c r="E16" s="5" t="inlineStr">
        <is>
          <t>BE2</t>
        </is>
      </c>
      <c r="F16" s="13">
        <f>INDEX(D16:E16,1,GiaDinh_K3!$D$38)</f>
        <v/>
      </c>
      <c r="G16" s="4" t="inlineStr">
        <is>
          <t>-</t>
        </is>
      </c>
      <c r="H16" s="4" t="inlineStr">
        <is>
          <t>[W-02] tr.24; cấp BE2 = 14/20 N·m [W-03] tr.24-25</t>
        </is>
      </c>
    </row>
    <row r="17" ht="15" customHeight="1">
      <c r="A17" s="6" t="inlineStr">
        <is>
          <t>Biến tần ABB ACS380 (3 pha 400 V)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4" t="inlineStr">
        <is>
          <t>inv_name</t>
        </is>
      </c>
      <c r="B18" s="4" t="inlineStr">
        <is>
          <t>Mã biến tần</t>
        </is>
      </c>
      <c r="C18" s="4" t="n"/>
      <c r="D18" s="5" t="inlineStr">
        <is>
          <t>ACS380-04xS-03A3-4</t>
        </is>
      </c>
      <c r="E18" s="5" t="inlineStr">
        <is>
          <t>ACS380-04xS-04A0-4</t>
        </is>
      </c>
      <c r="F18" s="13">
        <f>INDEX(D18:E18,1,GiaDinh_K3!$D$38)</f>
        <v/>
      </c>
      <c r="G18" s="4" t="inlineStr">
        <is>
          <t>-</t>
        </is>
      </c>
      <c r="H18" s="4" t="inlineStr">
        <is>
          <t>[W-05] tr.12</t>
        </is>
      </c>
    </row>
    <row r="19">
      <c r="A19" s="4" t="inlineStr">
        <is>
          <t>Iinv_N</t>
        </is>
      </c>
      <c r="B19" s="4" t="inlineStr">
        <is>
          <t>Dòng định mức</t>
        </is>
      </c>
      <c r="C19" s="4" t="inlineStr">
        <is>
          <t>I_N,inv</t>
        </is>
      </c>
      <c r="D19" s="5" t="n">
        <v>3.3</v>
      </c>
      <c r="E19" s="5" t="n">
        <v>4</v>
      </c>
      <c r="F19" s="13">
        <f>INDEX(D19:E19,1,GiaDinh_K3!$D$38)</f>
        <v/>
      </c>
      <c r="G19" s="4" t="inlineStr">
        <is>
          <t>A</t>
        </is>
      </c>
      <c r="H19" s="4" t="inlineStr">
        <is>
          <t>[W-05] tr.12 (đã đối chiếu ảnh trang gốc)</t>
        </is>
      </c>
    </row>
    <row r="20">
      <c r="A20" s="4" t="inlineStr">
        <is>
          <t>Pinv_N</t>
        </is>
      </c>
      <c r="B20" s="4" t="inlineStr">
        <is>
          <t>Công suất danh định</t>
        </is>
      </c>
      <c r="C20" s="4" t="inlineStr">
        <is>
          <t>P_N,inv</t>
        </is>
      </c>
      <c r="D20" s="5" t="n">
        <v>1.1</v>
      </c>
      <c r="E20" s="5" t="n">
        <v>1.5</v>
      </c>
      <c r="F20" s="13">
        <f>INDEX(D20:E20,1,GiaDinh_K3!$D$38)</f>
        <v/>
      </c>
      <c r="G20" s="4" t="inlineStr">
        <is>
          <t>kW</t>
        </is>
      </c>
      <c r="H20" s="4" t="inlineStr">
        <is>
          <t>[W-05] tr.12</t>
        </is>
      </c>
    </row>
    <row r="21">
      <c r="A21" s="4" t="inlineStr">
        <is>
          <t>I_Hd</t>
        </is>
      </c>
      <c r="B21" s="4" t="inlineStr">
        <is>
          <t>Dòng heavy-duty (cho phép 150% I_Hd 1 phút/10 phút)</t>
        </is>
      </c>
      <c r="C21" s="4" t="inlineStr">
        <is>
          <t>I_Hd</t>
        </is>
      </c>
      <c r="D21" s="5" t="n">
        <v>2.6</v>
      </c>
      <c r="E21" s="5" t="n">
        <v>3.3</v>
      </c>
      <c r="F21" s="13">
        <f>INDEX(D21:E21,1,GiaDinh_K3!$D$38)</f>
        <v/>
      </c>
      <c r="G21" s="4" t="inlineStr">
        <is>
          <t>A</t>
        </is>
      </c>
      <c r="H21" s="4" t="inlineStr">
        <is>
          <t>[W-05] tr.12</t>
        </is>
      </c>
    </row>
    <row r="22">
      <c r="A22" s="4" t="inlineStr">
        <is>
          <t>P_Hd</t>
        </is>
      </c>
      <c r="B22" s="4" t="inlineStr">
        <is>
          <t>Công suất heavy-duty</t>
        </is>
      </c>
      <c r="C22" s="4" t="inlineStr">
        <is>
          <t>P_Hd</t>
        </is>
      </c>
      <c r="D22" s="5" t="n">
        <v>0.75</v>
      </c>
      <c r="E22" s="5" t="n">
        <v>1.1</v>
      </c>
      <c r="F22" s="13">
        <f>INDEX(D22:E22,1,GiaDinh_K3!$D$38)</f>
        <v/>
      </c>
      <c r="G22" s="4" t="inlineStr">
        <is>
          <t>kW</t>
        </is>
      </c>
      <c r="H22" s="4" t="inlineStr">
        <is>
          <t>[W-05] tr.12</t>
        </is>
      </c>
    </row>
    <row r="23">
      <c r="A23" s="4" t="inlineStr">
        <is>
          <t>I_max</t>
        </is>
      </c>
      <c r="B23" s="4" t="inlineStr">
        <is>
          <t>Dòng ra cực đại (2 s khi khởi động)</t>
        </is>
      </c>
      <c r="C23" s="4" t="inlineStr">
        <is>
          <t>I_max</t>
        </is>
      </c>
      <c r="D23" s="5" t="n">
        <v>4.7</v>
      </c>
      <c r="E23" s="5" t="n">
        <v>5.9</v>
      </c>
      <c r="F23" s="13">
        <f>INDEX(D23:E23,1,GiaDinh_K3!$D$38)</f>
        <v/>
      </c>
      <c r="G23" s="4" t="inlineStr">
        <is>
          <t>A</t>
        </is>
      </c>
      <c r="H23" s="4" t="inlineStr">
        <is>
          <t>[W-05] tr.12</t>
        </is>
      </c>
    </row>
    <row r="24">
      <c r="A24" s="4" t="inlineStr">
        <is>
          <t>R_min</t>
        </is>
      </c>
      <c r="B24" s="4" t="inlineStr">
        <is>
          <t>Điện trở hãm tối thiểu</t>
        </is>
      </c>
      <c r="C24" s="4" t="inlineStr">
        <is>
          <t>R_min</t>
        </is>
      </c>
      <c r="D24" s="5" t="n">
        <v>99</v>
      </c>
      <c r="E24" s="5" t="n">
        <v>99</v>
      </c>
      <c r="F24" s="13">
        <f>INDEX(D24:E24,1,GiaDinh_K3!$D$38)</f>
        <v/>
      </c>
      <c r="G24" s="4" t="inlineStr">
        <is>
          <t>Ω</t>
        </is>
      </c>
      <c r="H24" s="4" t="inlineStr">
        <is>
          <t>[W-05] tr.24</t>
        </is>
      </c>
    </row>
    <row r="25">
      <c r="A25" s="4" t="inlineStr">
        <is>
          <t>R_max</t>
        </is>
      </c>
      <c r="B25" s="4" t="inlineStr">
        <is>
          <t>Điện trở hãm tối đa cho P_BRcont</t>
        </is>
      </c>
      <c r="C25" s="4" t="inlineStr">
        <is>
          <t>R_max</t>
        </is>
      </c>
      <c r="D25" s="5" t="n">
        <v>428</v>
      </c>
      <c r="E25" s="5" t="n">
        <v>285</v>
      </c>
      <c r="F25" s="13">
        <f>INDEX(D25:E25,1,GiaDinh_K3!$D$38)</f>
        <v/>
      </c>
      <c r="G25" s="4" t="inlineStr">
        <is>
          <t>Ω</t>
        </is>
      </c>
      <c r="H25" s="4" t="inlineStr">
        <is>
          <t>[W-05] tr.24</t>
        </is>
      </c>
    </row>
    <row r="26">
      <c r="A26" s="4" t="inlineStr">
        <is>
          <t>PBRc</t>
        </is>
      </c>
      <c r="B26" s="4" t="inlineStr">
        <is>
          <t>Công suất hãm liên tục</t>
        </is>
      </c>
      <c r="C26" s="4" t="inlineStr">
        <is>
          <t>P_BRcont</t>
        </is>
      </c>
      <c r="D26" s="5" t="n">
        <v>0.75</v>
      </c>
      <c r="E26" s="5" t="n">
        <v>1.1</v>
      </c>
      <c r="F26" s="13">
        <f>INDEX(D26:E26,1,GiaDinh_K3!$D$38)</f>
        <v/>
      </c>
      <c r="G26" s="4" t="inlineStr">
        <is>
          <t>kW</t>
        </is>
      </c>
      <c r="H26" s="4" t="inlineStr">
        <is>
          <t>[W-05] tr.24</t>
        </is>
      </c>
    </row>
    <row r="27">
      <c r="A27" s="4" t="inlineStr">
        <is>
          <t>PBRm</t>
        </is>
      </c>
      <c r="B27" s="4" t="inlineStr">
        <is>
          <t>Công suất hãm cực đại (xung ≤ 1 phút/10 phút)</t>
        </is>
      </c>
      <c r="C27" s="4" t="inlineStr">
        <is>
          <t>P_BRmax</t>
        </is>
      </c>
      <c r="D27" s="5" t="n">
        <v>1.13</v>
      </c>
      <c r="E27" s="5" t="n">
        <v>1.65</v>
      </c>
      <c r="F27" s="13">
        <f>INDEX(D27:E27,1,GiaDinh_K3!$D$38)</f>
        <v/>
      </c>
      <c r="G27" s="4" t="inlineStr">
        <is>
          <t>kW</t>
        </is>
      </c>
      <c r="H27" s="4" t="inlineStr">
        <is>
          <t>[W-05] tr.24</t>
        </is>
      </c>
    </row>
    <row r="28">
      <c r="A28" s="4" t="inlineStr">
        <is>
          <t>trise</t>
        </is>
      </c>
      <c r="B28" s="4" t="inlineStr">
        <is>
          <t>Thời gian tăng mô-men (bước định mức)</t>
        </is>
      </c>
      <c r="C28" s="4" t="inlineStr">
        <is>
          <t>t_rise,cat</t>
        </is>
      </c>
      <c r="D28" s="5" t="n">
        <v>0.01</v>
      </c>
      <c r="E28" s="5" t="n">
        <v>0.01</v>
      </c>
      <c r="F28" s="13">
        <f>INDEX(D28:E28,1,GiaDinh_K3!$D$38)</f>
        <v/>
      </c>
      <c r="G28" s="4" t="inlineStr">
        <is>
          <t>s</t>
        </is>
      </c>
      <c r="H28" s="4" t="inlineStr">
        <is>
          <t>[W-05] tr.10: '&lt; 10 ms'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2" customWidth="1" min="1" max="1"/>
    <col width="46" customWidth="1" min="2" max="2"/>
    <col width="12" customWidth="1" min="3" max="3"/>
    <col width="16" customWidth="1" min="4" max="4"/>
    <col width="12" customWidth="1" min="5" max="5"/>
    <col width="52" customWidth="1" min="6" max="6"/>
    <col width="30" customWidth="1" min="7" max="7"/>
  </cols>
  <sheetData>
    <row r="1" ht="15" customHeight="1">
      <c r="A1" s="3" t="inlineStr">
        <is>
          <t>Mã</t>
        </is>
      </c>
      <c r="B1" s="3" t="inlineStr">
        <is>
          <t>Đại lượng</t>
        </is>
      </c>
      <c r="C1" s="3" t="inlineStr">
        <is>
          <t>Ký hiệu</t>
        </is>
      </c>
      <c r="D1" s="3" t="inlineStr">
        <is>
          <t>Giá trị</t>
        </is>
      </c>
      <c r="E1" s="3" t="inlineStr">
        <is>
          <t>Đơn vị</t>
        </is>
      </c>
      <c r="F1" s="3" t="inlineStr">
        <is>
          <t>Công thức / Ghi chú</t>
        </is>
      </c>
      <c r="G1" s="3" t="inlineStr">
        <is>
          <t>Nguồn công thức</t>
        </is>
      </c>
    </row>
    <row r="2" ht="15" customHeight="1">
      <c r="A2" s="6" t="inlineStr">
        <is>
          <t>A. Động học &amp; phụ tải tĩnh — [R1 §2.4.7.2.2 qua Baseline], Bài 3 (Tải của TĐĐ) slide 4</t>
        </is>
      </c>
      <c r="B2" s="7" t="n"/>
      <c r="C2" s="7" t="n"/>
      <c r="D2" s="7" t="n"/>
      <c r="E2" s="7" t="n"/>
      <c r="F2" s="7" t="n"/>
      <c r="G2" s="7" t="n"/>
    </row>
    <row r="3">
      <c r="A3" s="8" t="inlineStr">
        <is>
          <t>w_bx</t>
        </is>
      </c>
      <c r="B3" s="8" t="inlineStr">
        <is>
          <t>Tốc độ góc trục bánh xe</t>
        </is>
      </c>
      <c r="C3" s="8" t="inlineStr">
        <is>
          <t>ω_bx</t>
        </is>
      </c>
      <c r="D3" s="14">
        <f>2*Params!$C$10/Params!$C$13</f>
        <v/>
      </c>
      <c r="E3" s="8" t="inlineStr">
        <is>
          <t>rad/s</t>
        </is>
      </c>
      <c r="F3" s="8" t="inlineStr">
        <is>
          <t>2·v_max/D_bx</t>
        </is>
      </c>
      <c r="G3" s="8" t="inlineStr">
        <is>
          <t>WORKFLOW §4.2-A2</t>
        </is>
      </c>
    </row>
    <row r="4">
      <c r="A4" s="8" t="inlineStr">
        <is>
          <t>n_bx</t>
        </is>
      </c>
      <c r="B4" s="8" t="inlineStr">
        <is>
          <t>Tốc độ quay bánh xe</t>
        </is>
      </c>
      <c r="C4" s="8" t="inlineStr">
        <is>
          <t>n_bx</t>
        </is>
      </c>
      <c r="D4" s="15">
        <f>$D$3*60/(2*PI())</f>
        <v/>
      </c>
      <c r="E4" s="8" t="inlineStr">
        <is>
          <t>vg/ph</t>
        </is>
      </c>
      <c r="F4" s="8" t="inlineStr">
        <is>
          <t>60·ω_bx/2π</t>
        </is>
      </c>
      <c r="G4" s="8" t="inlineStr">
        <is>
          <t>WORKFLOW §4.2-A2</t>
        </is>
      </c>
    </row>
    <row r="5">
      <c r="A5" s="8" t="inlineStr">
        <is>
          <t>Fc_chk</t>
        </is>
      </c>
      <c r="B5" s="8" t="inlineStr">
        <is>
          <t>Lực cản tĩnh đầy tải (tính lại)</t>
        </is>
      </c>
      <c r="C5" s="8" t="inlineStr">
        <is>
          <t>F_c.đầy</t>
        </is>
      </c>
      <c r="D5" s="14">
        <f>Params!$C$5*Params!$C$19*Params!$C$14</f>
        <v/>
      </c>
      <c r="E5" s="8" t="inlineStr">
        <is>
          <t>N</t>
        </is>
      </c>
      <c r="F5" s="8" t="inlineStr">
        <is>
          <t>M_Σ·g·w_0 (phải = P-20)</t>
        </is>
      </c>
      <c r="G5" s="8" t="inlineStr">
        <is>
          <t>WORKFLOW §4.2-A3</t>
        </is>
      </c>
    </row>
    <row r="6">
      <c r="A6" s="8" t="inlineStr">
        <is>
          <t>Fc0</t>
        </is>
      </c>
      <c r="B6" s="8" t="inlineStr">
        <is>
          <t>Lực cản tĩnh không tải</t>
        </is>
      </c>
      <c r="C6" s="8" t="inlineStr">
        <is>
          <t>F_c.không</t>
        </is>
      </c>
      <c r="D6" s="14">
        <f>Params!$C$6*Params!$C$19*Params!$C$14</f>
        <v/>
      </c>
      <c r="E6" s="8" t="inlineStr">
        <is>
          <t>N</t>
        </is>
      </c>
      <c r="F6" s="8" t="inlineStr">
        <is>
          <t>m_tĩnh·g·w_0</t>
        </is>
      </c>
      <c r="G6" s="8" t="inlineStr">
        <is>
          <t>WORKFLOW §4.2-A3</t>
        </is>
      </c>
    </row>
    <row r="7">
      <c r="A7" s="8" t="inlineStr">
        <is>
          <t>P_t</t>
        </is>
      </c>
      <c r="B7" s="8" t="inlineStr">
        <is>
          <t>Công suất cản tĩnh trên trục ĐC</t>
        </is>
      </c>
      <c r="C7" s="8" t="inlineStr">
        <is>
          <t>P_tĩnh</t>
        </is>
      </c>
      <c r="D7" s="14">
        <f>Params!$C$21*Params!$C$10/Params!$C$16</f>
        <v/>
      </c>
      <c r="E7" s="8" t="inlineStr">
        <is>
          <t>W</t>
        </is>
      </c>
      <c r="F7" s="8" t="inlineStr">
        <is>
          <t>F_c·v/η</t>
        </is>
      </c>
      <c r="G7" s="8" t="inlineStr">
        <is>
          <t>WORKFLOW §4.2-A4</t>
        </is>
      </c>
    </row>
    <row r="8" ht="15" customHeight="1">
      <c r="A8" s="6" t="inlineStr">
        <is>
          <t>B. Động lực học, lực kéo cực đại &amp; bám ray — Bài 4 slide 43; WORKFLOW §4.2-B</t>
        </is>
      </c>
      <c r="B8" s="7" t="n"/>
      <c r="C8" s="7" t="n"/>
      <c r="D8" s="7" t="n"/>
      <c r="E8" s="7" t="n"/>
      <c r="F8" s="7" t="n"/>
      <c r="G8" s="7" t="n"/>
    </row>
    <row r="9">
      <c r="A9" s="8" t="inlineStr">
        <is>
          <t>Fqt</t>
        </is>
      </c>
      <c r="B9" s="8" t="inlineStr">
        <is>
          <t>Lực quán tính cực đại (a_max)</t>
        </is>
      </c>
      <c r="C9" s="8" t="inlineStr">
        <is>
          <t>F_qt</t>
        </is>
      </c>
      <c r="D9" s="14">
        <f>Params!$C$5*Params!$C$11</f>
        <v/>
      </c>
      <c r="E9" s="8" t="inlineStr">
        <is>
          <t>N</t>
        </is>
      </c>
      <c r="F9" s="8" t="inlineStr">
        <is>
          <t>M_Σ·a_max</t>
        </is>
      </c>
      <c r="G9" s="8" t="inlineStr">
        <is>
          <t>WORKFLOW §4.2-B1</t>
        </is>
      </c>
    </row>
    <row r="10">
      <c r="A10" s="8" t="inlineStr">
        <is>
          <t>Fmax</t>
        </is>
      </c>
      <c r="B10" s="8" t="inlineStr">
        <is>
          <t>Lực kéo cực đại khi tăng tốc</t>
        </is>
      </c>
      <c r="C10" s="8" t="inlineStr">
        <is>
          <t>F_max</t>
        </is>
      </c>
      <c r="D10" s="14">
        <f>Params!$C$21+$D$9</f>
        <v/>
      </c>
      <c r="E10" s="8" t="inlineStr">
        <is>
          <t>N</t>
        </is>
      </c>
      <c r="F10" s="8" t="inlineStr">
        <is>
          <t>F_c + F_qt (Downstream #6)</t>
        </is>
      </c>
      <c r="G10" s="8" t="inlineStr">
        <is>
          <t>WORKFLOW §4.2-B1</t>
        </is>
      </c>
    </row>
    <row r="11">
      <c r="A11" s="8" t="inlineStr">
        <is>
          <t>Pmax</t>
        </is>
      </c>
      <c r="B11" s="8" t="inlineStr">
        <is>
          <t>Công suất đỉnh</t>
        </is>
      </c>
      <c r="C11" s="8" t="inlineStr">
        <is>
          <t>P_max</t>
        </is>
      </c>
      <c r="D11" s="14">
        <f>$D$10*Params!$C$10/Params!$C$16</f>
        <v/>
      </c>
      <c r="E11" s="8" t="inlineStr">
        <is>
          <t>W</t>
        </is>
      </c>
      <c r="F11" s="8" t="inlineStr">
        <is>
          <t>F_max·v/η</t>
        </is>
      </c>
      <c r="G11" s="8" t="inlineStr">
        <is>
          <t>WORKFLOW §4.2-B2</t>
        </is>
      </c>
    </row>
    <row r="12">
      <c r="A12" s="8" t="inlineStr">
        <is>
          <t>Fbam</t>
        </is>
      </c>
      <c r="B12" s="8" t="inlineStr">
        <is>
          <t>Lực bám bánh dẫn đầy tải</t>
        </is>
      </c>
      <c r="C12" s="8" t="inlineStr">
        <is>
          <t>F_bám</t>
        </is>
      </c>
      <c r="D12" s="14">
        <f>Params!$C$15*GiaDinh_K3!$D$9*Params!$C$5*Params!$C$19</f>
        <v/>
      </c>
      <c r="E12" s="8" t="inlineStr">
        <is>
          <t>N</t>
        </is>
      </c>
      <c r="F12" s="8" t="inlineStr">
        <is>
          <t>φ·k_dẫn·M_Σ·g</t>
        </is>
      </c>
      <c r="G12" s="8" t="inlineStr">
        <is>
          <t>WORKFLOW §4.2-B3</t>
        </is>
      </c>
    </row>
    <row r="13">
      <c r="A13" s="8" t="inlineStr">
        <is>
          <t>kbam</t>
        </is>
      </c>
      <c r="B13" s="8" t="inlineStr">
        <is>
          <t>Hệ số an toàn bám đầy tải</t>
        </is>
      </c>
      <c r="C13" s="8" t="inlineStr">
        <is>
          <t>k_bám</t>
        </is>
      </c>
      <c r="D13" s="15">
        <f>$D$12/$D$10</f>
        <v/>
      </c>
      <c r="E13" s="8" t="inlineStr">
        <is>
          <t>-</t>
        </is>
      </c>
      <c r="F13" s="8" t="inlineStr">
        <is>
          <t>F_bám/F_max</t>
        </is>
      </c>
      <c r="G13" s="8" t="inlineStr">
        <is>
          <t>WORKFLOW §4.2-B3</t>
        </is>
      </c>
    </row>
    <row r="14">
      <c r="A14" s="8" t="inlineStr">
        <is>
          <t>Fbam0</t>
        </is>
      </c>
      <c r="B14" s="8" t="inlineStr">
        <is>
          <t>Lực bám bánh dẫn không tải</t>
        </is>
      </c>
      <c r="C14" s="8" t="inlineStr">
        <is>
          <t>F_bám,0</t>
        </is>
      </c>
      <c r="D14" s="14">
        <f>Params!$C$15*GiaDinh_K3!$D$9*Params!$C$6*Params!$C$19</f>
        <v/>
      </c>
      <c r="E14" s="8" t="inlineStr">
        <is>
          <t>N</t>
        </is>
      </c>
      <c r="F14" s="8" t="inlineStr">
        <is>
          <t>φ·k_dẫn·m_tĩnh·g</t>
        </is>
      </c>
      <c r="G14" s="8" t="inlineStr">
        <is>
          <t>WORKFLOW §4.2-B3</t>
        </is>
      </c>
    </row>
    <row r="15">
      <c r="A15" s="8" t="inlineStr">
        <is>
          <t>Fmax0</t>
        </is>
      </c>
      <c r="B15" s="8" t="inlineStr">
        <is>
          <t>Lực kéo cực đại không tải</t>
        </is>
      </c>
      <c r="C15" s="8" t="inlineStr">
        <is>
          <t>F_max,0</t>
        </is>
      </c>
      <c r="D15" s="14">
        <f>$D$6+Params!$C$6*Params!$C$11</f>
        <v/>
      </c>
      <c r="E15" s="8" t="inlineStr">
        <is>
          <t>N</t>
        </is>
      </c>
      <c r="F15" s="8" t="inlineStr">
        <is>
          <t>F_c,0 + m_tĩnh·a_max</t>
        </is>
      </c>
      <c r="G15" s="8" t="inlineStr">
        <is>
          <t>WORKFLOW §4.2-B3</t>
        </is>
      </c>
    </row>
    <row r="16">
      <c r="A16" s="8" t="inlineStr">
        <is>
          <t>kbam0</t>
        </is>
      </c>
      <c r="B16" s="8" t="inlineStr">
        <is>
          <t>Hệ số an toàn bám không tải</t>
        </is>
      </c>
      <c r="C16" s="8" t="inlineStr">
        <is>
          <t>k_bám,0</t>
        </is>
      </c>
      <c r="D16" s="15">
        <f>$D$14/$D$15</f>
        <v/>
      </c>
      <c r="E16" s="8" t="inlineStr">
        <is>
          <t>-</t>
        </is>
      </c>
      <c r="F16" s="8" t="n"/>
      <c r="G16" s="8" t="inlineStr">
        <is>
          <t>WORKFLOW §4.2-B3</t>
        </is>
      </c>
    </row>
    <row r="17" ht="15" customHeight="1">
      <c r="A17" s="6" t="inlineStr">
        <is>
          <t>C. Quy đổi về trục động cơ — Bài 3 slide 4-5; WORKFLOW §4.2-B4</t>
        </is>
      </c>
      <c r="B17" s="7" t="n"/>
      <c r="C17" s="7" t="n"/>
      <c r="D17" s="7" t="n"/>
      <c r="E17" s="7" t="n"/>
      <c r="F17" s="7" t="n"/>
      <c r="G17" s="7" t="n"/>
    </row>
    <row r="18">
      <c r="A18" s="8" t="inlineStr">
        <is>
          <t>wN</t>
        </is>
      </c>
      <c r="B18" s="8" t="inlineStr">
        <is>
          <t>Tốc độ góc định mức ĐC</t>
        </is>
      </c>
      <c r="C18" s="8" t="inlineStr">
        <is>
          <t>ω_N</t>
        </is>
      </c>
      <c r="D18" s="14">
        <f>Catalogue!$F$6*2*PI()/60</f>
        <v/>
      </c>
      <c r="E18" s="8" t="inlineStr">
        <is>
          <t>rad/s</t>
        </is>
      </c>
      <c r="F18" s="8" t="inlineStr">
        <is>
          <t>n_N·2π/60</t>
        </is>
      </c>
      <c r="G18" s="8" t="inlineStr">
        <is>
          <t>[W-01]</t>
        </is>
      </c>
    </row>
    <row r="19">
      <c r="A19" s="8" t="inlineStr">
        <is>
          <t>i_yc</t>
        </is>
      </c>
      <c r="B19" s="8" t="inlineStr">
        <is>
          <t>Tỷ số truyền yêu cầu</t>
        </is>
      </c>
      <c r="C19" s="8" t="inlineStr">
        <is>
          <t>i_yc</t>
        </is>
      </c>
      <c r="D19" s="15">
        <f>$D$18/$D$3</f>
        <v/>
      </c>
      <c r="E19" s="8" t="inlineStr">
        <is>
          <t>-</t>
        </is>
      </c>
      <c r="F19" s="8" t="inlineStr">
        <is>
          <t>ω_N/ω_bx (để v = v_max ở 50 Hz)</t>
        </is>
      </c>
      <c r="G19" s="8" t="inlineStr">
        <is>
          <t>Bài 3 slide 4</t>
        </is>
      </c>
    </row>
    <row r="20">
      <c r="A20" s="8" t="inlineStr">
        <is>
          <t>i_tt</t>
        </is>
      </c>
      <c r="B20" s="8" t="inlineStr">
        <is>
          <t>Tỷ số truyền dùng tính toán</t>
        </is>
      </c>
      <c r="C20" s="8" t="inlineStr">
        <is>
          <t>i_thực</t>
        </is>
      </c>
      <c r="D20" s="14">
        <f>IF(ISBLANK(GiaDinh_K3!$D$39),$D$19,GiaDinh_K3!$D$39)</f>
        <v/>
      </c>
      <c r="E20" s="8" t="inlineStr">
        <is>
          <t>-</t>
        </is>
      </c>
      <c r="F20" s="8" t="inlineStr">
        <is>
          <t>Bằng i_thực nhập; nếu trống dùng i_yc (TBD)</t>
        </is>
      </c>
      <c r="G20" s="8" t="inlineStr">
        <is>
          <t>SRS-D03</t>
        </is>
      </c>
    </row>
    <row r="21">
      <c r="A21" s="8" t="inlineStr">
        <is>
          <t>dv_i</t>
        </is>
      </c>
      <c r="B21" s="8" t="inlineStr">
        <is>
          <t>Sai lệch v ở 50 Hz nếu dùng i_thực</t>
        </is>
      </c>
      <c r="C21" s="8" t="inlineStr">
        <is>
          <t>Δv/v</t>
        </is>
      </c>
      <c r="D21" s="15">
        <f>$D$19/$D$20-1</f>
        <v/>
      </c>
      <c r="E21" s="8" t="inlineStr">
        <is>
          <t>-</t>
        </is>
      </c>
      <c r="F21" s="8" t="inlineStr">
        <is>
          <t>Biến tần bù bằng tần số; ghi nhận</t>
        </is>
      </c>
      <c r="G21" s="8" t="inlineStr">
        <is>
          <t>SRS-PERM-02</t>
        </is>
      </c>
    </row>
    <row r="22">
      <c r="A22" s="8" t="inlineStr">
        <is>
          <t>dv_150</t>
        </is>
      </c>
      <c r="B22" s="8" t="inlineStr">
        <is>
          <t>Sai lệch v ở 50 Hz nếu dùng i = 150 (P-16)</t>
        </is>
      </c>
      <c r="C22" s="8" t="inlineStr">
        <is>
          <t>Δv/v (i=150)</t>
        </is>
      </c>
      <c r="D22" s="14">
        <f>$D$19/Params!$C$17-1</f>
        <v/>
      </c>
      <c r="E22" s="8" t="inlineStr">
        <is>
          <t>-</t>
        </is>
      </c>
      <c r="F22" s="8" t="inlineStr">
        <is>
          <t>So với SRS-PERM-02 ±5% (biến tần bù được)</t>
        </is>
      </c>
      <c r="G22" s="8" t="inlineStr">
        <is>
          <t>P-16</t>
        </is>
      </c>
    </row>
    <row r="23">
      <c r="A23" s="8" t="inlineStr">
        <is>
          <t>k_qd</t>
        </is>
      </c>
      <c r="B23" s="8" t="inlineStr">
        <is>
          <t>Hệ số quy đổi tịnh tiến–quay</t>
        </is>
      </c>
      <c r="C23" s="8" t="inlineStr">
        <is>
          <t>k_qđ</t>
        </is>
      </c>
      <c r="D23" s="14">
        <f>Params!$C$13/(2*$D$20)</f>
        <v/>
      </c>
      <c r="E23" s="8" t="inlineStr">
        <is>
          <t>m/rad</t>
        </is>
      </c>
      <c r="F23" s="8" t="inlineStr">
        <is>
          <t>D_bx/(2·i)</t>
        </is>
      </c>
      <c r="G23" s="8" t="inlineStr">
        <is>
          <t>WORKFLOW §4.2-B4</t>
        </is>
      </c>
    </row>
    <row r="24">
      <c r="A24" s="8" t="inlineStr">
        <is>
          <t>eps_s</t>
        </is>
      </c>
      <c r="B24" s="8" t="inlineStr">
        <is>
          <t>Gia tốc góc ĐC ứng với a*</t>
        </is>
      </c>
      <c r="C24" s="8" t="inlineStr">
        <is>
          <t>ε*</t>
        </is>
      </c>
      <c r="D24" s="14">
        <f>GiaDinh_K3!$D$11/$D$23</f>
        <v/>
      </c>
      <c r="E24" s="8" t="inlineStr">
        <is>
          <t>rad/s²</t>
        </is>
      </c>
      <c r="F24" s="8" t="inlineStr">
        <is>
          <t>a*/k_qđ</t>
        </is>
      </c>
      <c r="G24" s="8" t="inlineStr">
        <is>
          <t>Bài 3</t>
        </is>
      </c>
    </row>
    <row r="25">
      <c r="A25" s="8" t="inlineStr">
        <is>
          <t>Mc</t>
        </is>
      </c>
      <c r="B25" s="8" t="inlineStr">
        <is>
          <t>Mô-men cản kéo đầy tải</t>
        </is>
      </c>
      <c r="C25" s="8" t="inlineStr">
        <is>
          <t>M_c,kéo</t>
        </is>
      </c>
      <c r="D25" s="14">
        <f>Params!$C$21*$D$23/Params!$C$16</f>
        <v/>
      </c>
      <c r="E25" s="8" t="inlineStr">
        <is>
          <t>N·m</t>
        </is>
      </c>
      <c r="F25" s="8" t="inlineStr">
        <is>
          <t>F_c·D/(2iη) (góc I, III)</t>
        </is>
      </c>
      <c r="G25" s="8" t="inlineStr">
        <is>
          <t>WORKFLOW §4.2-B4</t>
        </is>
      </c>
    </row>
    <row r="26">
      <c r="A26" s="8" t="inlineStr">
        <is>
          <t>Mc0</t>
        </is>
      </c>
      <c r="B26" s="8" t="inlineStr">
        <is>
          <t>Mô-men cản kéo không tải</t>
        </is>
      </c>
      <c r="C26" s="8" t="inlineStr">
        <is>
          <t>M_c,kéo,0</t>
        </is>
      </c>
      <c r="D26" s="14">
        <f>$D$6*$D$23/Params!$C$16</f>
        <v/>
      </c>
      <c r="E26" s="8" t="inlineStr">
        <is>
          <t>N·m</t>
        </is>
      </c>
      <c r="F26" s="8" t="n"/>
      <c r="G26" s="8" t="inlineStr">
        <is>
          <t>WORKFLOW §4.2-B4</t>
        </is>
      </c>
    </row>
    <row r="27">
      <c r="A27" s="8" t="inlineStr">
        <is>
          <t>Mch</t>
        </is>
      </c>
      <c r="B27" s="8" t="inlineStr">
        <is>
          <t>Mô-men cản khi hãm đầy tải</t>
        </is>
      </c>
      <c r="C27" s="8" t="inlineStr">
        <is>
          <t>M_c,hãm</t>
        </is>
      </c>
      <c r="D27" s="14">
        <f>Params!$C$21*$D$23*Params!$C$16</f>
        <v/>
      </c>
      <c r="E27" s="8" t="inlineStr">
        <is>
          <t>N·m</t>
        </is>
      </c>
      <c r="F27" s="8" t="inlineStr">
        <is>
          <t>F_c·D·η/(2i) (góc II, IV)</t>
        </is>
      </c>
      <c r="G27" s="8" t="inlineStr">
        <is>
          <t>WORKFLOW §4.2-B4</t>
        </is>
      </c>
    </row>
    <row r="28">
      <c r="A28" s="8" t="inlineStr">
        <is>
          <t>Jl</t>
        </is>
      </c>
      <c r="B28" s="8" t="inlineStr">
        <is>
          <t>Quán tính tải quy đổi đầy tải</t>
        </is>
      </c>
      <c r="C28" s="8" t="inlineStr">
        <is>
          <t>J_tải</t>
        </is>
      </c>
      <c r="D28" s="14">
        <f>GiaDinh_K3!$D$8*Params!$C$5*$D$23^2</f>
        <v/>
      </c>
      <c r="E28" s="8" t="inlineStr">
        <is>
          <t>kg·m²</t>
        </is>
      </c>
      <c r="F28" s="8" t="inlineStr">
        <is>
          <t>δ·M_Σ·k_qđ²</t>
        </is>
      </c>
      <c r="G28" s="8" t="inlineStr">
        <is>
          <t>WORKFLOW §4.2-B4</t>
        </is>
      </c>
    </row>
    <row r="29">
      <c r="A29" s="8" t="inlineStr">
        <is>
          <t>Jl0</t>
        </is>
      </c>
      <c r="B29" s="8" t="inlineStr">
        <is>
          <t>Quán tính tải quy đổi không tải</t>
        </is>
      </c>
      <c r="C29" s="8" t="inlineStr">
        <is>
          <t>J_tải,0</t>
        </is>
      </c>
      <c r="D29" s="14">
        <f>GiaDinh_K3!$D$8*Params!$C$6*$D$23^2</f>
        <v/>
      </c>
      <c r="E29" s="8" t="inlineStr">
        <is>
          <t>kg·m²</t>
        </is>
      </c>
      <c r="F29" s="8" t="inlineStr">
        <is>
          <t>δ·m_tĩnh·k_qđ²</t>
        </is>
      </c>
      <c r="G29" s="8" t="inlineStr">
        <is>
          <t>WORKFLOW §4.2-B4</t>
        </is>
      </c>
    </row>
    <row r="30">
      <c r="A30" s="8" t="inlineStr">
        <is>
          <t>JS</t>
        </is>
      </c>
      <c r="B30" s="8" t="inlineStr">
        <is>
          <t>Quán tính tổng đầy tải</t>
        </is>
      </c>
      <c r="C30" s="8" t="inlineStr">
        <is>
          <t>J_Σ</t>
        </is>
      </c>
      <c r="D30" s="14">
        <f>Catalogue!$F$15+$D$28</f>
        <v/>
      </c>
      <c r="E30" s="8" t="inlineStr">
        <is>
          <t>kg·m²</t>
        </is>
      </c>
      <c r="F30" s="8" t="inlineStr">
        <is>
          <t>J_BMot + J_tải</t>
        </is>
      </c>
      <c r="G30" s="8" t="inlineStr">
        <is>
          <t>WORKFLOW §4.2-B4</t>
        </is>
      </c>
    </row>
    <row r="31">
      <c r="A31" s="8" t="inlineStr">
        <is>
          <t>JS0</t>
        </is>
      </c>
      <c r="B31" s="8" t="inlineStr">
        <is>
          <t>Quán tính tổng không tải</t>
        </is>
      </c>
      <c r="C31" s="8" t="inlineStr">
        <is>
          <t>J_Σ,0</t>
        </is>
      </c>
      <c r="D31" s="14">
        <f>Catalogue!$F$15+$D$29</f>
        <v/>
      </c>
      <c r="E31" s="8" t="inlineStr">
        <is>
          <t>kg·m²</t>
        </is>
      </c>
      <c r="F31" s="8" t="n"/>
      <c r="G31" s="8" t="inlineStr">
        <is>
          <t>WORKFLOW §4.2-B4</t>
        </is>
      </c>
    </row>
    <row r="32" ht="15" customHeight="1">
      <c r="A32" s="6" t="inlineStr">
        <is>
          <t>D. Mô-men cực đại &amp; kiểm tra quá tải (λ) — WORKFLOW §4.2-C2; Bài 4 slide 12</t>
        </is>
      </c>
      <c r="B32" s="7" t="n"/>
      <c r="C32" s="7" t="n"/>
      <c r="D32" s="7" t="n"/>
      <c r="E32" s="7" t="n"/>
      <c r="F32" s="7" t="n"/>
      <c r="G32" s="7" t="n"/>
    </row>
    <row r="33">
      <c r="A33" s="8" t="inlineStr">
        <is>
          <t>Mpk</t>
        </is>
      </c>
      <c r="B33" s="8" t="inlineStr">
        <is>
          <t>Mô-men ĐC cực đại khi tăng tốc đầy tải với a_max</t>
        </is>
      </c>
      <c r="C33" s="8" t="inlineStr">
        <is>
          <t>M_max</t>
        </is>
      </c>
      <c r="D33" s="14">
        <f>(Params!$C$21+GiaDinh_K3!$D$8*Params!$C$5*Params!$C$11)*$D$23/Params!$C$16+Catalogue!$F$15*Params!$C$11/$D$23</f>
        <v/>
      </c>
      <c r="E33" s="8" t="inlineStr">
        <is>
          <t>N·m</t>
        </is>
      </c>
      <c r="F33" s="8" t="inlineStr">
        <is>
          <t>(F_c+δM_Σa_max)k/η + J_B·a_max/k</t>
        </is>
      </c>
      <c r="G33" s="8" t="inlineStr">
        <is>
          <t>WORKFLOW §4.2-B4, C2</t>
        </is>
      </c>
    </row>
    <row r="34">
      <c r="A34" s="8" t="inlineStr">
        <is>
          <t>Mpk0</t>
        </is>
      </c>
      <c r="B34" s="8" t="inlineStr">
        <is>
          <t>Mô-men ĐC cực đại không tải với a_max</t>
        </is>
      </c>
      <c r="C34" s="8" t="inlineStr">
        <is>
          <t>M_max,0</t>
        </is>
      </c>
      <c r="D34" s="14">
        <f>($D$6+GiaDinh_K3!$D$8*Params!$C$6*Params!$C$11)*$D$23/Params!$C$16+Catalogue!$F$15*Params!$C$11/$D$23</f>
        <v/>
      </c>
      <c r="E34" s="8" t="inlineStr">
        <is>
          <t>N·m</t>
        </is>
      </c>
      <c r="F34" s="8" t="n"/>
      <c r="G34" s="8" t="inlineStr">
        <is>
          <t>WORKFLOW §4.2-B4</t>
        </is>
      </c>
    </row>
    <row r="35">
      <c r="A35" s="8" t="inlineStr">
        <is>
          <t>lam_req</t>
        </is>
      </c>
      <c r="B35" s="8" t="inlineStr">
        <is>
          <t>Bội số mô-men yêu cầu</t>
        </is>
      </c>
      <c r="C35" s="8" t="inlineStr">
        <is>
          <t>M_max/M_N</t>
        </is>
      </c>
      <c r="D35" s="14">
        <f>$D$33/Catalogue!$F$5</f>
        <v/>
      </c>
      <c r="E35" s="8" t="inlineStr">
        <is>
          <t>-</t>
        </is>
      </c>
      <c r="F35" s="8" t="n"/>
      <c r="G35" s="8" t="inlineStr">
        <is>
          <t>WORKFLOW §4.2-C2</t>
        </is>
      </c>
    </row>
    <row r="36" ht="28.5" customHeight="1">
      <c r="A36" s="8" t="inlineStr">
        <is>
          <t>lam_avl</t>
        </is>
      </c>
      <c r="B36" s="8" t="inlineStr">
        <is>
          <t>Bội số khả dụng khi sụt áp -10% (quy về U_N động cơ)</t>
        </is>
      </c>
      <c r="C36" s="8" t="inlineStr">
        <is>
          <t>λ_K·(U_min/U_N)²</t>
        </is>
      </c>
      <c r="D36" s="14">
        <f>Catalogue!$F$12*(Params!$C$20*(1-GiaDinh_K3!$D$5)/GiaDinh_K3!$D$29)^2</f>
        <v/>
      </c>
      <c r="E36" s="8" t="inlineStr">
        <is>
          <t>-</t>
        </is>
      </c>
      <c r="F36" s="8" t="inlineStr">
        <is>
          <t>M_K ∝ U²; U_min = 342 V so với U_N = 400 V (Checker K6-2)</t>
        </is>
      </c>
      <c r="G36" s="8" t="inlineStr">
        <is>
          <t>WORKFLOW §4.2-C2</t>
        </is>
      </c>
    </row>
    <row r="37" ht="28.5" customHeight="1">
      <c r="A37" s="8" t="inlineStr">
        <is>
          <t>Fk_cap</t>
        </is>
      </c>
      <c r="B37" s="8" t="inlineStr">
        <is>
          <t>Lực kéo tối đa ĐC tạo được ở -10% áp (trừ quán tính rotor ở a_max)</t>
        </is>
      </c>
      <c r="C37" s="8" t="inlineStr">
        <is>
          <t>F_k,max</t>
        </is>
      </c>
      <c r="D37" s="14">
        <f>($D$36*Catalogue!$F$5-Catalogue!$F$15*Params!$C$11/$D$23)*Params!$C$16/$D$23</f>
        <v/>
      </c>
      <c r="E37" s="8" t="inlineStr">
        <is>
          <t>N</t>
        </is>
      </c>
      <c r="F37" s="8" t="inlineStr">
        <is>
          <t>Dùng để kiểm Downstream #6</t>
        </is>
      </c>
      <c r="G37" s="8" t="inlineStr">
        <is>
          <t>Tự dẫn</t>
        </is>
      </c>
    </row>
    <row r="38" ht="15" customHeight="1">
      <c r="A38" s="6" t="inlineStr">
        <is>
          <t>E. Quỹ đạo S-curve 7 đoạn — [R9-11] Tho et al. 2020; WORKFLOW §4.2-D1</t>
        </is>
      </c>
      <c r="B38" s="7" t="n"/>
      <c r="C38" s="7" t="n"/>
      <c r="D38" s="7" t="n"/>
      <c r="E38" s="7" t="n"/>
      <c r="F38" s="7" t="n"/>
      <c r="G38" s="7" t="n"/>
    </row>
    <row r="39">
      <c r="A39" s="8" t="inlineStr">
        <is>
          <t>Tj</t>
        </is>
      </c>
      <c r="B39" s="8" t="inlineStr">
        <is>
          <t>Thời gian tăng/giảm độ giật</t>
        </is>
      </c>
      <c r="C39" s="8" t="inlineStr">
        <is>
          <t>T_j</t>
        </is>
      </c>
      <c r="D39" s="14">
        <f>GiaDinh_K3!$D$11/GiaDinh_K3!$D$12</f>
        <v/>
      </c>
      <c r="E39" s="8" t="inlineStr">
        <is>
          <t>s</t>
        </is>
      </c>
      <c r="F39" s="8" t="inlineStr">
        <is>
          <t>a*/ρ*</t>
        </is>
      </c>
      <c r="G39" s="8" t="inlineStr">
        <is>
          <t>WORKFLOW §4.2-D1</t>
        </is>
      </c>
    </row>
    <row r="40">
      <c r="A40" s="8" t="inlineStr">
        <is>
          <t>Ta</t>
        </is>
      </c>
      <c r="B40" s="8" t="inlineStr">
        <is>
          <t>Thời gian gia tốc không đổi</t>
        </is>
      </c>
      <c r="C40" s="8" t="inlineStr">
        <is>
          <t>T_a</t>
        </is>
      </c>
      <c r="D40" s="14">
        <f>Params!$C$10/GiaDinh_K3!$D$11-$D$39</f>
        <v/>
      </c>
      <c r="E40" s="8" t="inlineStr">
        <is>
          <t>s</t>
        </is>
      </c>
      <c r="F40" s="8" t="inlineStr">
        <is>
          <t>v_max/a* − T_j (&gt;0 ⇒ đủ 3 đoạn)</t>
        </is>
      </c>
      <c r="G40" s="8" t="inlineStr">
        <is>
          <t>WORKFLOW §4.2-D1</t>
        </is>
      </c>
    </row>
    <row r="41">
      <c r="A41" s="8" t="inlineStr">
        <is>
          <t>tacc</t>
        </is>
      </c>
      <c r="B41" s="8" t="inlineStr">
        <is>
          <t>Thời gian tăng tốc</t>
        </is>
      </c>
      <c r="C41" s="8" t="inlineStr">
        <is>
          <t>t_acc</t>
        </is>
      </c>
      <c r="D41" s="15">
        <f>2*$D$39+$D$40</f>
        <v/>
      </c>
      <c r="E41" s="8" t="inlineStr">
        <is>
          <t>s</t>
        </is>
      </c>
      <c r="F41" s="8" t="inlineStr">
        <is>
          <t>2T_j + T_a</t>
        </is>
      </c>
      <c r="G41" s="8" t="inlineStr">
        <is>
          <t>WORKFLOW §4.2-D1</t>
        </is>
      </c>
    </row>
    <row r="42">
      <c r="A42" s="8" t="inlineStr">
        <is>
          <t>sacc</t>
        </is>
      </c>
      <c r="B42" s="8" t="inlineStr">
        <is>
          <t>Quãng đường tăng tốc</t>
        </is>
      </c>
      <c r="C42" s="8" t="inlineStr">
        <is>
          <t>s_acc</t>
        </is>
      </c>
      <c r="D42" s="14">
        <f>Params!$C$10*$D$41/2</f>
        <v/>
      </c>
      <c r="E42" s="8" t="inlineStr">
        <is>
          <t>m</t>
        </is>
      </c>
      <c r="F42" s="8" t="inlineStr">
        <is>
          <t>Đối xứng</t>
        </is>
      </c>
      <c r="G42" s="8" t="inlineStr">
        <is>
          <t>Tích phân v(t)</t>
        </is>
      </c>
    </row>
    <row r="43">
      <c r="A43" s="8" t="inlineStr">
        <is>
          <t>vlim</t>
        </is>
      </c>
      <c r="B43" s="8" t="inlineStr">
        <is>
          <t>Vận tốc ngưỡng 3 đoạn</t>
        </is>
      </c>
      <c r="C43" s="8" t="inlineStr">
        <is>
          <t>a*²/ρ*</t>
        </is>
      </c>
      <c r="D43" s="14">
        <f>GiaDinh_K3!$D$11^2/GiaDinh_K3!$D$12</f>
        <v/>
      </c>
      <c r="E43" s="8" t="inlineStr">
        <is>
          <t>m/s</t>
        </is>
      </c>
      <c r="F43" s="8" t="inlineStr">
        <is>
          <t>Phải &lt; v_max</t>
        </is>
      </c>
      <c r="G43" s="8" t="inlineStr">
        <is>
          <t>WORKFLOW §4.2-D1</t>
        </is>
      </c>
    </row>
    <row r="44">
      <c r="A44" s="8" t="inlineStr">
        <is>
          <t>f1</t>
        </is>
      </c>
      <c r="B44" s="8" t="inlineStr">
        <is>
          <t>Hệ số trung bình a(t)/a*</t>
        </is>
      </c>
      <c r="C44" s="8" t="inlineStr">
        <is>
          <t>f₁</t>
        </is>
      </c>
      <c r="D44" s="15">
        <f>($D$39+$D$40)/$D$41</f>
        <v/>
      </c>
      <c r="E44" s="8" t="inlineStr">
        <is>
          <t>-</t>
        </is>
      </c>
      <c r="F44" s="8" t="inlineStr">
        <is>
          <t>Cho tính M_đt</t>
        </is>
      </c>
      <c r="G44" s="8" t="inlineStr">
        <is>
          <t>Tích phân hình thang</t>
        </is>
      </c>
    </row>
    <row r="45">
      <c r="A45" s="8" t="inlineStr">
        <is>
          <t>f2</t>
        </is>
      </c>
      <c r="B45" s="8" t="inlineStr">
        <is>
          <t>Hệ số trung bình a²(t)/a*²</t>
        </is>
      </c>
      <c r="C45" s="8" t="inlineStr">
        <is>
          <t>f₂</t>
        </is>
      </c>
      <c r="D45" s="15">
        <f>(2*$D$39/3+$D$40)/$D$41</f>
        <v/>
      </c>
      <c r="E45" s="8" t="inlineStr">
        <is>
          <t>-</t>
        </is>
      </c>
      <c r="F45" s="8" t="inlineStr">
        <is>
          <t>Cho tính M_đt</t>
        </is>
      </c>
      <c r="G45" s="8" t="inlineStr">
        <is>
          <t>Tích phân hình thang</t>
        </is>
      </c>
    </row>
    <row r="46">
      <c r="A46" s="8" t="inlineStr">
        <is>
          <t>th_res</t>
        </is>
      </c>
      <c r="B46" s="8" t="inlineStr">
        <is>
          <t>Góc lắc dư ước lượng (t_acc ≪ T_p)</t>
        </is>
      </c>
      <c r="C46" s="8" t="inlineStr">
        <is>
          <t>θ_dư</t>
        </is>
      </c>
      <c r="D46" s="14">
        <f>DEGREES(Params!$C$10*Params!$C$8/Params!$C$19)</f>
        <v/>
      </c>
      <c r="E46" s="8" t="inlineStr">
        <is>
          <t>°</t>
        </is>
      </c>
      <c r="F46" s="8" t="inlineStr">
        <is>
          <t>v·ω_p/g (gần đúng bước vận tốc)</t>
        </is>
      </c>
      <c r="G46" s="8" t="inlineStr">
        <is>
          <t>[R9-01] mô hình con lắc</t>
        </is>
      </c>
    </row>
    <row r="47">
      <c r="A47" s="8" t="inlineStr">
        <is>
          <t>th0</t>
        </is>
      </c>
      <c r="B47" s="8" t="inlineStr">
        <is>
          <t>Góc lệch tĩnh ứng a_max</t>
        </is>
      </c>
      <c r="C47" s="8" t="inlineStr">
        <is>
          <t>θ_0</t>
        </is>
      </c>
      <c r="D47" s="14">
        <f>DEGREES(ATAN(Params!$C$11/Params!$C$19))</f>
        <v/>
      </c>
      <c r="E47" s="8" t="inlineStr">
        <is>
          <t>°</t>
        </is>
      </c>
      <c r="F47" s="8" t="inlineStr">
        <is>
          <t>atan(a_max/g)</t>
        </is>
      </c>
      <c r="G47" s="8" t="inlineStr">
        <is>
          <t>SSoT P2 dòng 38</t>
        </is>
      </c>
    </row>
    <row r="48" ht="15" customHeight="1">
      <c r="A48" s="6" t="inlineStr">
        <is>
          <t>F. Chu trình S3-40% &amp; phát nhiệt — Bài 4 slide 7, 10; WORKFLOW §4.2-C1</t>
        </is>
      </c>
      <c r="B48" s="7" t="n"/>
      <c r="C48" s="7" t="n"/>
      <c r="D48" s="7" t="n"/>
      <c r="E48" s="7" t="n"/>
      <c r="F48" s="7" t="n"/>
      <c r="G48" s="7" t="n"/>
    </row>
    <row r="49">
      <c r="A49" s="8" t="inlineStr">
        <is>
          <t>t_lv</t>
        </is>
      </c>
      <c r="B49" s="8" t="inlineStr">
        <is>
          <t>Tổng thời gian đóng điện</t>
        </is>
      </c>
      <c r="C49" s="8" t="inlineStr">
        <is>
          <t>Σt_lv</t>
        </is>
      </c>
      <c r="D49" s="14">
        <f>GiaDinh_K3!$D$3*GiaDinh_K3!$D$4</f>
        <v/>
      </c>
      <c r="E49" s="8" t="inlineStr">
        <is>
          <t>s</t>
        </is>
      </c>
      <c r="F49" s="8" t="inlineStr">
        <is>
          <t>CD·T_ck</t>
        </is>
      </c>
      <c r="G49" s="8" t="inlineStr">
        <is>
          <t>IEC 60034-1 [R4] tr.23</t>
        </is>
      </c>
    </row>
    <row r="50">
      <c r="A50" s="8" t="inlineStr">
        <is>
          <t>t_0</t>
        </is>
      </c>
      <c r="B50" s="8" t="inlineStr">
        <is>
          <t>Tổng thời gian nghỉ</t>
        </is>
      </c>
      <c r="C50" s="8" t="inlineStr">
        <is>
          <t>Σt_0</t>
        </is>
      </c>
      <c r="D50" s="14">
        <f>GiaDinh_K3!$D$4-$D$49</f>
        <v/>
      </c>
      <c r="E50" s="8" t="inlineStr">
        <is>
          <t>s</t>
        </is>
      </c>
      <c r="F50" s="8" t="n"/>
      <c r="G50" s="8" t="n"/>
    </row>
    <row r="51">
      <c r="A51" s="8" t="inlineStr">
        <is>
          <t>t_trip</t>
        </is>
      </c>
      <c r="B51" s="8" t="inlineStr">
        <is>
          <t>Thời gian một hành trình</t>
        </is>
      </c>
      <c r="C51" s="8" t="inlineStr">
        <is>
          <t>t_ht</t>
        </is>
      </c>
      <c r="D51" s="14">
        <f>$D$49/GiaDinh_K3!$D$10</f>
        <v/>
      </c>
      <c r="E51" s="8" t="inlineStr">
        <is>
          <t>s</t>
        </is>
      </c>
      <c r="F51" s="8" t="n"/>
      <c r="G51" s="8" t="inlineStr">
        <is>
          <t>Giả định chu trình</t>
        </is>
      </c>
    </row>
    <row r="52">
      <c r="A52" s="8" t="inlineStr">
        <is>
          <t>t_c</t>
        </is>
      </c>
      <c r="B52" s="8" t="inlineStr">
        <is>
          <t>Thời gian chạy đều mỗi hành trình</t>
        </is>
      </c>
      <c r="C52" s="8" t="inlineStr">
        <is>
          <t>t_đều</t>
        </is>
      </c>
      <c r="D52" s="15">
        <f>$D$51-2*$D$41</f>
        <v/>
      </c>
      <c r="E52" s="8" t="inlineStr">
        <is>
          <t>s</t>
        </is>
      </c>
      <c r="F52" s="8" t="n"/>
      <c r="G52" s="8" t="n"/>
    </row>
    <row r="53">
      <c r="A53" s="8" t="inlineStr">
        <is>
          <t>L_trip</t>
        </is>
      </c>
      <c r="B53" s="8" t="inlineStr">
        <is>
          <t>Chiều dài hành trình suy ra</t>
        </is>
      </c>
      <c r="C53" s="8" t="inlineStr">
        <is>
          <t>L_ht</t>
        </is>
      </c>
      <c r="D53" s="14">
        <f>Params!$C$10*($D$52+$D$41)</f>
        <v/>
      </c>
      <c r="E53" s="8" t="inlineStr">
        <is>
          <t>m</t>
        </is>
      </c>
      <c r="F53" s="8" t="inlineStr">
        <is>
          <t>v·t_đều + 2·s_acc</t>
        </is>
      </c>
      <c r="G53" s="8" t="inlineStr">
        <is>
          <t>Kiểm tra hợp lý với khẩu độ cầu</t>
        </is>
      </c>
    </row>
    <row r="54">
      <c r="A54" s="8" t="inlineStr">
        <is>
          <t>Mdyn</t>
        </is>
      </c>
      <c r="B54" s="8" t="inlineStr">
        <is>
          <t>Mô-men động đầy tải tại a*</t>
        </is>
      </c>
      <c r="C54" s="8" t="inlineStr">
        <is>
          <t>M_đg</t>
        </is>
      </c>
      <c r="D54" s="14">
        <f>GiaDinh_K3!$D$8*Params!$C$5*GiaDinh_K3!$D$11*$D$23/Params!$C$16+Catalogue!$F$15*$D$24</f>
        <v/>
      </c>
      <c r="E54" s="8" t="inlineStr">
        <is>
          <t>N·m</t>
        </is>
      </c>
      <c r="F54" s="8" t="inlineStr">
        <is>
          <t>δM_Σa*k/η + J_B ε*</t>
        </is>
      </c>
      <c r="G54" s="8" t="inlineStr">
        <is>
          <t>Bài 4 slide 7</t>
        </is>
      </c>
    </row>
    <row r="55">
      <c r="A55" s="8" t="inlineStr">
        <is>
          <t>Mdyn0</t>
        </is>
      </c>
      <c r="B55" s="8" t="inlineStr">
        <is>
          <t>Mô-men động không tải tại a*</t>
        </is>
      </c>
      <c r="C55" s="8" t="inlineStr">
        <is>
          <t>M_đg,0</t>
        </is>
      </c>
      <c r="D55" s="14">
        <f>GiaDinh_K3!$D$8*Params!$C$6*GiaDinh_K3!$D$11*$D$23/Params!$C$16+Catalogue!$F$15*$D$24</f>
        <v/>
      </c>
      <c r="E55" s="8" t="inlineStr">
        <is>
          <t>N·m</t>
        </is>
      </c>
      <c r="F55" s="8" t="n"/>
      <c r="G55" s="8" t="inlineStr">
        <is>
          <t>Bài 4 slide 7</t>
        </is>
      </c>
    </row>
    <row r="56">
      <c r="A56" s="8" t="inlineStr">
        <is>
          <t>Sq1</t>
        </is>
      </c>
      <c r="B56" s="8" t="inlineStr">
        <is>
          <t>Σ M²t hành trình đầy tải</t>
        </is>
      </c>
      <c r="C56" s="8" t="inlineStr">
        <is>
          <t>ΣM²t (đầy)</t>
        </is>
      </c>
      <c r="D56" s="15">
        <f>$D$25^2*(2*$D$41+$D$52)+2*$D$41*$D$54^2*$D$45</f>
        <v/>
      </c>
      <c r="E56" s="8" t="inlineStr">
        <is>
          <t>N²m²s</t>
        </is>
      </c>
      <c r="F56" s="8" t="inlineStr">
        <is>
          <t>Tăng tốc + đều + giảm tốc (số hạng chéo triệt tiêu)</t>
        </is>
      </c>
      <c r="G56" s="8" t="inlineStr">
        <is>
          <t>Tự dẫn từ Bài 4 slide 10</t>
        </is>
      </c>
    </row>
    <row r="57">
      <c r="A57" s="8" t="inlineStr">
        <is>
          <t>Sq0</t>
        </is>
      </c>
      <c r="B57" s="8" t="inlineStr">
        <is>
          <t>Σ M²t hành trình không tải</t>
        </is>
      </c>
      <c r="C57" s="8" t="inlineStr">
        <is>
          <t>ΣM²t (không)</t>
        </is>
      </c>
      <c r="D57" s="15">
        <f>$D$26^2*(2*$D$41+$D$52)+2*$D$41*$D$55^2*$D$45</f>
        <v/>
      </c>
      <c r="E57" s="8" t="inlineStr">
        <is>
          <t>N²m²s</t>
        </is>
      </c>
      <c r="F57" s="8" t="n"/>
      <c r="G57" s="8" t="n"/>
    </row>
    <row r="58">
      <c r="A58" s="8" t="inlineStr">
        <is>
          <t>Mdt</t>
        </is>
      </c>
      <c r="B58" s="8" t="inlineStr">
        <is>
          <t>Mô-men đẳng trị nhiệt</t>
        </is>
      </c>
      <c r="C58" s="8" t="inlineStr">
        <is>
          <t>M_đt</t>
        </is>
      </c>
      <c r="D58" s="15">
        <f>SQRT(($D$56+$D$57)/$D$49)</f>
        <v/>
      </c>
      <c r="E58" s="8" t="inlineStr">
        <is>
          <t>N·m</t>
        </is>
      </c>
      <c r="F58" s="8" t="inlineStr">
        <is>
          <t>√(ΣM²t/Σt_lv)</t>
        </is>
      </c>
      <c r="G58" s="8" t="inlineStr">
        <is>
          <t>WORKFLOW §4.2-C1</t>
        </is>
      </c>
    </row>
    <row r="59">
      <c r="A59" s="8" t="inlineStr">
        <is>
          <t>Pdt</t>
        </is>
      </c>
      <c r="B59" s="8" t="inlineStr">
        <is>
          <t>Công suất đẳng trị</t>
        </is>
      </c>
      <c r="C59" s="8" t="inlineStr">
        <is>
          <t>P_đt</t>
        </is>
      </c>
      <c r="D59" s="15">
        <f>$D$58*$D$18</f>
        <v/>
      </c>
      <c r="E59" s="8" t="inlineStr">
        <is>
          <t>W</t>
        </is>
      </c>
      <c r="F59" s="8" t="inlineStr">
        <is>
          <t>M_đt·ω_N</t>
        </is>
      </c>
      <c r="G59" s="8" t="inlineStr">
        <is>
          <t>WORKFLOW §4.2-C1</t>
        </is>
      </c>
    </row>
    <row r="60">
      <c r="A60" s="8" t="inlineStr">
        <is>
          <t>kdt</t>
        </is>
      </c>
      <c r="B60" s="8" t="inlineStr">
        <is>
          <t>Hệ số dự trữ phát nhiệt</t>
        </is>
      </c>
      <c r="C60" s="8" t="inlineStr">
        <is>
          <t>k_dt</t>
        </is>
      </c>
      <c r="D60" s="14">
        <f>Catalogue!$F$4*1000/$D$59</f>
        <v/>
      </c>
      <c r="E60" s="8" t="inlineStr">
        <is>
          <t>-</t>
        </is>
      </c>
      <c r="F60" s="8" t="inlineStr">
        <is>
          <t>P_đm/P_đt (P_đm theo S1 — bảo thủ)</t>
        </is>
      </c>
      <c r="G60" s="8" t="inlineStr">
        <is>
          <t>SRS-PERM-04</t>
        </is>
      </c>
    </row>
    <row r="61">
      <c r="A61" s="8" t="inlineStr">
        <is>
          <t>Pdt_S1</t>
        </is>
      </c>
      <c r="B61" s="8" t="inlineStr">
        <is>
          <t>Công suất tương đương liên tục S1 (tham khảo)</t>
        </is>
      </c>
      <c r="C61" s="8" t="inlineStr">
        <is>
          <t>P_đt·√CD</t>
        </is>
      </c>
      <c r="D61" s="14">
        <f>$D$59*SQRT(GiaDinh_K3!$D$3)</f>
        <v/>
      </c>
      <c r="E61" s="8" t="inlineStr">
        <is>
          <t>W</t>
        </is>
      </c>
      <c r="F61" s="8" t="inlineStr">
        <is>
          <t>Quy đổi gần đúng ε → S1</t>
        </is>
      </c>
      <c r="G61" s="8" t="inlineStr">
        <is>
          <t>Bài giảng TĐĐ (gần đúng)</t>
        </is>
      </c>
    </row>
    <row r="62">
      <c r="A62" s="8" t="inlineStr">
        <is>
          <t>Mtop1</t>
        </is>
      </c>
      <c r="B62" s="8" t="inlineStr">
        <is>
          <t>Mô-men pha tăng tốc đầy tải (đỉnh, a*)</t>
        </is>
      </c>
      <c r="C62" s="8" t="inlineStr">
        <is>
          <t>M_kđ</t>
        </is>
      </c>
      <c r="D62" s="15">
        <f>$D$25+$D$54</f>
        <v/>
      </c>
      <c r="E62" s="8" t="inlineStr">
        <is>
          <t>N·m</t>
        </is>
      </c>
      <c r="F62" s="8" t="inlineStr">
        <is>
          <t>Biểu đồ phụ tải</t>
        </is>
      </c>
      <c r="G62" s="8" t="n"/>
    </row>
    <row r="63">
      <c r="A63" s="8" t="inlineStr">
        <is>
          <t>Mtop2</t>
        </is>
      </c>
      <c r="B63" s="8" t="inlineStr">
        <is>
          <t>Mô-men pha giảm tốc đầy tải (đỉnh, a*)</t>
        </is>
      </c>
      <c r="C63" s="8" t="inlineStr">
        <is>
          <t>M_h</t>
        </is>
      </c>
      <c r="D63" s="15">
        <f>$D$25-$D$54</f>
        <v/>
      </c>
      <c r="E63" s="8" t="inlineStr">
        <is>
          <t>N·m</t>
        </is>
      </c>
      <c r="F63" s="8" t="inlineStr">
        <is>
          <t>Âm ⇒ hãm tái sinh (góc II)</t>
        </is>
      </c>
      <c r="G63" s="8" t="n"/>
    </row>
    <row r="64">
      <c r="A64" s="8" t="inlineStr">
        <is>
          <t>Mtop3</t>
        </is>
      </c>
      <c r="B64" s="8" t="inlineStr">
        <is>
          <t>Mô-men pha tăng tốc không tải</t>
        </is>
      </c>
      <c r="C64" s="8" t="inlineStr">
        <is>
          <t>M_kđ,0</t>
        </is>
      </c>
      <c r="D64" s="15">
        <f>$D$26+$D$55</f>
        <v/>
      </c>
      <c r="E64" s="8" t="inlineStr">
        <is>
          <t>N·m</t>
        </is>
      </c>
      <c r="F64" s="8" t="n"/>
      <c r="G64" s="8" t="n"/>
    </row>
    <row r="65">
      <c r="A65" s="8" t="inlineStr">
        <is>
          <t>Mtop4</t>
        </is>
      </c>
      <c r="B65" s="8" t="inlineStr">
        <is>
          <t>Mô-men pha giảm tốc không tải</t>
        </is>
      </c>
      <c r="C65" s="8" t="inlineStr">
        <is>
          <t>M_h,0</t>
        </is>
      </c>
      <c r="D65" s="15">
        <f>$D$26-$D$55</f>
        <v/>
      </c>
      <c r="E65" s="8" t="inlineStr">
        <is>
          <t>N·m</t>
        </is>
      </c>
      <c r="F65" s="8" t="inlineStr">
        <is>
          <t>Góc IV (chạy Lùi)</t>
        </is>
      </c>
      <c r="G65" s="8" t="n"/>
    </row>
    <row r="66" ht="15" customHeight="1">
      <c r="A66" s="6" t="inlineStr">
        <is>
          <t>G. Dòng điện &amp; chọn biến tần — Bài 4 slide 20</t>
        </is>
      </c>
      <c r="B66" s="7" t="n"/>
      <c r="C66" s="7" t="n"/>
      <c r="D66" s="7" t="n"/>
      <c r="E66" s="7" t="n"/>
      <c r="F66" s="7" t="n"/>
      <c r="G66" s="7" t="n"/>
    </row>
    <row r="67">
      <c r="A67" s="8" t="inlineStr">
        <is>
          <t>phiN</t>
        </is>
      </c>
      <c r="B67" s="8" t="inlineStr">
        <is>
          <t>Góc pha định mức</t>
        </is>
      </c>
      <c r="C67" s="8" t="inlineStr">
        <is>
          <t>φ_N</t>
        </is>
      </c>
      <c r="D67" s="14">
        <f>ACOS(Catalogue!$F$8)</f>
        <v/>
      </c>
      <c r="E67" s="8" t="inlineStr">
        <is>
          <t>rad</t>
        </is>
      </c>
      <c r="F67" s="8" t="n"/>
      <c r="G67" s="8" t="n"/>
    </row>
    <row r="68">
      <c r="A68" s="8" t="inlineStr">
        <is>
          <t>b_c</t>
        </is>
      </c>
      <c r="B68" s="8" t="inlineStr">
        <is>
          <t>Hệ số vòng tròn</t>
        </is>
      </c>
      <c r="C68" s="8" t="inlineStr">
        <is>
          <t>b</t>
        </is>
      </c>
      <c r="D68" s="14">
        <f>Catalogue!$F$12+SQRT(Catalogue!$F$12^2-1)</f>
        <v/>
      </c>
      <c r="E68" s="8" t="inlineStr">
        <is>
          <t>-</t>
        </is>
      </c>
      <c r="F68" s="8" t="inlineStr">
        <is>
          <t>r/X_k = λ_K + √(λ_K²−1)</t>
        </is>
      </c>
      <c r="G68" s="8" t="inlineStr">
        <is>
          <t>Sơ đồ vòng tròn (R_s≈0)</t>
        </is>
      </c>
    </row>
    <row r="69">
      <c r="A69" s="8" t="inlineStr">
        <is>
          <t>I0</t>
        </is>
      </c>
      <c r="B69" s="8" t="inlineStr">
        <is>
          <t>Dòng từ hóa (hiệu dụng)</t>
        </is>
      </c>
      <c r="C69" s="8" t="inlineStr">
        <is>
          <t>I_0</t>
        </is>
      </c>
      <c r="D69" s="14">
        <f>Catalogue!$F$7*(SIN($D$67)-Catalogue!$F$8/$D$68)</f>
        <v/>
      </c>
      <c r="E69" s="8" t="inlineStr">
        <is>
          <t>A</t>
        </is>
      </c>
      <c r="F69" s="8" t="inlineStr">
        <is>
          <t>I_N(sinφ − cosφ/b)</t>
        </is>
      </c>
      <c r="G69" s="8" t="inlineStr">
        <is>
          <t>Sơ đồ vòng tròn</t>
        </is>
      </c>
    </row>
    <row r="70">
      <c r="A70" s="8" t="inlineStr">
        <is>
          <t>IqN</t>
        </is>
      </c>
      <c r="B70" s="8" t="inlineStr">
        <is>
          <t>Thành phần dòng mô-men định mức (hiệu dụng)</t>
        </is>
      </c>
      <c r="C70" s="8" t="inlineStr">
        <is>
          <t>I_q,N</t>
        </is>
      </c>
      <c r="D70" s="14">
        <f>SQRT(Catalogue!$F$7^2-$D$69^2)</f>
        <v/>
      </c>
      <c r="E70" s="8" t="inlineStr">
        <is>
          <t>A</t>
        </is>
      </c>
      <c r="F70" s="8" t="n"/>
      <c r="G70" s="8" t="n"/>
    </row>
    <row r="71">
      <c r="A71" s="8" t="inlineStr">
        <is>
          <t>Ipk</t>
        </is>
      </c>
      <c r="B71" s="8" t="inlineStr">
        <is>
          <t>Dòng đỉnh khi tăng tốc đầy tải (hiệu dụng)</t>
        </is>
      </c>
      <c r="C71" s="8" t="inlineStr">
        <is>
          <t>I_đỉnh</t>
        </is>
      </c>
      <c r="D71" s="15">
        <f>SQRT($D$69^2+($D$70*$D$35)^2)</f>
        <v/>
      </c>
      <c r="E71" s="8" t="inlineStr">
        <is>
          <t>A</t>
        </is>
      </c>
      <c r="F71" s="8" t="inlineStr">
        <is>
          <t>Gần đúng I_q tỷ lệ mô-men</t>
        </is>
      </c>
      <c r="G71" s="8" t="inlineStr">
        <is>
          <t>Bài 4 slide 20</t>
        </is>
      </c>
    </row>
    <row r="72">
      <c r="A72" s="8" t="inlineStr">
        <is>
          <t>I_ol</t>
        </is>
      </c>
      <c r="B72" s="8" t="inlineStr">
        <is>
          <t>Dòng quá tải cho phép của biến tần</t>
        </is>
      </c>
      <c r="C72" s="8" t="inlineStr">
        <is>
          <t>1.5·I_Hd</t>
        </is>
      </c>
      <c r="D72" s="14">
        <f>1.5*Catalogue!$F$21</f>
        <v/>
      </c>
      <c r="E72" s="8" t="inlineStr">
        <is>
          <t>A</t>
        </is>
      </c>
      <c r="F72" s="8" t="inlineStr">
        <is>
          <t>150% I_Hd trong 1 phút/10 phút</t>
        </is>
      </c>
      <c r="G72" s="8" t="inlineStr">
        <is>
          <t>[W-05] tr.12</t>
        </is>
      </c>
    </row>
    <row r="73" ht="15" customHeight="1">
      <c r="A73" s="6" t="inlineStr">
        <is>
          <t>H. Hãm tái sinh, Chopper &amp; R_h — Bài 2.3 slide 56-59; WORKFLOW §4.2-C4</t>
        </is>
      </c>
      <c r="B73" s="7" t="n"/>
      <c r="C73" s="7" t="n"/>
      <c r="D73" s="7" t="n"/>
      <c r="E73" s="7" t="n"/>
      <c r="F73" s="7" t="n"/>
      <c r="G73" s="7" t="n"/>
    </row>
    <row r="74">
      <c r="A74" s="8" t="inlineStr">
        <is>
          <t>Fh</t>
        </is>
      </c>
      <c r="B74" s="8" t="inlineStr">
        <is>
          <t>Lực hãm cực đại (a_max, đầy tải)</t>
        </is>
      </c>
      <c r="C74" s="8" t="inlineStr">
        <is>
          <t>F_hãm,max</t>
        </is>
      </c>
      <c r="D74" s="14">
        <f>Params!$C$5*Params!$C$11-Params!$C$21</f>
        <v/>
      </c>
      <c r="E74" s="8" t="inlineStr">
        <is>
          <t>N</t>
        </is>
      </c>
      <c r="F74" s="8" t="inlineStr">
        <is>
          <t>M_Σ·a_max − F_c</t>
        </is>
      </c>
      <c r="G74" s="8" t="inlineStr">
        <is>
          <t>WORKFLOW §4.2-C4</t>
        </is>
      </c>
    </row>
    <row r="75">
      <c r="A75" s="8" t="inlineStr">
        <is>
          <t>P_dc</t>
        </is>
      </c>
      <c r="B75" s="8" t="inlineStr">
        <is>
          <t>Công suất hãm đỉnh về DC-link</t>
        </is>
      </c>
      <c r="C75" s="8" t="inlineStr">
        <is>
          <t>P_dc,hãm</t>
        </is>
      </c>
      <c r="D75" s="14">
        <f>$D$74*Params!$C$10*Params!$C$16*Catalogue!$F$9*GiaDinh_K3!$D$13</f>
        <v/>
      </c>
      <c r="E75" s="8" t="inlineStr">
        <is>
          <t>W</t>
        </is>
      </c>
      <c r="F75" s="8" t="inlineStr">
        <is>
          <t>F_h·v·η·η_đc·η_inv</t>
        </is>
      </c>
      <c r="G75" s="8" t="inlineStr">
        <is>
          <t>WORKFLOW §4.2-C4</t>
        </is>
      </c>
    </row>
    <row r="76">
      <c r="A76" s="8" t="inlineStr">
        <is>
          <t>R_up</t>
        </is>
      </c>
      <c r="B76" s="8" t="inlineStr">
        <is>
          <t>Cận trên R_h theo công suất</t>
        </is>
      </c>
      <c r="C76" s="8" t="inlineStr">
        <is>
          <t>U_chop²/P</t>
        </is>
      </c>
      <c r="D76" s="14">
        <f>GiaDinh_K3!$D$14^2/$D$75</f>
        <v/>
      </c>
      <c r="E76" s="8" t="inlineStr">
        <is>
          <t>Ω</t>
        </is>
      </c>
      <c r="F76" s="8" t="n"/>
      <c r="G76" s="8" t="inlineStr">
        <is>
          <t>WORKFLOW §4.2-C4</t>
        </is>
      </c>
    </row>
    <row r="77">
      <c r="A77" s="8" t="inlineStr">
        <is>
          <t>R_hi</t>
        </is>
      </c>
      <c r="B77" s="8" t="inlineStr">
        <is>
          <t>Cận trên R_h hiệu dụng</t>
        </is>
      </c>
      <c r="C77" s="8" t="inlineStr">
        <is>
          <t>R_h,max</t>
        </is>
      </c>
      <c r="D77" s="14">
        <f>MIN($D$76,Catalogue!$F$25)</f>
        <v/>
      </c>
      <c r="E77" s="8" t="inlineStr">
        <is>
          <t>Ω</t>
        </is>
      </c>
      <c r="F77" s="8" t="inlineStr">
        <is>
          <t>min(U²/P, R_max biến tần)</t>
        </is>
      </c>
      <c r="G77" s="8" t="inlineStr">
        <is>
          <t>[W-05] tr.24</t>
        </is>
      </c>
    </row>
    <row r="78">
      <c r="A78" s="8" t="inlineStr">
        <is>
          <t>R_lo</t>
        </is>
      </c>
      <c r="B78" s="8" t="inlineStr">
        <is>
          <t>Cận dưới R_h</t>
        </is>
      </c>
      <c r="C78" s="8" t="inlineStr">
        <is>
          <t>R_h,min</t>
        </is>
      </c>
      <c r="D78" s="14">
        <f>Catalogue!$F$24</f>
        <v/>
      </c>
      <c r="E78" s="8" t="inlineStr">
        <is>
          <t>Ω</t>
        </is>
      </c>
      <c r="F78" s="8" t="inlineStr">
        <is>
          <t>R_min chopper (thay U/I_chop,max)</t>
        </is>
      </c>
      <c r="G78" s="8" t="inlineStr">
        <is>
          <t>[W-05] tr.24</t>
        </is>
      </c>
    </row>
    <row r="79">
      <c r="A79" s="8" t="inlineStr">
        <is>
          <t>I_ch</t>
        </is>
      </c>
      <c r="B79" s="8" t="inlineStr">
        <is>
          <t>Dòng chopper khi dẫn tại U_chop</t>
        </is>
      </c>
      <c r="C79" s="8" t="inlineStr">
        <is>
          <t>I_chop</t>
        </is>
      </c>
      <c r="D79" s="14">
        <f>GiaDinh_K3!$D$14/GiaDinh_K3!$D$42</f>
        <v/>
      </c>
      <c r="E79" s="8" t="inlineStr">
        <is>
          <t>A</t>
        </is>
      </c>
      <c r="F79" s="8" t="n"/>
      <c r="G79" s="8" t="n"/>
    </row>
    <row r="80">
      <c r="A80" s="8" t="inlineStr">
        <is>
          <t>P_ch</t>
        </is>
      </c>
      <c r="B80" s="8" t="inlineStr">
        <is>
          <t>Công suất tức thời trên R_h khi chopper dẫn</t>
        </is>
      </c>
      <c r="C80" s="8" t="inlineStr">
        <is>
          <t>U²/R_h</t>
        </is>
      </c>
      <c r="D80" s="14">
        <f>GiaDinh_K3!$D$14^2/GiaDinh_K3!$D$42</f>
        <v/>
      </c>
      <c r="E80" s="8" t="inlineStr">
        <is>
          <t>W</t>
        </is>
      </c>
      <c r="F80" s="8" t="inlineStr">
        <is>
          <t>Phải ≥ P_dc,hãm (đủ khả năng hấp thụ)</t>
        </is>
      </c>
      <c r="G80" s="8" t="n"/>
    </row>
    <row r="81">
      <c r="A81" s="8" t="inlineStr">
        <is>
          <t>E_kin</t>
        </is>
      </c>
      <c r="B81" s="8" t="inlineStr">
        <is>
          <t>Động năng hệ đầy tải ở v_max</t>
        </is>
      </c>
      <c r="C81" s="8" t="inlineStr">
        <is>
          <t>E_đ</t>
        </is>
      </c>
      <c r="D81" s="14">
        <f>0.5*GiaDinh_K3!$D$8*Params!$C$5*Params!$C$10^2+0.5*Catalogue!$F$15*$D$18^2</f>
        <v/>
      </c>
      <c r="E81" s="8" t="inlineStr">
        <is>
          <t>J</t>
        </is>
      </c>
      <c r="F81" s="8" t="n"/>
      <c r="G81" s="8" t="inlineStr">
        <is>
          <t>Bài 2.3 slide 58</t>
        </is>
      </c>
    </row>
    <row r="82">
      <c r="A82" s="8" t="inlineStr">
        <is>
          <t>E_rh</t>
        </is>
      </c>
      <c r="B82" s="8" t="inlineStr">
        <is>
          <t>Năng lượng vào R_h mỗi lần dừng đầy tải</t>
        </is>
      </c>
      <c r="C82" s="8" t="inlineStr">
        <is>
          <t>E_Rh</t>
        </is>
      </c>
      <c r="D82" s="14">
        <f>MAX(0,($D$81-Params!$C$21*$D$42)*Params!$C$16*Catalogue!$F$9*GiaDinh_K3!$D$13)</f>
        <v/>
      </c>
      <c r="E82" s="8" t="inlineStr">
        <is>
          <t>J</t>
        </is>
      </c>
      <c r="F82" s="8" t="inlineStr">
        <is>
          <t>(E_đ − F_c·s_acc)·η·η_đc·η_inv</t>
        </is>
      </c>
      <c r="G82" s="8" t="inlineStr">
        <is>
          <t>Bài 2.3 slide 58</t>
        </is>
      </c>
    </row>
    <row r="83" ht="28.5" customHeight="1">
      <c r="A83" s="8" t="inlineStr">
        <is>
          <t>P_rh_avg</t>
        </is>
      </c>
      <c r="B83" s="8" t="inlineStr">
        <is>
          <t>Công suất trung bình trên R_h trong chu kỳ (bảo thủ: mọi lần dừng như đầy tải)</t>
        </is>
      </c>
      <c r="C83" s="8" t="inlineStr">
        <is>
          <t>P_Rh,tb</t>
        </is>
      </c>
      <c r="D83" s="14">
        <f>$D$82*GiaDinh_K3!$D$10/GiaDinh_K3!$D$4</f>
        <v/>
      </c>
      <c r="E83" s="8" t="inlineStr">
        <is>
          <t>W</t>
        </is>
      </c>
      <c r="F83" s="8" t="n"/>
      <c r="G83" s="8" t="n"/>
    </row>
    <row r="84">
      <c r="A84" s="8" t="inlineStr">
        <is>
          <t>Udc0</t>
        </is>
      </c>
      <c r="B84" s="8" t="inlineStr">
        <is>
          <t>Điện áp DC-link không tải lớn nhất (lưới +10%)</t>
        </is>
      </c>
      <c r="C84" s="8" t="inlineStr">
        <is>
          <t>U_dc0,max</t>
        </is>
      </c>
      <c r="D84" s="14">
        <f>SQRT(2)*Params!$C$20*(1+GiaDinh_K3!$D$5)</f>
        <v/>
      </c>
      <c r="E84" s="8" t="inlineStr">
        <is>
          <t>V</t>
        </is>
      </c>
      <c r="F84" s="8" t="inlineStr">
        <is>
          <t>Quy ước: không tải √2·U; có tải ≈ 1.35·U</t>
        </is>
      </c>
      <c r="G84" s="8" t="inlineStr">
        <is>
          <t>ICD IF-05</t>
        </is>
      </c>
    </row>
    <row r="85">
      <c r="A85" s="8" t="inlineStr">
        <is>
          <t>Udc_ld</t>
        </is>
      </c>
      <c r="B85" s="8" t="inlineStr">
        <is>
          <t>Điện áp DC-link có tải, lưới danh định</t>
        </is>
      </c>
      <c r="C85" s="8" t="inlineStr">
        <is>
          <t>U_dc,tải</t>
        </is>
      </c>
      <c r="D85" s="14">
        <f>1.35*Params!$C$20</f>
        <v/>
      </c>
      <c r="E85" s="8" t="inlineStr">
        <is>
          <t>V</t>
        </is>
      </c>
      <c r="F85" s="8" t="inlineStr">
        <is>
          <t>1.35·U (chỉnh lưu cầu 6 xung)</t>
        </is>
      </c>
      <c r="G85" s="8" t="inlineStr">
        <is>
          <t>ICD IF-05</t>
        </is>
      </c>
    </row>
    <row r="86" ht="15" customHeight="1">
      <c r="A86" s="6" t="inlineStr">
        <is>
          <t>I. Phanh cơ điện từ — WORKFLOW §4.2-C3; SAD RA-01</t>
        </is>
      </c>
      <c r="B86" s="7" t="n"/>
      <c r="C86" s="7" t="n"/>
      <c r="D86" s="7" t="n"/>
      <c r="E86" s="7" t="n"/>
      <c r="F86" s="7" t="n"/>
      <c r="G86" s="7" t="n"/>
    </row>
    <row r="87">
      <c r="A87" s="8" t="inlineStr">
        <is>
          <t>M_hold</t>
        </is>
      </c>
      <c r="B87" s="8" t="inlineStr">
        <is>
          <t>Mô-men giữ thử trước khi nhả phanh</t>
        </is>
      </c>
      <c r="C87" s="8" t="inlineStr">
        <is>
          <t>M_hold</t>
        </is>
      </c>
      <c r="D87" s="14">
        <f>GiaDinh_K3!$D$18*Catalogue!$F$5</f>
        <v/>
      </c>
      <c r="E87" s="8" t="inlineStr">
        <is>
          <t>N·m</t>
        </is>
      </c>
      <c r="F87" s="8" t="inlineStr">
        <is>
          <t>Downstream #5</t>
        </is>
      </c>
      <c r="G87" s="8" t="inlineStr">
        <is>
          <t>SRS-D10</t>
        </is>
      </c>
    </row>
    <row r="88" ht="57" customHeight="1">
      <c r="A88" s="8" t="inlineStr">
        <is>
          <t>MB_lo</t>
        </is>
      </c>
      <c r="B88" s="8" t="inlineStr">
        <is>
          <t>Mô-men phanh tối thiểu</t>
        </is>
      </c>
      <c r="C88" s="8" t="inlineStr">
        <is>
          <t>max(k_p·M_c; k_thử·M_hold)</t>
        </is>
      </c>
      <c r="D88" s="14">
        <f>MAX(GiaDinh_K3!$D$17*$D$25,GiaDinh_K3!$D$19*$D$87)</f>
        <v/>
      </c>
      <c r="E88" s="8" t="inlineStr">
        <is>
          <t>N·m</t>
        </is>
      </c>
      <c r="F88" s="8" t="inlineStr">
        <is>
          <t>Giữ xe + chịu được mô-men thử khi phanh còn kẹp</t>
        </is>
      </c>
      <c r="G88" s="8" t="inlineStr">
        <is>
          <t>WORKFLOW §4.2-C3; SDD §5</t>
        </is>
      </c>
    </row>
    <row r="89">
      <c r="A89" s="8" t="inlineStr">
        <is>
          <t>MB_hi</t>
        </is>
      </c>
      <c r="B89" s="8" t="inlineStr">
        <is>
          <t>Mô-men phanh tối đa không trượt (đầy tải)</t>
        </is>
      </c>
      <c r="C89" s="8" t="inlineStr">
        <is>
          <t>M_B,max</t>
        </is>
      </c>
      <c r="D89" s="14">
        <f>$D$12*$D$23*Params!$C$16</f>
        <v/>
      </c>
      <c r="E89" s="8" t="inlineStr">
        <is>
          <t>N·m</t>
        </is>
      </c>
      <c r="F89" s="8" t="inlineStr">
        <is>
          <t>F_B = M_B/(kη) ≤ F_bám</t>
        </is>
      </c>
      <c r="G89" s="8" t="inlineStr">
        <is>
          <t>Tự dẫn</t>
        </is>
      </c>
    </row>
    <row r="90">
      <c r="A90" s="8" t="inlineStr">
        <is>
          <t>MB_hi0</t>
        </is>
      </c>
      <c r="B90" s="8" t="inlineStr">
        <is>
          <t>Mô-men phanh tối đa không trượt (không tải)</t>
        </is>
      </c>
      <c r="C90" s="8" t="inlineStr">
        <is>
          <t>M_B,max,0</t>
        </is>
      </c>
      <c r="D90" s="14">
        <f>$D$14*$D$23*Params!$C$16</f>
        <v/>
      </c>
      <c r="E90" s="8" t="inlineStr">
        <is>
          <t>N·m</t>
        </is>
      </c>
      <c r="F90" s="8" t="inlineStr">
        <is>
          <t>Thường &lt; M_B,min ⇒ trượt khi phanh khẩn không tải</t>
        </is>
      </c>
      <c r="G90" s="8" t="inlineStr">
        <is>
          <t>Tự dẫn</t>
        </is>
      </c>
    </row>
    <row r="91">
      <c r="A91" s="8" t="inlineStr">
        <is>
          <t>aB</t>
        </is>
      </c>
      <c r="B91" s="8" t="inlineStr">
        <is>
          <t>Gia tốc dừng bằng phanh cơ, đầy tải (kể δ và J_B)</t>
        </is>
      </c>
      <c r="C91" s="8" t="inlineStr">
        <is>
          <t>a_B</t>
        </is>
      </c>
      <c r="D91" s="14">
        <f>(GiaDinh_K3!$D$20/($D$23*Params!$C$16)+Params!$C$21)/(GiaDinh_K3!$D$8*Params!$C$5+Catalogue!$F$15/($D$23^2*Params!$C$16))</f>
        <v/>
      </c>
      <c r="E91" s="8" t="inlineStr">
        <is>
          <t>m/s²</t>
        </is>
      </c>
      <c r="F91" s="8" t="n"/>
      <c r="G91" s="8" t="n"/>
    </row>
    <row r="92">
      <c r="A92" s="8" t="inlineStr">
        <is>
          <t>aB0</t>
        </is>
      </c>
      <c r="B92" s="8" t="inlineStr">
        <is>
          <t>Gia tốc dừng bằng phanh cơ, không tải (giới hạn bám)</t>
        </is>
      </c>
      <c r="C92" s="8" t="inlineStr">
        <is>
          <t>a_B,0</t>
        </is>
      </c>
      <c r="D92" s="14">
        <f>MIN((GiaDinh_K3!$D$20/($D$23*Params!$C$16)+$D$6)/(GiaDinh_K3!$D$8*Params!$C$6+Catalogue!$F$15/($D$23^2*Params!$C$16)),($D$14+$D$6)/Params!$C$6)</f>
        <v/>
      </c>
      <c r="E92" s="8" t="inlineStr">
        <is>
          <t>m/s²</t>
        </is>
      </c>
      <c r="F92" s="8" t="n"/>
      <c r="G92" s="8" t="n"/>
    </row>
    <row r="93">
      <c r="A93" s="8" t="inlineStr">
        <is>
          <t>sB</t>
        </is>
      </c>
      <c r="B93" s="8" t="inlineStr">
        <is>
          <t>Quãng dừng khẩn từ v_max, đầy tải</t>
        </is>
      </c>
      <c r="C93" s="8" t="inlineStr">
        <is>
          <t>s_B</t>
        </is>
      </c>
      <c r="D93" s="14">
        <f>Params!$C$10^2/(2*$D$91)+Params!$C$10*GiaDinh_K3!$D$21</f>
        <v/>
      </c>
      <c r="E93" s="8" t="inlineStr">
        <is>
          <t>m</t>
        </is>
      </c>
      <c r="F93" s="8" t="n"/>
      <c r="G93" s="8" t="n"/>
    </row>
    <row r="94">
      <c r="A94" s="8" t="inlineStr">
        <is>
          <t>ds</t>
        </is>
      </c>
      <c r="B94" s="8" t="inlineStr">
        <is>
          <t>Độ trôi tối đa sau lệnh đóng phanh (ĐC đã thôi giữ)</t>
        </is>
      </c>
      <c r="C94" s="8" t="inlineStr">
        <is>
          <t>Δs_max</t>
        </is>
      </c>
      <c r="D94" s="14">
        <f>GiaDinh_K3!$D$31*GiaDinh_K3!$D$21*1000</f>
        <v/>
      </c>
      <c r="E94" s="8" t="inlineStr">
        <is>
          <t>mm</t>
        </is>
      </c>
      <c r="F94" s="8" t="inlineStr">
        <is>
          <t>v_đóng·t_kẹp (FSM giữ mô-men đến khi kẹp ⇒ danh định 0)</t>
        </is>
      </c>
      <c r="G94" s="8" t="inlineStr">
        <is>
          <t>SRS-FUNC-02</t>
        </is>
      </c>
    </row>
    <row r="95" ht="15" customHeight="1">
      <c r="A95" s="6" t="inlineStr">
        <is>
          <t>J. Tham số mạch thay thế ĐC (ước lượng từ bảng tên) — [R9-06] Shevchenko §2.3; Bài 2.3</t>
        </is>
      </c>
      <c r="B95" s="7" t="n"/>
      <c r="C95" s="7" t="n"/>
      <c r="D95" s="7" t="n"/>
      <c r="E95" s="7" t="n"/>
      <c r="F95" s="7" t="n"/>
      <c r="G95" s="7" t="n"/>
    </row>
    <row r="96">
      <c r="A96" s="8" t="inlineStr">
        <is>
          <t>ns</t>
        </is>
      </c>
      <c r="B96" s="8" t="inlineStr">
        <is>
          <t>Tốc độ đồng bộ</t>
        </is>
      </c>
      <c r="C96" s="8" t="inlineStr">
        <is>
          <t>n_s</t>
        </is>
      </c>
      <c r="D96" s="14">
        <f>60*GiaDinh_K3!$D$6/GiaDinh_K3!$D$28</f>
        <v/>
      </c>
      <c r="E96" s="8" t="inlineStr">
        <is>
          <t>vg/ph</t>
        </is>
      </c>
      <c r="F96" s="8" t="n"/>
      <c r="G96" s="8" t="n"/>
    </row>
    <row r="97">
      <c r="A97" s="8" t="inlineStr">
        <is>
          <t>sN</t>
        </is>
      </c>
      <c r="B97" s="8" t="inlineStr">
        <is>
          <t>Hệ số trượt định mức</t>
        </is>
      </c>
      <c r="C97" s="8" t="inlineStr">
        <is>
          <t>s_N</t>
        </is>
      </c>
      <c r="D97" s="14">
        <f>($D$96-Catalogue!$F$6)/$D$96</f>
        <v/>
      </c>
      <c r="E97" s="8" t="inlineStr">
        <is>
          <t>-</t>
        </is>
      </c>
      <c r="F97" s="8" t="n"/>
      <c r="G97" s="8" t="n"/>
    </row>
    <row r="98">
      <c r="A98" s="8" t="inlineStr">
        <is>
          <t>Uph</t>
        </is>
      </c>
      <c r="B98" s="8" t="inlineStr">
        <is>
          <t>Điện áp pha</t>
        </is>
      </c>
      <c r="C98" s="8" t="inlineStr">
        <is>
          <t>U_f</t>
        </is>
      </c>
      <c r="D98" s="14">
        <f>GiaDinh_K3!$D$29/SQRT(3)</f>
        <v/>
      </c>
      <c r="E98" s="8" t="inlineStr">
        <is>
          <t>V</t>
        </is>
      </c>
      <c r="F98" s="8" t="inlineStr">
        <is>
          <t>Đấu Y</t>
        </is>
      </c>
      <c r="G98" s="8" t="n"/>
    </row>
    <row r="99">
      <c r="A99" s="8" t="inlineStr">
        <is>
          <t>ws</t>
        </is>
      </c>
      <c r="B99" s="8" t="inlineStr">
        <is>
          <t>Tần số góc nguồn</t>
        </is>
      </c>
      <c r="C99" s="8" t="inlineStr">
        <is>
          <t>ω_s</t>
        </is>
      </c>
      <c r="D99" s="14">
        <f>2*PI()*GiaDinh_K3!$D$6</f>
        <v/>
      </c>
      <c r="E99" s="8" t="inlineStr">
        <is>
          <t>rad/s</t>
        </is>
      </c>
      <c r="F99" s="8" t="n"/>
      <c r="G99" s="8" t="n"/>
    </row>
    <row r="100">
      <c r="A100" s="8" t="inlineStr">
        <is>
          <t>Xm</t>
        </is>
      </c>
      <c r="B100" s="8" t="inlineStr">
        <is>
          <t>Điện kháng từ hóa</t>
        </is>
      </c>
      <c r="C100" s="8" t="inlineStr">
        <is>
          <t>X_m</t>
        </is>
      </c>
      <c r="D100" s="15">
        <f>$D$98/$D$69</f>
        <v/>
      </c>
      <c r="E100" s="8" t="inlineStr">
        <is>
          <t>Ω</t>
        </is>
      </c>
      <c r="F100" s="8" t="n"/>
      <c r="G100" s="8" t="inlineStr">
        <is>
          <t>Sơ đồ Γ</t>
        </is>
      </c>
    </row>
    <row r="101">
      <c r="A101" s="8" t="inlineStr">
        <is>
          <t>cos_r</t>
        </is>
      </c>
      <c r="B101" s="8" t="inlineStr">
        <is>
          <t>cosφ nhánh rotor</t>
        </is>
      </c>
      <c r="C101" s="8" t="inlineStr">
        <is>
          <t>cosφ_r</t>
        </is>
      </c>
      <c r="D101" s="15">
        <f>$D$68/SQRT(1+$D$68^2)</f>
        <v/>
      </c>
      <c r="E101" s="8" t="inlineStr">
        <is>
          <t>-</t>
        </is>
      </c>
      <c r="F101" s="8" t="n"/>
      <c r="G101" s="8" t="n"/>
    </row>
    <row r="102">
      <c r="A102" s="8" t="inlineStr">
        <is>
          <t>Ir</t>
        </is>
      </c>
      <c r="B102" s="8" t="inlineStr">
        <is>
          <t>Dòng rotor quy đổi định mức</t>
        </is>
      </c>
      <c r="C102" s="8" t="inlineStr">
        <is>
          <t>I_r'</t>
        </is>
      </c>
      <c r="D102" s="14">
        <f>Catalogue!$F$7*Catalogue!$F$8/$D$101</f>
        <v/>
      </c>
      <c r="E102" s="8" t="inlineStr">
        <is>
          <t>A</t>
        </is>
      </c>
      <c r="F102" s="8" t="n"/>
      <c r="G102" s="8" t="n"/>
    </row>
    <row r="103">
      <c r="A103" s="8" t="inlineStr">
        <is>
          <t>Zr</t>
        </is>
      </c>
      <c r="B103" s="8" t="inlineStr">
        <is>
          <t>Tổng trở nhánh rotor</t>
        </is>
      </c>
      <c r="C103" s="8" t="inlineStr">
        <is>
          <t>Z_r</t>
        </is>
      </c>
      <c r="D103" s="15">
        <f>$D$98/$D$102</f>
        <v/>
      </c>
      <c r="E103" s="8" t="inlineStr">
        <is>
          <t>Ω</t>
        </is>
      </c>
      <c r="F103" s="8" t="n"/>
      <c r="G103" s="8" t="n"/>
    </row>
    <row r="104">
      <c r="A104" s="8" t="inlineStr">
        <is>
          <t>Rr</t>
        </is>
      </c>
      <c r="B104" s="8" t="inlineStr">
        <is>
          <t>Điện trở rotor quy đổi</t>
        </is>
      </c>
      <c r="C104" s="8" t="inlineStr">
        <is>
          <t>R_r'</t>
        </is>
      </c>
      <c r="D104" s="15">
        <f>$D$103*$D$101*$D$97</f>
        <v/>
      </c>
      <c r="E104" s="8" t="inlineStr">
        <is>
          <t>Ω</t>
        </is>
      </c>
      <c r="F104" s="8" t="n"/>
      <c r="G104" s="8" t="n"/>
    </row>
    <row r="105">
      <c r="A105" s="8" t="inlineStr">
        <is>
          <t>Xk</t>
        </is>
      </c>
      <c r="B105" s="8" t="inlineStr">
        <is>
          <t>Điện kháng tản tổng</t>
        </is>
      </c>
      <c r="C105" s="8" t="inlineStr">
        <is>
          <t>X_k</t>
        </is>
      </c>
      <c r="D105" s="15">
        <f>$D$103*SQRT(1-$D$101^2)</f>
        <v/>
      </c>
      <c r="E105" s="8" t="inlineStr">
        <is>
          <t>Ω</t>
        </is>
      </c>
      <c r="F105" s="8" t="n"/>
      <c r="G105" s="8" t="n"/>
    </row>
    <row r="106">
      <c r="A106" s="8" t="inlineStr">
        <is>
          <t>Ploss</t>
        </is>
      </c>
      <c r="B106" s="8" t="inlineStr">
        <is>
          <t>Tổng tổn hao định mức</t>
        </is>
      </c>
      <c r="C106" s="8" t="inlineStr">
        <is>
          <t>ΣΔP</t>
        </is>
      </c>
      <c r="D106" s="14">
        <f>Catalogue!$F$4*1000/Catalogue!$F$9-Catalogue!$F$4*1000</f>
        <v/>
      </c>
      <c r="E106" s="8" t="inlineStr">
        <is>
          <t>W</t>
        </is>
      </c>
      <c r="F106" s="8" t="n"/>
      <c r="G106" s="8" t="n"/>
    </row>
    <row r="107">
      <c r="A107" s="8" t="inlineStr">
        <is>
          <t>Pcu2</t>
        </is>
      </c>
      <c r="B107" s="8" t="inlineStr">
        <is>
          <t>Tổn hao đồng rotor</t>
        </is>
      </c>
      <c r="C107" s="8" t="inlineStr">
        <is>
          <t>ΔP_Cu2</t>
        </is>
      </c>
      <c r="D107" s="14">
        <f>$D$97/(1-$D$97)*Catalogue!$F$4*1000</f>
        <v/>
      </c>
      <c r="E107" s="8" t="inlineStr">
        <is>
          <t>W</t>
        </is>
      </c>
      <c r="F107" s="8" t="n"/>
      <c r="G107" s="8" t="n"/>
    </row>
    <row r="108">
      <c r="A108" s="8" t="inlineStr">
        <is>
          <t>Pcu1</t>
        </is>
      </c>
      <c r="B108" s="8" t="inlineStr">
        <is>
          <t>Tổn hao đồng stator</t>
        </is>
      </c>
      <c r="C108" s="8" t="inlineStr">
        <is>
          <t>ΔP_Cu1</t>
        </is>
      </c>
      <c r="D108" s="14">
        <f>$D$106*(1-GiaDinh_K3!$D$26)-$D$107</f>
        <v/>
      </c>
      <c r="E108" s="8" t="inlineStr">
        <is>
          <t>W</t>
        </is>
      </c>
      <c r="F108" s="8" t="n"/>
      <c r="G108" s="8" t="n"/>
    </row>
    <row r="109">
      <c r="A109" s="8" t="inlineStr">
        <is>
          <t>Rs</t>
        </is>
      </c>
      <c r="B109" s="8" t="inlineStr">
        <is>
          <t>Điện trở stator</t>
        </is>
      </c>
      <c r="C109" s="8" t="inlineStr">
        <is>
          <t>R_s</t>
        </is>
      </c>
      <c r="D109" s="14">
        <f>$D$108/(3*Catalogue!$F$7^2)</f>
        <v/>
      </c>
      <c r="E109" s="8" t="inlineStr">
        <is>
          <t>Ω</t>
        </is>
      </c>
      <c r="F109" s="8" t="n"/>
      <c r="G109" s="8" t="n"/>
    </row>
    <row r="110">
      <c r="A110" s="8" t="inlineStr">
        <is>
          <t>Lm</t>
        </is>
      </c>
      <c r="B110" s="8" t="inlineStr">
        <is>
          <t>Hỗ cảm</t>
        </is>
      </c>
      <c r="C110" s="8" t="inlineStr">
        <is>
          <t>L_m</t>
        </is>
      </c>
      <c r="D110" s="15">
        <f>$D$100/$D$99</f>
        <v/>
      </c>
      <c r="E110" s="8" t="inlineStr">
        <is>
          <t>H</t>
        </is>
      </c>
      <c r="F110" s="8" t="n"/>
      <c r="G110" s="8" t="n"/>
    </row>
    <row r="111">
      <c r="A111" s="8" t="inlineStr">
        <is>
          <t>Lss</t>
        </is>
      </c>
      <c r="B111" s="8" t="inlineStr">
        <is>
          <t>Điện cảm tản stator</t>
        </is>
      </c>
      <c r="C111" s="8" t="inlineStr">
        <is>
          <t>L_σs</t>
        </is>
      </c>
      <c r="D111" s="14">
        <f>GiaDinh_K3!$D$27*$D$105/$D$99</f>
        <v/>
      </c>
      <c r="E111" s="8" t="inlineStr">
        <is>
          <t>H</t>
        </is>
      </c>
      <c r="F111" s="8" t="n"/>
      <c r="G111" s="8" t="n"/>
    </row>
    <row r="112">
      <c r="A112" s="8" t="inlineStr">
        <is>
          <t>Lsr</t>
        </is>
      </c>
      <c r="B112" s="8" t="inlineStr">
        <is>
          <t>Điện cảm tản rotor</t>
        </is>
      </c>
      <c r="C112" s="8" t="inlineStr">
        <is>
          <t>L_σr</t>
        </is>
      </c>
      <c r="D112" s="14">
        <f>(1-GiaDinh_K3!$D$27)*$D$105/$D$99</f>
        <v/>
      </c>
      <c r="E112" s="8" t="inlineStr">
        <is>
          <t>H</t>
        </is>
      </c>
      <c r="F112" s="8" t="n"/>
      <c r="G112" s="8" t="n"/>
    </row>
    <row r="113">
      <c r="A113" s="8" t="inlineStr">
        <is>
          <t>Ls</t>
        </is>
      </c>
      <c r="B113" s="8" t="inlineStr">
        <is>
          <t>Điện cảm stator</t>
        </is>
      </c>
      <c r="C113" s="8" t="inlineStr">
        <is>
          <t>L_s</t>
        </is>
      </c>
      <c r="D113" s="15">
        <f>$D$110+$D$111</f>
        <v/>
      </c>
      <c r="E113" s="8" t="inlineStr">
        <is>
          <t>H</t>
        </is>
      </c>
      <c r="F113" s="8" t="n"/>
      <c r="G113" s="8" t="n"/>
    </row>
    <row r="114">
      <c r="A114" s="8" t="inlineStr">
        <is>
          <t>Lr</t>
        </is>
      </c>
      <c r="B114" s="8" t="inlineStr">
        <is>
          <t>Điện cảm rotor</t>
        </is>
      </c>
      <c r="C114" s="8" t="inlineStr">
        <is>
          <t>L_r</t>
        </is>
      </c>
      <c r="D114" s="15">
        <f>$D$110+$D$112</f>
        <v/>
      </c>
      <c r="E114" s="8" t="inlineStr">
        <is>
          <t>H</t>
        </is>
      </c>
      <c r="F114" s="8" t="n"/>
      <c r="G114" s="8" t="n"/>
    </row>
    <row r="115">
      <c r="A115" s="8" t="inlineStr">
        <is>
          <t>sig</t>
        </is>
      </c>
      <c r="B115" s="8" t="inlineStr">
        <is>
          <t>Hệ số tản</t>
        </is>
      </c>
      <c r="C115" s="8" t="inlineStr">
        <is>
          <t>σ</t>
        </is>
      </c>
      <c r="D115" s="15">
        <f>1-$D$110^2/($D$113*$D$114)</f>
        <v/>
      </c>
      <c r="E115" s="8" t="inlineStr">
        <is>
          <t>-</t>
        </is>
      </c>
      <c r="F115" s="8" t="n"/>
      <c r="G115" s="8" t="n"/>
    </row>
    <row r="116">
      <c r="A116" s="8" t="inlineStr">
        <is>
          <t>Tr</t>
        </is>
      </c>
      <c r="B116" s="8" t="inlineStr">
        <is>
          <t>Hằng số thời gian rotor</t>
        </is>
      </c>
      <c r="C116" s="8" t="inlineStr">
        <is>
          <t>T_r</t>
        </is>
      </c>
      <c r="D116" s="15">
        <f>$D$114/$D$104</f>
        <v/>
      </c>
      <c r="E116" s="8" t="inlineStr">
        <is>
          <t>s</t>
        </is>
      </c>
      <c r="F116" s="8" t="n"/>
      <c r="G116" s="8" t="inlineStr">
        <is>
          <t>Bài 2.3 slide 33</t>
        </is>
      </c>
    </row>
    <row r="117">
      <c r="A117" s="8" t="inlineStr">
        <is>
          <t>kr</t>
        </is>
      </c>
      <c r="B117" s="8" t="inlineStr">
        <is>
          <t>Hệ số ghép rotor</t>
        </is>
      </c>
      <c r="C117" s="8" t="inlineStr">
        <is>
          <t>k_r</t>
        </is>
      </c>
      <c r="D117" s="15">
        <f>$D$110/$D$114</f>
        <v/>
      </c>
      <c r="E117" s="8" t="inlineStr">
        <is>
          <t>-</t>
        </is>
      </c>
      <c r="F117" s="8" t="n"/>
      <c r="G117" s="8" t="inlineStr">
        <is>
          <t>Bài 2.3 slide 33</t>
        </is>
      </c>
    </row>
    <row r="118">
      <c r="A118" s="8" t="inlineStr">
        <is>
          <t>Re</t>
        </is>
      </c>
      <c r="B118" s="8" t="inlineStr">
        <is>
          <t>Điện trở tương đương mạch dòng</t>
        </is>
      </c>
      <c r="C118" s="8" t="inlineStr">
        <is>
          <t>R_e</t>
        </is>
      </c>
      <c r="D118" s="15">
        <f>$D$109+$D$117^2*$D$104</f>
        <v/>
      </c>
      <c r="E118" s="8" t="inlineStr">
        <is>
          <t>Ω</t>
        </is>
      </c>
      <c r="F118" s="8" t="inlineStr">
        <is>
          <t>R_s + k_r²R_r</t>
        </is>
      </c>
      <c r="G118" s="8" t="inlineStr">
        <is>
          <t>Bài 2.3 slide 34</t>
        </is>
      </c>
    </row>
    <row r="119">
      <c r="A119" s="8" t="inlineStr">
        <is>
          <t>Lsig</t>
        </is>
      </c>
      <c r="B119" s="8" t="inlineStr">
        <is>
          <t>Điện cảm tản tương đương</t>
        </is>
      </c>
      <c r="C119" s="8" t="inlineStr">
        <is>
          <t>L_σ = σL_s</t>
        </is>
      </c>
      <c r="D119" s="15">
        <f>$D$115*$D$113</f>
        <v/>
      </c>
      <c r="E119" s="8" t="inlineStr">
        <is>
          <t>H</t>
        </is>
      </c>
      <c r="F119" s="8" t="n"/>
      <c r="G119" s="8" t="inlineStr">
        <is>
          <t>Bài 2.3 slide 34</t>
        </is>
      </c>
    </row>
    <row r="120">
      <c r="A120" s="8" t="inlineStr">
        <is>
          <t>Te</t>
        </is>
      </c>
      <c r="B120" s="8" t="inlineStr">
        <is>
          <t>Hằng số thời gian điện từ</t>
        </is>
      </c>
      <c r="C120" s="8" t="inlineStr">
        <is>
          <t>T_e = T_σ</t>
        </is>
      </c>
      <c r="D120" s="15">
        <f>$D$119/$D$118</f>
        <v/>
      </c>
      <c r="E120" s="8" t="inlineStr">
        <is>
          <t>s</t>
        </is>
      </c>
      <c r="F120" s="8" t="n"/>
      <c r="G120" s="8" t="inlineStr">
        <is>
          <t>Bài 2.3 slide 33</t>
        </is>
      </c>
    </row>
    <row r="121">
      <c r="A121" s="8" t="inlineStr">
        <is>
          <t>isdN</t>
        </is>
      </c>
      <c r="B121" s="8" t="inlineStr">
        <is>
          <t>Dòng từ hóa định mức (biên độ dq)</t>
        </is>
      </c>
      <c r="C121" s="8" t="inlineStr">
        <is>
          <t>i_sd,N</t>
        </is>
      </c>
      <c r="D121" s="15">
        <f>SQRT(2)*$D$69</f>
        <v/>
      </c>
      <c r="E121" s="8" t="inlineStr">
        <is>
          <t>A</t>
        </is>
      </c>
      <c r="F121" s="8" t="n"/>
      <c r="G121" s="8" t="n"/>
    </row>
    <row r="122">
      <c r="A122" s="8" t="inlineStr">
        <is>
          <t>psir</t>
        </is>
      </c>
      <c r="B122" s="8" t="inlineStr">
        <is>
          <t>Từ thông rotor định mức</t>
        </is>
      </c>
      <c r="C122" s="8" t="inlineStr">
        <is>
          <t>ψ_r</t>
        </is>
      </c>
      <c r="D122" s="15">
        <f>$D$110*$D$121</f>
        <v/>
      </c>
      <c r="E122" s="8" t="inlineStr">
        <is>
          <t>Wb</t>
        </is>
      </c>
      <c r="F122" s="8" t="n"/>
      <c r="G122" s="8" t="n"/>
    </row>
    <row r="123">
      <c r="A123" s="8" t="inlineStr">
        <is>
          <t>kM</t>
        </is>
      </c>
      <c r="B123" s="8" t="inlineStr">
        <is>
          <t>Hệ số mô-men</t>
        </is>
      </c>
      <c r="C123" s="8" t="inlineStr">
        <is>
          <t>k_M</t>
        </is>
      </c>
      <c r="D123" s="14">
        <f>1.5*GiaDinh_K3!$D$28*$D$110/$D$114*$D$122</f>
        <v/>
      </c>
      <c r="E123" s="8" t="inlineStr">
        <is>
          <t>N·m/A</t>
        </is>
      </c>
      <c r="F123" s="8" t="inlineStr">
        <is>
          <t>M_e = k_M·i_sq</t>
        </is>
      </c>
      <c r="G123" s="8" t="inlineStr">
        <is>
          <t>WORKFLOW §4.2-D2</t>
        </is>
      </c>
    </row>
    <row r="124">
      <c r="A124" s="8" t="inlineStr">
        <is>
          <t>isqN</t>
        </is>
      </c>
      <c r="B124" s="8" t="inlineStr">
        <is>
          <t>Dòng mô-men định mức (biên độ)</t>
        </is>
      </c>
      <c r="C124" s="8" t="inlineStr">
        <is>
          <t>i_sq,N</t>
        </is>
      </c>
      <c r="D124" s="14">
        <f>Catalogue!$F$5/$D$123</f>
        <v/>
      </c>
      <c r="E124" s="8" t="inlineStr">
        <is>
          <t>A</t>
        </is>
      </c>
      <c r="F124" s="8" t="n"/>
      <c r="G124" s="8" t="n"/>
    </row>
    <row r="125">
      <c r="A125" s="8" t="inlineStr">
        <is>
          <t>isqmax</t>
        </is>
      </c>
      <c r="B125" s="8" t="inlineStr">
        <is>
          <t>Dòng mô-men giới hạn chống trượt</t>
        </is>
      </c>
      <c r="C125" s="8" t="inlineStr">
        <is>
          <t>i_sq,lim</t>
        </is>
      </c>
      <c r="D125" s="14">
        <f>$D$12/1.2*$D$23/Params!$C$16/$D$123</f>
        <v/>
      </c>
      <c r="E125" s="8" t="inlineStr">
        <is>
          <t>A</t>
        </is>
      </c>
      <c r="F125" s="8" t="inlineStr">
        <is>
          <t>F_k ≤ F_bám/1.2 (chưa kể quán tính rotor)</t>
        </is>
      </c>
      <c r="G125" s="8" t="inlineStr">
        <is>
          <t>SRS-PERM-01</t>
        </is>
      </c>
    </row>
    <row r="126" ht="15" customHeight="1">
      <c r="A126" s="6" t="inlineStr">
        <is>
          <t>K. PI dòng điện — Tối ưu Module (Bài 2.1 slide 26-27; WORKFLOW §4.2-D2)</t>
        </is>
      </c>
      <c r="B126" s="7" t="n"/>
      <c r="C126" s="7" t="n"/>
      <c r="D126" s="7" t="n"/>
      <c r="E126" s="7" t="n"/>
      <c r="F126" s="7" t="n"/>
      <c r="G126" s="7" t="n"/>
    </row>
    <row r="127">
      <c r="A127" s="8" t="inlineStr">
        <is>
          <t>Tmu</t>
        </is>
      </c>
      <c r="B127" s="8" t="inlineStr">
        <is>
          <t>Hằng số thời gian nhỏ không bù</t>
        </is>
      </c>
      <c r="C127" s="8" t="inlineStr">
        <is>
          <t>T_μi</t>
        </is>
      </c>
      <c r="D127" s="14">
        <f>GiaDinh_K3!$D$23/GiaDinh_K3!$D$22</f>
        <v/>
      </c>
      <c r="E127" s="8" t="inlineStr">
        <is>
          <t>s</t>
        </is>
      </c>
      <c r="F127" s="8" t="n"/>
      <c r="G127" s="8" t="n"/>
    </row>
    <row r="128">
      <c r="A128" s="8" t="inlineStr">
        <is>
          <t>Kpi</t>
        </is>
      </c>
      <c r="B128" s="8" t="inlineStr">
        <is>
          <t>Hệ số khuếch đại PI dòng</t>
        </is>
      </c>
      <c r="C128" s="8" t="inlineStr">
        <is>
          <t>K_p,I</t>
        </is>
      </c>
      <c r="D128" s="15">
        <f>$D$119/(2*$D$127)</f>
        <v/>
      </c>
      <c r="E128" s="8" t="inlineStr">
        <is>
          <t>V/A</t>
        </is>
      </c>
      <c r="F128" s="8" t="inlineStr">
        <is>
          <t>L_σ/(2T_μi)</t>
        </is>
      </c>
      <c r="G128" s="8" t="inlineStr">
        <is>
          <t>WORKFLOW §4.2-D2</t>
        </is>
      </c>
    </row>
    <row r="129">
      <c r="A129" s="8" t="inlineStr">
        <is>
          <t>Tii</t>
        </is>
      </c>
      <c r="B129" s="8" t="inlineStr">
        <is>
          <t>Hằng số tích phân PI dòng</t>
        </is>
      </c>
      <c r="C129" s="8" t="inlineStr">
        <is>
          <t>T_i,I</t>
        </is>
      </c>
      <c r="D129" s="15">
        <f>$D$120</f>
        <v/>
      </c>
      <c r="E129" s="8" t="inlineStr">
        <is>
          <t>s</t>
        </is>
      </c>
      <c r="F129" s="8" t="inlineStr">
        <is>
          <t>Bằng T_σ (bù hằng số thời gian lớn)</t>
        </is>
      </c>
      <c r="G129" s="8" t="inlineStr">
        <is>
          <t>WORKFLOW §4.2-D2</t>
        </is>
      </c>
    </row>
    <row r="130" ht="28.5" customHeight="1">
      <c r="A130" s="8" t="inlineStr">
        <is>
          <t>Kii</t>
        </is>
      </c>
      <c r="B130" s="8" t="inlineStr">
        <is>
          <t>Hệ số tích phân</t>
        </is>
      </c>
      <c r="C130" s="8" t="inlineStr">
        <is>
          <t>K_i,I = K_p/T_i</t>
        </is>
      </c>
      <c r="D130" s="15">
        <f>$D$128/$D$129</f>
        <v/>
      </c>
      <c r="E130" s="8" t="inlineStr">
        <is>
          <t>V/(A·s)</t>
        </is>
      </c>
      <c r="F130" s="8" t="n"/>
      <c r="G130" s="8" t="n"/>
    </row>
    <row r="131">
      <c r="A131" s="8" t="inlineStr">
        <is>
          <t>t_tq</t>
        </is>
      </c>
      <c r="B131" s="8" t="inlineStr">
        <is>
          <t>Thời gian tăng mô-men (MO, ≈ 4.7·T_μi)</t>
        </is>
      </c>
      <c r="C131" s="8" t="inlineStr">
        <is>
          <t>Δt_torque</t>
        </is>
      </c>
      <c r="D131" s="15">
        <f>4.7*$D$127</f>
        <v/>
      </c>
      <c r="E131" s="8" t="inlineStr">
        <is>
          <t>s</t>
        </is>
      </c>
      <c r="F131" s="8" t="inlineStr">
        <is>
          <t>Đáp ứng bậc 2 tối ưu module</t>
        </is>
      </c>
      <c r="G131" s="8" t="inlineStr">
        <is>
          <t>Bài 2.1</t>
        </is>
      </c>
    </row>
    <row r="132" ht="15" customHeight="1">
      <c r="A132" s="6" t="inlineStr">
        <is>
          <t>L. PI tốc độ — Tối ưu Đối xứng (Bài 2.1 slide 28-30; WORKFLOW §4.2-D2)</t>
        </is>
      </c>
      <c r="B132" s="7" t="n"/>
      <c r="C132" s="7" t="n"/>
      <c r="D132" s="7" t="n"/>
      <c r="E132" s="7" t="n"/>
      <c r="F132" s="7" t="n"/>
      <c r="G132" s="7" t="n"/>
    </row>
    <row r="133">
      <c r="A133" s="8" t="inlineStr">
        <is>
          <t>TSw</t>
        </is>
      </c>
      <c r="B133" s="8" t="inlineStr">
        <is>
          <t>Tổng hằng số thời gian nhỏ vòng tốc độ</t>
        </is>
      </c>
      <c r="C133" s="8" t="inlineStr">
        <is>
          <t>T_Σω</t>
        </is>
      </c>
      <c r="D133" s="14">
        <f>2*$D$127+GiaDinh_K3!$D$24</f>
        <v/>
      </c>
      <c r="E133" s="8" t="inlineStr">
        <is>
          <t>s</t>
        </is>
      </c>
      <c r="F133" s="8" t="inlineStr">
        <is>
          <t>Vòng dòng kín ≈ 1/(1+2T_μi s) + lọc đo</t>
        </is>
      </c>
      <c r="G133" s="8" t="n"/>
    </row>
    <row r="134">
      <c r="A134" s="8" t="inlineStr">
        <is>
          <t>Jt</t>
        </is>
      </c>
      <c r="B134" s="8" t="inlineStr">
        <is>
          <t>Quán tính chỉnh định</t>
        </is>
      </c>
      <c r="C134" s="8" t="inlineStr">
        <is>
          <t>J_tune</t>
        </is>
      </c>
      <c r="D134" s="15">
        <f>SQRT($D$30*$D$31)</f>
        <v/>
      </c>
      <c r="E134" s="8" t="inlineStr">
        <is>
          <t>kg·m²</t>
        </is>
      </c>
      <c r="F134" s="8" t="inlineStr">
        <is>
          <t>√(J_max·J_min) — PM bằng nhau hai trạng thái tải</t>
        </is>
      </c>
      <c r="G134" s="8" t="inlineStr">
        <is>
          <t>SDD §4.3</t>
        </is>
      </c>
    </row>
    <row r="135">
      <c r="A135" s="8" t="inlineStr">
        <is>
          <t>Kpw</t>
        </is>
      </c>
      <c r="B135" s="8" t="inlineStr">
        <is>
          <t>Hệ số khuếch đại PI tốc độ</t>
        </is>
      </c>
      <c r="C135" s="8" t="inlineStr">
        <is>
          <t>K_p,ω</t>
        </is>
      </c>
      <c r="D135" s="15">
        <f>$D$134/(2*$D$123*$D$133)</f>
        <v/>
      </c>
      <c r="E135" s="8" t="inlineStr">
        <is>
          <t>A·s/rad</t>
        </is>
      </c>
      <c r="F135" s="8" t="inlineStr">
        <is>
          <t>J/(2k_M T_Σω)</t>
        </is>
      </c>
      <c r="G135" s="8" t="inlineStr">
        <is>
          <t>WORKFLOW §4.2-D2</t>
        </is>
      </c>
    </row>
    <row r="136">
      <c r="A136" s="8" t="inlineStr">
        <is>
          <t>Tiw</t>
        </is>
      </c>
      <c r="B136" s="8" t="inlineStr">
        <is>
          <t>Hằng số tích phân PI tốc độ</t>
        </is>
      </c>
      <c r="C136" s="8" t="inlineStr">
        <is>
          <t>T_i,ω</t>
        </is>
      </c>
      <c r="D136" s="15">
        <f>4*$D$133</f>
        <v/>
      </c>
      <c r="E136" s="8" t="inlineStr">
        <is>
          <t>s</t>
        </is>
      </c>
      <c r="F136" s="8" t="inlineStr">
        <is>
          <t>4T_Σω</t>
        </is>
      </c>
      <c r="G136" s="8" t="inlineStr">
        <is>
          <t>WORKFLOW §4.2-D2</t>
        </is>
      </c>
    </row>
    <row r="137">
      <c r="A137" s="8" t="inlineStr">
        <is>
          <t>Tpre</t>
        </is>
      </c>
      <c r="B137" s="8" t="inlineStr">
        <is>
          <t>Hằng số lọc lượng đặt (tùy chọn)</t>
        </is>
      </c>
      <c r="C137" s="8" t="inlineStr">
        <is>
          <t>T_pre</t>
        </is>
      </c>
      <c r="D137" s="15">
        <f>4*$D$133</f>
        <v/>
      </c>
      <c r="E137" s="8" t="inlineStr">
        <is>
          <t>s</t>
        </is>
      </c>
      <c r="F137" s="8" t="inlineStr">
        <is>
          <t>Khử điểm không của SO</t>
        </is>
      </c>
      <c r="G137" s="8" t="inlineStr">
        <is>
          <t>Bài 2.1 slide 28</t>
        </is>
      </c>
    </row>
    <row r="138">
      <c r="A138" s="8" t="inlineStr">
        <is>
          <t>kap1</t>
        </is>
      </c>
      <c r="B138" s="8" t="inlineStr">
        <is>
          <t>Hệ số lệch khuếch đại vòng (đầy tải)</t>
        </is>
      </c>
      <c r="C138" s="8" t="inlineStr">
        <is>
          <t>κ</t>
        </is>
      </c>
      <c r="D138" s="15">
        <f>$D$134/$D$30</f>
        <v/>
      </c>
      <c r="E138" s="8" t="inlineStr">
        <is>
          <t>-</t>
        </is>
      </c>
      <c r="F138" s="8" t="n"/>
      <c r="G138" s="8" t="n"/>
    </row>
    <row r="139">
      <c r="A139" s="8" t="inlineStr">
        <is>
          <t>kap0</t>
        </is>
      </c>
      <c r="B139" s="8" t="inlineStr">
        <is>
          <t>Hệ số lệch khuếch đại vòng (không tải)</t>
        </is>
      </c>
      <c r="C139" s="8" t="inlineStr">
        <is>
          <t>κ₀</t>
        </is>
      </c>
      <c r="D139" s="15">
        <f>$D$134/$D$31</f>
        <v/>
      </c>
      <c r="E139" s="8" t="inlineStr">
        <is>
          <t>-</t>
        </is>
      </c>
      <c r="F139" s="8" t="n"/>
      <c r="G139" s="8" t="n"/>
    </row>
    <row r="140">
      <c r="A140" s="8" t="inlineStr">
        <is>
          <t>y1_1</t>
        </is>
      </c>
      <c r="B140" s="8" t="inlineStr">
        <is>
          <t>Lặp Newton 1 — điểm cắt (y = (T_Σω·ω_c)²), đầy tải</t>
        </is>
      </c>
      <c r="C140" s="8" t="inlineStr">
        <is>
          <t>y</t>
        </is>
      </c>
      <c r="D140" s="15">
        <f>($D$138)-(64*($D$138)^3+64*($D$138)^2-16*$D$138^2*($D$138)-$D$138^2)/(192*($D$138)^2+128*($D$138)-16*$D$138^2)</f>
        <v/>
      </c>
      <c r="E140" s="8" t="inlineStr">
        <is>
          <t>-</t>
        </is>
      </c>
      <c r="F140" s="8" t="inlineStr">
        <is>
          <t>Giải |L(jω)| = 1</t>
        </is>
      </c>
      <c r="G140" s="8" t="inlineStr">
        <is>
          <t>Tự dẫn</t>
        </is>
      </c>
    </row>
    <row r="141">
      <c r="A141" s="8" t="inlineStr">
        <is>
          <t>y1_2</t>
        </is>
      </c>
      <c r="B141" s="8" t="inlineStr">
        <is>
          <t>Lặp Newton 2 — điểm cắt (y = (T_Σω·ω_c)²), đầy tải</t>
        </is>
      </c>
      <c r="C141" s="8" t="inlineStr">
        <is>
          <t>y</t>
        </is>
      </c>
      <c r="D141" s="15">
        <f>($D$140)-(64*($D$140)^3+64*($D$140)^2-16*$D$138^2*($D$140)-$D$138^2)/(192*($D$140)^2+128*($D$140)-16*$D$138^2)</f>
        <v/>
      </c>
      <c r="E141" s="8" t="inlineStr">
        <is>
          <t>-</t>
        </is>
      </c>
      <c r="F141" s="8" t="inlineStr">
        <is>
          <t>Giải |L(jω)| = 1</t>
        </is>
      </c>
      <c r="G141" s="8" t="inlineStr">
        <is>
          <t>Tự dẫn</t>
        </is>
      </c>
    </row>
    <row r="142">
      <c r="A142" s="8" t="inlineStr">
        <is>
          <t>y1_3</t>
        </is>
      </c>
      <c r="B142" s="8" t="inlineStr">
        <is>
          <t>Lặp Newton 3 — điểm cắt (y = (T_Σω·ω_c)²), đầy tải</t>
        </is>
      </c>
      <c r="C142" s="8" t="inlineStr">
        <is>
          <t>y</t>
        </is>
      </c>
      <c r="D142" s="15">
        <f>($D$141)-(64*($D$141)^3+64*($D$141)^2-16*$D$138^2*($D$141)-$D$138^2)/(192*($D$141)^2+128*($D$141)-16*$D$138^2)</f>
        <v/>
      </c>
      <c r="E142" s="8" t="inlineStr">
        <is>
          <t>-</t>
        </is>
      </c>
      <c r="F142" s="8" t="inlineStr">
        <is>
          <t>Giải |L(jω)| = 1</t>
        </is>
      </c>
      <c r="G142" s="8" t="inlineStr">
        <is>
          <t>Tự dẫn</t>
        </is>
      </c>
    </row>
    <row r="143">
      <c r="A143" s="8" t="inlineStr">
        <is>
          <t>y1_4</t>
        </is>
      </c>
      <c r="B143" s="8" t="inlineStr">
        <is>
          <t>Lặp Newton 4 — điểm cắt (y = (T_Σω·ω_c)²), đầy tải</t>
        </is>
      </c>
      <c r="C143" s="8" t="inlineStr">
        <is>
          <t>y</t>
        </is>
      </c>
      <c r="D143" s="15">
        <f>($D$142)-(64*($D$142)^3+64*($D$142)^2-16*$D$138^2*($D$142)-$D$138^2)/(192*($D$142)^2+128*($D$142)-16*$D$138^2)</f>
        <v/>
      </c>
      <c r="E143" s="8" t="inlineStr">
        <is>
          <t>-</t>
        </is>
      </c>
      <c r="F143" s="8" t="inlineStr">
        <is>
          <t>Giải |L(jω)| = 1</t>
        </is>
      </c>
      <c r="G143" s="8" t="inlineStr">
        <is>
          <t>Tự dẫn</t>
        </is>
      </c>
    </row>
    <row r="144">
      <c r="A144" s="8" t="inlineStr">
        <is>
          <t>y1_5</t>
        </is>
      </c>
      <c r="B144" s="8" t="inlineStr">
        <is>
          <t>Lặp Newton 5 — điểm cắt (y = (T_Σω·ω_c)²), đầy tải</t>
        </is>
      </c>
      <c r="C144" s="8" t="inlineStr">
        <is>
          <t>y</t>
        </is>
      </c>
      <c r="D144" s="15">
        <f>($D$143)-(64*($D$143)^3+64*($D$143)^2-16*$D$138^2*($D$143)-$D$138^2)/(192*($D$143)^2+128*($D$143)-16*$D$138^2)</f>
        <v/>
      </c>
      <c r="E144" s="8" t="inlineStr">
        <is>
          <t>-</t>
        </is>
      </c>
      <c r="F144" s="8" t="inlineStr">
        <is>
          <t>Giải |L(jω)| = 1</t>
        </is>
      </c>
      <c r="G144" s="8" t="inlineStr">
        <is>
          <t>Tự dẫn</t>
        </is>
      </c>
    </row>
    <row r="145">
      <c r="A145" s="8" t="inlineStr">
        <is>
          <t>y1_6</t>
        </is>
      </c>
      <c r="B145" s="8" t="inlineStr">
        <is>
          <t>Lặp Newton 6 — điểm cắt (y = (T_Σω·ω_c)²), đầy tải</t>
        </is>
      </c>
      <c r="C145" s="8" t="inlineStr">
        <is>
          <t>y</t>
        </is>
      </c>
      <c r="D145" s="15">
        <f>($D$144)-(64*($D$144)^3+64*($D$144)^2-16*$D$138^2*($D$144)-$D$138^2)/(192*($D$144)^2+128*($D$144)-16*$D$138^2)</f>
        <v/>
      </c>
      <c r="E145" s="8" t="inlineStr">
        <is>
          <t>-</t>
        </is>
      </c>
      <c r="F145" s="8" t="inlineStr">
        <is>
          <t>Giải |L(jω)| = 1</t>
        </is>
      </c>
      <c r="G145" s="8" t="inlineStr">
        <is>
          <t>Tự dẫn</t>
        </is>
      </c>
    </row>
    <row r="146">
      <c r="A146" s="8" t="inlineStr">
        <is>
          <t>y1_7</t>
        </is>
      </c>
      <c r="B146" s="8" t="inlineStr">
        <is>
          <t>Lặp Newton 7 — điểm cắt (y = (T_Σω·ω_c)²), đầy tải</t>
        </is>
      </c>
      <c r="C146" s="8" t="inlineStr">
        <is>
          <t>y</t>
        </is>
      </c>
      <c r="D146" s="15">
        <f>($D$145)-(64*($D$145)^3+64*($D$145)^2-16*$D$138^2*($D$145)-$D$138^2)/(192*($D$145)^2+128*($D$145)-16*$D$138^2)</f>
        <v/>
      </c>
      <c r="E146" s="8" t="inlineStr">
        <is>
          <t>-</t>
        </is>
      </c>
      <c r="F146" s="8" t="inlineStr">
        <is>
          <t>Giải |L(jω)| = 1</t>
        </is>
      </c>
      <c r="G146" s="8" t="inlineStr">
        <is>
          <t>Tự dẫn</t>
        </is>
      </c>
    </row>
    <row r="147">
      <c r="A147" s="8" t="inlineStr">
        <is>
          <t>y1_8</t>
        </is>
      </c>
      <c r="B147" s="8" t="inlineStr">
        <is>
          <t>Lặp Newton 8 — điểm cắt (y = (T_Σω·ω_c)²), đầy tải</t>
        </is>
      </c>
      <c r="C147" s="8" t="inlineStr">
        <is>
          <t>y</t>
        </is>
      </c>
      <c r="D147" s="15">
        <f>($D$146)-(64*($D$146)^3+64*($D$146)^2-16*$D$138^2*($D$146)-$D$138^2)/(192*($D$146)^2+128*($D$146)-16*$D$138^2)</f>
        <v/>
      </c>
      <c r="E147" s="8" t="inlineStr">
        <is>
          <t>-</t>
        </is>
      </c>
      <c r="F147" s="8" t="inlineStr">
        <is>
          <t>Giải |L(jω)| = 1</t>
        </is>
      </c>
      <c r="G147" s="8" t="inlineStr">
        <is>
          <t>Tự dẫn</t>
        </is>
      </c>
    </row>
    <row r="148">
      <c r="A148" s="8" t="inlineStr">
        <is>
          <t>y1_9</t>
        </is>
      </c>
      <c r="B148" s="8" t="inlineStr">
        <is>
          <t>Lặp Newton 9 — điểm cắt (y = (T_Σω·ω_c)²), đầy tải</t>
        </is>
      </c>
      <c r="C148" s="8" t="inlineStr">
        <is>
          <t>y</t>
        </is>
      </c>
      <c r="D148" s="15">
        <f>($D$147)-(64*($D$147)^3+64*($D$147)^2-16*$D$138^2*($D$147)-$D$138^2)/(192*($D$147)^2+128*($D$147)-16*$D$138^2)</f>
        <v/>
      </c>
      <c r="E148" s="8" t="inlineStr">
        <is>
          <t>-</t>
        </is>
      </c>
      <c r="F148" s="8" t="inlineStr">
        <is>
          <t>Giải |L(jω)| = 1</t>
        </is>
      </c>
      <c r="G148" s="8" t="inlineStr">
        <is>
          <t>Tự dẫn</t>
        </is>
      </c>
    </row>
    <row r="149">
      <c r="A149" s="8" t="inlineStr">
        <is>
          <t>y1_10</t>
        </is>
      </c>
      <c r="B149" s="8" t="inlineStr">
        <is>
          <t>Lặp Newton 10 — điểm cắt (y = (T_Σω·ω_c)²), đầy tải</t>
        </is>
      </c>
      <c r="C149" s="8" t="inlineStr">
        <is>
          <t>y</t>
        </is>
      </c>
      <c r="D149" s="15">
        <f>($D$148)-(64*($D$148)^3+64*($D$148)^2-16*$D$138^2*($D$148)-$D$138^2)/(192*($D$148)^2+128*($D$148)-16*$D$138^2)</f>
        <v/>
      </c>
      <c r="E149" s="8" t="inlineStr">
        <is>
          <t>-</t>
        </is>
      </c>
      <c r="F149" s="8" t="inlineStr">
        <is>
          <t>Giải |L(jω)| = 1</t>
        </is>
      </c>
      <c r="G149" s="8" t="inlineStr">
        <is>
          <t>Tự dẫn</t>
        </is>
      </c>
    </row>
    <row r="150">
      <c r="A150" s="8" t="inlineStr">
        <is>
          <t>y1_11</t>
        </is>
      </c>
      <c r="B150" s="8" t="inlineStr">
        <is>
          <t>Lặp Newton 11 — điểm cắt (y = (T_Σω·ω_c)²), đầy tải</t>
        </is>
      </c>
      <c r="C150" s="8" t="inlineStr">
        <is>
          <t>y</t>
        </is>
      </c>
      <c r="D150" s="15">
        <f>($D$149)-(64*($D$149)^3+64*($D$149)^2-16*$D$138^2*($D$149)-$D$138^2)/(192*($D$149)^2+128*($D$149)-16*$D$138^2)</f>
        <v/>
      </c>
      <c r="E150" s="8" t="inlineStr">
        <is>
          <t>-</t>
        </is>
      </c>
      <c r="F150" s="8" t="inlineStr">
        <is>
          <t>Giải |L(jω)| = 1</t>
        </is>
      </c>
      <c r="G150" s="8" t="inlineStr">
        <is>
          <t>Tự dẫn</t>
        </is>
      </c>
    </row>
    <row r="151">
      <c r="A151" s="8" t="inlineStr">
        <is>
          <t>y1_12</t>
        </is>
      </c>
      <c r="B151" s="8" t="inlineStr">
        <is>
          <t>Lặp Newton 12 — điểm cắt (y = (T_Σω·ω_c)²), đầy tải</t>
        </is>
      </c>
      <c r="C151" s="8" t="inlineStr">
        <is>
          <t>y</t>
        </is>
      </c>
      <c r="D151" s="15">
        <f>($D$150)-(64*($D$150)^3+64*($D$150)^2-16*$D$138^2*($D$150)-$D$138^2)/(192*($D$150)^2+128*($D$150)-16*$D$138^2)</f>
        <v/>
      </c>
      <c r="E151" s="8" t="inlineStr">
        <is>
          <t>-</t>
        </is>
      </c>
      <c r="F151" s="8" t="inlineStr">
        <is>
          <t>Giải |L(jω)| = 1</t>
        </is>
      </c>
      <c r="G151" s="8" t="inlineStr">
        <is>
          <t>Tự dẫn</t>
        </is>
      </c>
    </row>
    <row r="152">
      <c r="A152" s="8" t="inlineStr">
        <is>
          <t>PM1</t>
        </is>
      </c>
      <c r="B152" s="8" t="inlineStr">
        <is>
          <t>Độ dự trữ pha vòng tốc độ (đầy tải)</t>
        </is>
      </c>
      <c r="C152" s="8" t="inlineStr">
        <is>
          <t>PM</t>
        </is>
      </c>
      <c r="D152" s="15">
        <f>DEGREES(ATAN(4*SQRT($D$151))-ATAN(SQRT($D$151)))</f>
        <v/>
      </c>
      <c r="E152" s="8" t="inlineStr">
        <is>
          <t>°</t>
        </is>
      </c>
      <c r="F152" s="8" t="inlineStr">
        <is>
          <t>atan(4x) − atan(x), x = T_Σω·ω_c</t>
        </is>
      </c>
      <c r="G152" s="8" t="inlineStr">
        <is>
          <t>Tự dẫn từ hàm truyền SO</t>
        </is>
      </c>
    </row>
    <row r="153">
      <c r="A153" s="8" t="inlineStr">
        <is>
          <t>wc1</t>
        </is>
      </c>
      <c r="B153" s="8" t="inlineStr">
        <is>
          <t>Tần số cắt (đầy tải)</t>
        </is>
      </c>
      <c r="C153" s="8" t="inlineStr">
        <is>
          <t>ω_c</t>
        </is>
      </c>
      <c r="D153" s="15">
        <f>SQRT($D$151)/$D$133</f>
        <v/>
      </c>
      <c r="E153" s="8" t="inlineStr">
        <is>
          <t>rad/s</t>
        </is>
      </c>
      <c r="F153" s="8" t="n"/>
      <c r="G153" s="8" t="n"/>
    </row>
    <row r="154" ht="28.5" customHeight="1">
      <c r="A154" s="8" t="inlineStr">
        <is>
          <t>y0_1</t>
        </is>
      </c>
      <c r="B154" s="8" t="inlineStr">
        <is>
          <t>Lặp Newton 1 — điểm cắt (y = (T_Σω·ω_c)²), không tải</t>
        </is>
      </c>
      <c r="C154" s="8" t="inlineStr">
        <is>
          <t>y</t>
        </is>
      </c>
      <c r="D154" s="15">
        <f>($D$139)-(64*($D$139)^3+64*($D$139)^2-16*$D$139^2*($D$139)-$D$139^2)/(192*($D$139)^2+128*($D$139)-16*$D$139^2)</f>
        <v/>
      </c>
      <c r="E154" s="8" t="inlineStr">
        <is>
          <t>-</t>
        </is>
      </c>
      <c r="F154" s="8" t="inlineStr">
        <is>
          <t>Giải |L(jω)| = 1</t>
        </is>
      </c>
      <c r="G154" s="8" t="inlineStr">
        <is>
          <t>Tự dẫn</t>
        </is>
      </c>
    </row>
    <row r="155" ht="28.5" customHeight="1">
      <c r="A155" s="8" t="inlineStr">
        <is>
          <t>y0_2</t>
        </is>
      </c>
      <c r="B155" s="8" t="inlineStr">
        <is>
          <t>Lặp Newton 2 — điểm cắt (y = (T_Σω·ω_c)²), không tải</t>
        </is>
      </c>
      <c r="C155" s="8" t="inlineStr">
        <is>
          <t>y</t>
        </is>
      </c>
      <c r="D155" s="15">
        <f>($D$154)-(64*($D$154)^3+64*($D$154)^2-16*$D$139^2*($D$154)-$D$139^2)/(192*($D$154)^2+128*($D$154)-16*$D$139^2)</f>
        <v/>
      </c>
      <c r="E155" s="8" t="inlineStr">
        <is>
          <t>-</t>
        </is>
      </c>
      <c r="F155" s="8" t="inlineStr">
        <is>
          <t>Giải |L(jω)| = 1</t>
        </is>
      </c>
      <c r="G155" s="8" t="inlineStr">
        <is>
          <t>Tự dẫn</t>
        </is>
      </c>
    </row>
    <row r="156" ht="28.5" customHeight="1">
      <c r="A156" s="8" t="inlineStr">
        <is>
          <t>y0_3</t>
        </is>
      </c>
      <c r="B156" s="8" t="inlineStr">
        <is>
          <t>Lặp Newton 3 — điểm cắt (y = (T_Σω·ω_c)²), không tải</t>
        </is>
      </c>
      <c r="C156" s="8" t="inlineStr">
        <is>
          <t>y</t>
        </is>
      </c>
      <c r="D156" s="15">
        <f>($D$155)-(64*($D$155)^3+64*($D$155)^2-16*$D$139^2*($D$155)-$D$139^2)/(192*($D$155)^2+128*($D$155)-16*$D$139^2)</f>
        <v/>
      </c>
      <c r="E156" s="8" t="inlineStr">
        <is>
          <t>-</t>
        </is>
      </c>
      <c r="F156" s="8" t="inlineStr">
        <is>
          <t>Giải |L(jω)| = 1</t>
        </is>
      </c>
      <c r="G156" s="8" t="inlineStr">
        <is>
          <t>Tự dẫn</t>
        </is>
      </c>
    </row>
    <row r="157" ht="28.5" customHeight="1">
      <c r="A157" s="8" t="inlineStr">
        <is>
          <t>y0_4</t>
        </is>
      </c>
      <c r="B157" s="8" t="inlineStr">
        <is>
          <t>Lặp Newton 4 — điểm cắt (y = (T_Σω·ω_c)²), không tải</t>
        </is>
      </c>
      <c r="C157" s="8" t="inlineStr">
        <is>
          <t>y</t>
        </is>
      </c>
      <c r="D157" s="15">
        <f>($D$156)-(64*($D$156)^3+64*($D$156)^2-16*$D$139^2*($D$156)-$D$139^2)/(192*($D$156)^2+128*($D$156)-16*$D$139^2)</f>
        <v/>
      </c>
      <c r="E157" s="8" t="inlineStr">
        <is>
          <t>-</t>
        </is>
      </c>
      <c r="F157" s="8" t="inlineStr">
        <is>
          <t>Giải |L(jω)| = 1</t>
        </is>
      </c>
      <c r="G157" s="8" t="inlineStr">
        <is>
          <t>Tự dẫn</t>
        </is>
      </c>
    </row>
    <row r="158" ht="28.5" customHeight="1">
      <c r="A158" s="8" t="inlineStr">
        <is>
          <t>y0_5</t>
        </is>
      </c>
      <c r="B158" s="8" t="inlineStr">
        <is>
          <t>Lặp Newton 5 — điểm cắt (y = (T_Σω·ω_c)²), không tải</t>
        </is>
      </c>
      <c r="C158" s="8" t="inlineStr">
        <is>
          <t>y</t>
        </is>
      </c>
      <c r="D158" s="15">
        <f>($D$157)-(64*($D$157)^3+64*($D$157)^2-16*$D$139^2*($D$157)-$D$139^2)/(192*($D$157)^2+128*($D$157)-16*$D$139^2)</f>
        <v/>
      </c>
      <c r="E158" s="8" t="inlineStr">
        <is>
          <t>-</t>
        </is>
      </c>
      <c r="F158" s="8" t="inlineStr">
        <is>
          <t>Giải |L(jω)| = 1</t>
        </is>
      </c>
      <c r="G158" s="8" t="inlineStr">
        <is>
          <t>Tự dẫn</t>
        </is>
      </c>
    </row>
    <row r="159" ht="28.5" customHeight="1">
      <c r="A159" s="8" t="inlineStr">
        <is>
          <t>y0_6</t>
        </is>
      </c>
      <c r="B159" s="8" t="inlineStr">
        <is>
          <t>Lặp Newton 6 — điểm cắt (y = (T_Σω·ω_c)²), không tải</t>
        </is>
      </c>
      <c r="C159" s="8" t="inlineStr">
        <is>
          <t>y</t>
        </is>
      </c>
      <c r="D159" s="15">
        <f>($D$158)-(64*($D$158)^3+64*($D$158)^2-16*$D$139^2*($D$158)-$D$139^2)/(192*($D$158)^2+128*($D$158)-16*$D$139^2)</f>
        <v/>
      </c>
      <c r="E159" s="8" t="inlineStr">
        <is>
          <t>-</t>
        </is>
      </c>
      <c r="F159" s="8" t="inlineStr">
        <is>
          <t>Giải |L(jω)| = 1</t>
        </is>
      </c>
      <c r="G159" s="8" t="inlineStr">
        <is>
          <t>Tự dẫn</t>
        </is>
      </c>
    </row>
    <row r="160" ht="28.5" customHeight="1">
      <c r="A160" s="8" t="inlineStr">
        <is>
          <t>y0_7</t>
        </is>
      </c>
      <c r="B160" s="8" t="inlineStr">
        <is>
          <t>Lặp Newton 7 — điểm cắt (y = (T_Σω·ω_c)²), không tải</t>
        </is>
      </c>
      <c r="C160" s="8" t="inlineStr">
        <is>
          <t>y</t>
        </is>
      </c>
      <c r="D160" s="15">
        <f>($D$159)-(64*($D$159)^3+64*($D$159)^2-16*$D$139^2*($D$159)-$D$139^2)/(192*($D$159)^2+128*($D$159)-16*$D$139^2)</f>
        <v/>
      </c>
      <c r="E160" s="8" t="inlineStr">
        <is>
          <t>-</t>
        </is>
      </c>
      <c r="F160" s="8" t="inlineStr">
        <is>
          <t>Giải |L(jω)| = 1</t>
        </is>
      </c>
      <c r="G160" s="8" t="inlineStr">
        <is>
          <t>Tự dẫn</t>
        </is>
      </c>
    </row>
    <row r="161" ht="28.5" customHeight="1">
      <c r="A161" s="8" t="inlineStr">
        <is>
          <t>y0_8</t>
        </is>
      </c>
      <c r="B161" s="8" t="inlineStr">
        <is>
          <t>Lặp Newton 8 — điểm cắt (y = (T_Σω·ω_c)²), không tải</t>
        </is>
      </c>
      <c r="C161" s="8" t="inlineStr">
        <is>
          <t>y</t>
        </is>
      </c>
      <c r="D161" s="15">
        <f>($D$160)-(64*($D$160)^3+64*($D$160)^2-16*$D$139^2*($D$160)-$D$139^2)/(192*($D$160)^2+128*($D$160)-16*$D$139^2)</f>
        <v/>
      </c>
      <c r="E161" s="8" t="inlineStr">
        <is>
          <t>-</t>
        </is>
      </c>
      <c r="F161" s="8" t="inlineStr">
        <is>
          <t>Giải |L(jω)| = 1</t>
        </is>
      </c>
      <c r="G161" s="8" t="inlineStr">
        <is>
          <t>Tự dẫn</t>
        </is>
      </c>
    </row>
    <row r="162" ht="28.5" customHeight="1">
      <c r="A162" s="8" t="inlineStr">
        <is>
          <t>y0_9</t>
        </is>
      </c>
      <c r="B162" s="8" t="inlineStr">
        <is>
          <t>Lặp Newton 9 — điểm cắt (y = (T_Σω·ω_c)²), không tải</t>
        </is>
      </c>
      <c r="C162" s="8" t="inlineStr">
        <is>
          <t>y</t>
        </is>
      </c>
      <c r="D162" s="15">
        <f>($D$161)-(64*($D$161)^3+64*($D$161)^2-16*$D$139^2*($D$161)-$D$139^2)/(192*($D$161)^2+128*($D$161)-16*$D$139^2)</f>
        <v/>
      </c>
      <c r="E162" s="8" t="inlineStr">
        <is>
          <t>-</t>
        </is>
      </c>
      <c r="F162" s="8" t="inlineStr">
        <is>
          <t>Giải |L(jω)| = 1</t>
        </is>
      </c>
      <c r="G162" s="8" t="inlineStr">
        <is>
          <t>Tự dẫn</t>
        </is>
      </c>
    </row>
    <row r="163" ht="28.5" customHeight="1">
      <c r="A163" s="8" t="inlineStr">
        <is>
          <t>y0_10</t>
        </is>
      </c>
      <c r="B163" s="8" t="inlineStr">
        <is>
          <t>Lặp Newton 10 — điểm cắt (y = (T_Σω·ω_c)²), không tải</t>
        </is>
      </c>
      <c r="C163" s="8" t="inlineStr">
        <is>
          <t>y</t>
        </is>
      </c>
      <c r="D163" s="15">
        <f>($D$162)-(64*($D$162)^3+64*($D$162)^2-16*$D$139^2*($D$162)-$D$139^2)/(192*($D$162)^2+128*($D$162)-16*$D$139^2)</f>
        <v/>
      </c>
      <c r="E163" s="8" t="inlineStr">
        <is>
          <t>-</t>
        </is>
      </c>
      <c r="F163" s="8" t="inlineStr">
        <is>
          <t>Giải |L(jω)| = 1</t>
        </is>
      </c>
      <c r="G163" s="8" t="inlineStr">
        <is>
          <t>Tự dẫn</t>
        </is>
      </c>
    </row>
    <row r="164" ht="28.5" customHeight="1">
      <c r="A164" s="8" t="inlineStr">
        <is>
          <t>y0_11</t>
        </is>
      </c>
      <c r="B164" s="8" t="inlineStr">
        <is>
          <t>Lặp Newton 11 — điểm cắt (y = (T_Σω·ω_c)²), không tải</t>
        </is>
      </c>
      <c r="C164" s="8" t="inlineStr">
        <is>
          <t>y</t>
        </is>
      </c>
      <c r="D164" s="15">
        <f>($D$163)-(64*($D$163)^3+64*($D$163)^2-16*$D$139^2*($D$163)-$D$139^2)/(192*($D$163)^2+128*($D$163)-16*$D$139^2)</f>
        <v/>
      </c>
      <c r="E164" s="8" t="inlineStr">
        <is>
          <t>-</t>
        </is>
      </c>
      <c r="F164" s="8" t="inlineStr">
        <is>
          <t>Giải |L(jω)| = 1</t>
        </is>
      </c>
      <c r="G164" s="8" t="inlineStr">
        <is>
          <t>Tự dẫn</t>
        </is>
      </c>
    </row>
    <row r="165" ht="28.5" customHeight="1">
      <c r="A165" s="8" t="inlineStr">
        <is>
          <t>y0_12</t>
        </is>
      </c>
      <c r="B165" s="8" t="inlineStr">
        <is>
          <t>Lặp Newton 12 — điểm cắt (y = (T_Σω·ω_c)²), không tải</t>
        </is>
      </c>
      <c r="C165" s="8" t="inlineStr">
        <is>
          <t>y</t>
        </is>
      </c>
      <c r="D165" s="15">
        <f>($D$164)-(64*($D$164)^3+64*($D$164)^2-16*$D$139^2*($D$164)-$D$139^2)/(192*($D$164)^2+128*($D$164)-16*$D$139^2)</f>
        <v/>
      </c>
      <c r="E165" s="8" t="inlineStr">
        <is>
          <t>-</t>
        </is>
      </c>
      <c r="F165" s="8" t="inlineStr">
        <is>
          <t>Giải |L(jω)| = 1</t>
        </is>
      </c>
      <c r="G165" s="8" t="inlineStr">
        <is>
          <t>Tự dẫn</t>
        </is>
      </c>
    </row>
    <row r="166">
      <c r="A166" s="8" t="inlineStr">
        <is>
          <t>PM0</t>
        </is>
      </c>
      <c r="B166" s="8" t="inlineStr">
        <is>
          <t>Độ dự trữ pha vòng tốc độ (không tải)</t>
        </is>
      </c>
      <c r="C166" s="8" t="inlineStr">
        <is>
          <t>PM</t>
        </is>
      </c>
      <c r="D166" s="15">
        <f>DEGREES(ATAN(4*SQRT($D$165))-ATAN(SQRT($D$165)))</f>
        <v/>
      </c>
      <c r="E166" s="8" t="inlineStr">
        <is>
          <t>°</t>
        </is>
      </c>
      <c r="F166" s="8" t="inlineStr">
        <is>
          <t>atan(4x) − atan(x), x = T_Σω·ω_c</t>
        </is>
      </c>
      <c r="G166" s="8" t="inlineStr">
        <is>
          <t>Tự dẫn từ hàm truyền SO</t>
        </is>
      </c>
    </row>
    <row r="167">
      <c r="A167" s="8" t="inlineStr">
        <is>
          <t>wc0</t>
        </is>
      </c>
      <c r="B167" s="8" t="inlineStr">
        <is>
          <t>Tần số cắt (không tải)</t>
        </is>
      </c>
      <c r="C167" s="8" t="inlineStr">
        <is>
          <t>ω_c</t>
        </is>
      </c>
      <c r="D167" s="15">
        <f>SQRT($D$165)/$D$133</f>
        <v/>
      </c>
      <c r="E167" s="8" t="inlineStr">
        <is>
          <t>rad/s</t>
        </is>
      </c>
      <c r="F167" s="8" t="n"/>
      <c r="G167" s="8" t="n"/>
    </row>
    <row r="168" ht="15" customHeight="1">
      <c r="A168" s="6" t="inlineStr">
        <is>
          <t>M. Encoder &amp; ngưỡng logic</t>
        </is>
      </c>
      <c r="B168" s="7" t="n"/>
      <c r="C168" s="7" t="n"/>
      <c r="D168" s="7" t="n"/>
      <c r="E168" s="7" t="n"/>
      <c r="F168" s="7" t="n"/>
      <c r="G168" s="7" t="n"/>
    </row>
    <row r="169">
      <c r="A169" s="8" t="inlineStr">
        <is>
          <t>dw_enc</t>
        </is>
      </c>
      <c r="B169" s="8" t="inlineStr">
        <is>
          <t>Phân giải tốc độ ĐC</t>
        </is>
      </c>
      <c r="C169" s="8" t="inlineStr">
        <is>
          <t>Δω</t>
        </is>
      </c>
      <c r="D169" s="14">
        <f>2*PI()/(4*GiaDinh_K3!$D$33*GiaDinh_K3!$D$25)</f>
        <v/>
      </c>
      <c r="E169" s="8" t="inlineStr">
        <is>
          <t>rad/s</t>
        </is>
      </c>
      <c r="F169" s="8" t="inlineStr">
        <is>
          <t>Đếm 4 sườn trong T_s,ω</t>
        </is>
      </c>
      <c r="G169" s="8" t="n"/>
    </row>
    <row r="170">
      <c r="A170" s="8" t="inlineStr">
        <is>
          <t>dv_enc</t>
        </is>
      </c>
      <c r="B170" s="8" t="inlineStr">
        <is>
          <t>Phân giải vận tốc dài</t>
        </is>
      </c>
      <c r="C170" s="8" t="inlineStr">
        <is>
          <t>Δv</t>
        </is>
      </c>
      <c r="D170" s="15">
        <f>$D$169*$D$23</f>
        <v/>
      </c>
      <c r="E170" s="8" t="inlineStr">
        <is>
          <t>m/s</t>
        </is>
      </c>
      <c r="F170" s="8" t="n"/>
      <c r="G170" s="8" t="n"/>
    </row>
    <row r="171" ht="15" customHeight="1">
      <c r="A171" s="6" t="inlineStr">
        <is>
          <t>N. Tốc độ bò</t>
        </is>
      </c>
      <c r="B171" s="7" t="n"/>
      <c r="C171" s="7" t="n"/>
      <c r="D171" s="7" t="n"/>
      <c r="E171" s="7" t="n"/>
      <c r="F171" s="7" t="n"/>
      <c r="G171" s="7" t="n"/>
    </row>
    <row r="172">
      <c r="A172" s="8" t="inlineStr">
        <is>
          <t>v_creep</t>
        </is>
      </c>
      <c r="B172" s="8" t="inlineStr">
        <is>
          <t>Tốc độ bò</t>
        </is>
      </c>
      <c r="C172" s="8" t="inlineStr">
        <is>
          <t>v_bò</t>
        </is>
      </c>
      <c r="D172" s="14">
        <f>GiaDinh_K3!$D$30*Params!$C$10</f>
        <v/>
      </c>
      <c r="E172" s="8" t="inlineStr">
        <is>
          <t>m/s</t>
        </is>
      </c>
      <c r="F172" s="8" t="inlineStr">
        <is>
          <t>Downstream #8</t>
        </is>
      </c>
      <c r="G172" s="8" t="inlineStr">
        <is>
          <t>SRS Baseline A §4 #8</t>
        </is>
      </c>
    </row>
    <row r="173">
      <c r="A173" s="8" t="inlineStr">
        <is>
          <t>w_creep</t>
        </is>
      </c>
      <c r="B173" s="8" t="inlineStr">
        <is>
          <t>Tốc độ ĐC khi bò</t>
        </is>
      </c>
      <c r="C173" s="8" t="inlineStr">
        <is>
          <t>ω_bò</t>
        </is>
      </c>
      <c r="D173" s="15">
        <f>$D$172/$D$23</f>
        <v/>
      </c>
      <c r="E173" s="8" t="inlineStr">
        <is>
          <t>rad/s</t>
        </is>
      </c>
      <c r="F173" s="8" t="n"/>
      <c r="G173" s="8" t="n"/>
    </row>
    <row r="174">
      <c r="A174" s="6" t="inlineStr">
        <is>
          <t>O. Mô hình 2 khối lượng (xe con cứng + con lắc tải) cho mô phỏng — SDD §2, §3.4 (v1.3); WORKFLOW §4.2-D3</t>
        </is>
      </c>
      <c r="B174" s="7" t="n"/>
      <c r="C174" s="7" t="n"/>
      <c r="D174" s="7" t="n"/>
      <c r="E174" s="7" t="n"/>
      <c r="F174" s="7" t="n"/>
      <c r="G174" s="7" t="n"/>
    </row>
    <row r="175">
      <c r="A175" s="8" t="inlineStr">
        <is>
          <t>m_rig</t>
        </is>
      </c>
      <c r="B175" s="8" t="inlineStr">
        <is>
          <t>Khối lượng tịnh tiến cứng trong mô phỏng (khung xe con)</t>
        </is>
      </c>
      <c r="C175" s="8" t="inlineStr">
        <is>
          <t>m_xc</t>
        </is>
      </c>
      <c r="D175" s="14">
        <f>Params!$C$4</f>
        <v/>
      </c>
      <c r="E175" s="8" t="inlineStr">
        <is>
          <t>kg</t>
        </is>
      </c>
      <c r="F175" s="8" t="inlineStr">
        <is>
          <t>Không gồm tải treo: tải chỉ tác dụng lên xe qua cáp (F_lắc)</t>
        </is>
      </c>
      <c r="G175" s="8" t="inlineStr">
        <is>
          <t>P-03</t>
        </is>
      </c>
    </row>
    <row r="176">
      <c r="A176" s="8" t="inlineStr">
        <is>
          <t>m_p</t>
        </is>
      </c>
      <c r="B176" s="8" t="inlineStr">
        <is>
          <t>Khối lượng con lắc, đầy tải</t>
        </is>
      </c>
      <c r="C176" s="8" t="inlineStr">
        <is>
          <t>m_pend</t>
        </is>
      </c>
      <c r="D176" s="14">
        <f>Params!$C$2+Params!$C$3</f>
        <v/>
      </c>
      <c r="E176" s="8" t="inlineStr">
        <is>
          <t>kg</t>
        </is>
      </c>
      <c r="F176" s="8" t="inlineStr">
        <is>
          <t>Q + m_nh</t>
        </is>
      </c>
      <c r="G176" s="8" t="inlineStr">
        <is>
          <t>P-01, P-02</t>
        </is>
      </c>
    </row>
    <row r="177">
      <c r="A177" s="8" t="inlineStr">
        <is>
          <t>m_p0</t>
        </is>
      </c>
      <c r="B177" s="8" t="inlineStr">
        <is>
          <t>Khối lượng con lắc, không tải</t>
        </is>
      </c>
      <c r="C177" s="8" t="inlineStr">
        <is>
          <t>m_pend,0</t>
        </is>
      </c>
      <c r="D177" s="14">
        <f>Params!$C$3</f>
        <v/>
      </c>
      <c r="E177" s="8" t="inlineStr">
        <is>
          <t>kg</t>
        </is>
      </c>
      <c r="F177" s="8" t="inlineStr">
        <is>
          <t>Chỉ cụm móc</t>
        </is>
      </c>
      <c r="G177" s="8" t="inlineStr">
        <is>
          <t>P-02</t>
        </is>
      </c>
    </row>
    <row r="178">
      <c r="A178" s="8" t="inlineStr">
        <is>
          <t>Jgear</t>
        </is>
      </c>
      <c r="B178" s="8" t="inlineStr">
        <is>
          <t>Quán tính chi tiết quay hộp số/khớp nối (cố định)</t>
        </is>
      </c>
      <c r="C178" s="8" t="inlineStr">
        <is>
          <t>J_gear</t>
        </is>
      </c>
      <c r="D178" s="14">
        <f>(GiaDinh_K3!$D$8-1)*Params!$C$5*$D$23^2</f>
        <v/>
      </c>
      <c r="E178" s="8" t="inlineStr">
        <is>
          <t>kg·m²</t>
        </is>
      </c>
      <c r="F178" s="8" t="inlineStr">
        <is>
          <t>(δ−1)·M_Σ·k² — giữ phần δ của khối C, không đổi theo tải</t>
        </is>
      </c>
      <c r="G178" s="8" t="inlineStr">
        <is>
          <t>WORKFLOW §4.2-B4 [C]</t>
        </is>
      </c>
    </row>
    <row r="179">
      <c r="A179" s="8" t="inlineStr">
        <is>
          <t>Jrig</t>
        </is>
      </c>
      <c r="B179" s="8" t="inlineStr">
        <is>
          <t>Quán tính cứng quy về trục ĐC (dùng chung đầy/không tải)</t>
        </is>
      </c>
      <c r="C179" s="8" t="inlineStr">
        <is>
          <t>J_rig</t>
        </is>
      </c>
      <c r="D179" s="14">
        <f>Catalogue!$F$15+$D$178+$D$175*$D$23^2</f>
        <v/>
      </c>
      <c r="E179" s="8" t="inlineStr">
        <is>
          <t>kg·m²</t>
        </is>
      </c>
      <c r="F179" s="8" t="inlineStr">
        <is>
          <t>J_BMot + J_gear + m_xc·k²</t>
        </is>
      </c>
      <c r="G179" s="8" t="inlineStr">
        <is>
          <t>Tự dẫn</t>
        </is>
      </c>
    </row>
    <row r="180">
      <c r="A180" s="8" t="inlineStr">
        <is>
          <t>Fc_2m</t>
        </is>
      </c>
      <c r="B180" s="8" t="inlineStr">
        <is>
          <t>Lực cản lăn đầy tải trong mô hình 2 khối</t>
        </is>
      </c>
      <c r="C180" s="8" t="inlineStr">
        <is>
          <t>F_c</t>
        </is>
      </c>
      <c r="D180" s="14">
        <f>($D$175+$D$176)*Params!$C$19*Params!$C$14</f>
        <v/>
      </c>
      <c r="E180" s="8" t="inlineStr">
        <is>
          <t>N</t>
        </is>
      </c>
      <c r="F180" s="8" t="inlineStr">
        <is>
          <t>(m_xc + m_pend)·g·w0 — trọng lượng tải vẫn đè lên bánh (phải = P-20, KT-34)</t>
        </is>
      </c>
      <c r="G180" s="8" t="inlineStr">
        <is>
          <t>P-20</t>
        </is>
      </c>
    </row>
    <row r="181">
      <c r="A181" s="8" t="inlineStr">
        <is>
          <t>Fc0_2m</t>
        </is>
      </c>
      <c r="B181" s="8" t="inlineStr">
        <is>
          <t>Lực cản lăn không tải trong mô hình 2 khối</t>
        </is>
      </c>
      <c r="C181" s="8" t="inlineStr">
        <is>
          <t>F_c,0</t>
        </is>
      </c>
      <c r="D181" s="14">
        <f>($D$175+$D$177)*Params!$C$19*Params!$C$14</f>
        <v/>
      </c>
      <c r="E181" s="8" t="inlineStr">
        <is>
          <t>N</t>
        </is>
      </c>
      <c r="F181" s="8" t="inlineStr"/>
      <c r="G181" s="8" t="inlineStr"/>
    </row>
    <row r="182">
      <c r="A182" s="8" t="inlineStr">
        <is>
          <t>k_pend</t>
        </is>
      </c>
      <c r="B182" s="8" t="inlineStr">
        <is>
          <t>Độ cứng tương đương con lắc</t>
        </is>
      </c>
      <c r="C182" s="8" t="inlineStr">
        <is>
          <t>k_p</t>
        </is>
      </c>
      <c r="D182" s="14">
        <f>$D$176*Params!$C$19/Params!$C$7</f>
        <v/>
      </c>
      <c r="E182" s="8" t="inlineStr">
        <is>
          <t>N/m</t>
        </is>
      </c>
      <c r="F182" s="8" t="inlineStr">
        <is>
          <t>m_pend·g/h</t>
        </is>
      </c>
      <c r="G182" s="8" t="inlineStr">
        <is>
          <t>Tự dẫn</t>
        </is>
      </c>
    </row>
    <row r="183">
      <c r="A183" s="8" t="inlineStr">
        <is>
          <t>w_res</t>
        </is>
      </c>
      <c r="B183" s="8" t="inlineStr">
        <is>
          <t>Tần số cộng hưởng xe – tải treo</t>
        </is>
      </c>
      <c r="C183" s="8" t="inlineStr">
        <is>
          <t>ω_r</t>
        </is>
      </c>
      <c r="D183" s="15">
        <f>SQRT($D$182*($D$23^2/$D$179+1/$D$176))</f>
        <v/>
      </c>
      <c r="E183" s="8" t="inlineStr">
        <is>
          <t>rad/s</t>
        </is>
      </c>
      <c r="F183" s="8" t="inlineStr">
        <is>
          <t>√(k_p·(1/m_eq + 1/m_pend)), m_eq = J_rig/k²</t>
        </is>
      </c>
      <c r="G183" s="8" t="inlineStr">
        <is>
          <t>Tự dẫn</t>
        </is>
      </c>
    </row>
    <row r="184">
      <c r="A184" s="8" t="inlineStr">
        <is>
          <t>th_amp</t>
        </is>
      </c>
      <c r="B184" s="8" t="inlineStr">
        <is>
          <t>Biên độ lắc khi chạy đều sau tăng tốc</t>
        </is>
      </c>
      <c r="C184" s="8" t="inlineStr">
        <is>
          <t>θ_a</t>
        </is>
      </c>
      <c r="D184" s="14">
        <f>Params!$C$10*Params!$C$8/Params!$C$19</f>
        <v/>
      </c>
      <c r="E184" s="8" t="inlineStr">
        <is>
          <t>rad</t>
        </is>
      </c>
      <c r="F184" s="8" t="inlineStr">
        <is>
          <t>v·ω_p/g (= khối E, D46, theo rad)</t>
        </is>
      </c>
      <c r="G184" s="8" t="inlineStr">
        <is>
          <t>[R9-01]</t>
        </is>
      </c>
    </row>
    <row r="185">
      <c r="A185" s="8" t="inlineStr">
        <is>
          <t>Fsw</t>
        </is>
      </c>
      <c r="B185" s="8" t="inlineStr">
        <is>
          <t>Biên độ phản lực cáp khi chạy đều</t>
        </is>
      </c>
      <c r="C185" s="8" t="inlineStr">
        <is>
          <t>F_lắc,max</t>
        </is>
      </c>
      <c r="D185" s="14">
        <f>$D$176*Params!$C$19*$D$184</f>
        <v/>
      </c>
      <c r="E185" s="8" t="inlineStr">
        <is>
          <t>N</t>
        </is>
      </c>
      <c r="F185" s="8" t="inlineStr">
        <is>
          <t>m_pend·g·θ_a</t>
        </is>
      </c>
      <c r="G185" s="8" t="inlineStr">
        <is>
          <t>IF-10</t>
        </is>
      </c>
    </row>
    <row r="186">
      <c r="A186" s="8" t="inlineStr">
        <is>
          <t>Mpk_2m</t>
        </is>
      </c>
      <c r="B186" s="8" t="inlineStr">
        <is>
          <t>Mô-men ĐC đỉnh khi tăng tốc tại a* (mô hình 2 khối)</t>
        </is>
      </c>
      <c r="C186" s="8" t="inlineStr">
        <is>
          <t>M_max,2m</t>
        </is>
      </c>
      <c r="D186" s="15">
        <f>$D$179*$D$24+$D$25</f>
        <v/>
      </c>
      <c r="E186" s="8" t="inlineStr">
        <is>
          <t>N·m</t>
        </is>
      </c>
      <c r="F186" s="8" t="inlineStr">
        <is>
          <t>J_rig·ε* + M_c: cáp chưa kịp lệch vì t_acc ≪ T_p</t>
        </is>
      </c>
      <c r="G186" s="8" t="inlineStr">
        <is>
          <t>Tự dẫn</t>
        </is>
      </c>
    </row>
    <row r="187">
      <c r="A187" s="8" t="inlineStr">
        <is>
          <t>Mrun_2m</t>
        </is>
      </c>
      <c r="B187" s="8" t="inlineStr">
        <is>
          <t>Mô-men ĐC lớn nhất khi chạy đều (mô hình 2 khối)</t>
        </is>
      </c>
      <c r="C187" s="8" t="inlineStr">
        <is>
          <t>M_đều,max</t>
        </is>
      </c>
      <c r="D187" s="14">
        <f>$D$25+$D$185*$D$23/Params!$C$16</f>
        <v/>
      </c>
      <c r="E187" s="8" t="inlineStr">
        <is>
          <t>N·m</t>
        </is>
      </c>
      <c r="F187" s="8" t="inlineStr">
        <is>
          <t>M_c + F_lắc,max·k/η</t>
        </is>
      </c>
      <c r="G187" s="8" t="inlineStr">
        <is>
          <t>Tự dẫn</t>
        </is>
      </c>
    </row>
    <row r="188">
      <c r="A188" s="8" t="inlineStr">
        <is>
          <t>r_2m</t>
        </is>
      </c>
      <c r="B188" s="8" t="inlineStr">
        <is>
          <t>Tỷ số mô-men đỉnh: mô hình 2 khối / khối cứng (khối F)</t>
        </is>
      </c>
      <c r="C188" s="8" t="inlineStr">
        <is>
          <t>-</t>
        </is>
      </c>
      <c r="D188" s="15">
        <f>$D$186/$D$62</f>
        <v/>
      </c>
      <c r="E188" s="8" t="inlineStr">
        <is>
          <t>-</t>
        </is>
      </c>
      <c r="F188" s="8" t="inlineStr">
        <is>
          <t>Simulink sẽ cho mô-men nhỏ hơn Excel — không phải lỗi; Excel (khối cứng) là cận trên</t>
        </is>
      </c>
      <c r="G188" s="8" t="inlineStr">
        <is>
          <t>Tự dẫn</t>
        </is>
      </c>
    </row>
    <row r="189">
      <c r="A189" s="8" t="inlineStr">
        <is>
          <t>kap2m</t>
        </is>
      </c>
      <c r="B189" s="8" t="inlineStr">
        <is>
          <t>Hệ số lệch khuếch đại vòng tốc độ với mô hình 2 khối</t>
        </is>
      </c>
      <c r="C189" s="8" t="inlineStr">
        <is>
          <t>κ_2m</t>
        </is>
      </c>
      <c r="D189" s="15">
        <f>$D$134/$D$179</f>
        <v/>
      </c>
      <c r="E189" s="8" t="inlineStr">
        <is>
          <t>-</t>
        </is>
      </c>
      <c r="F189" s="8" t="inlineStr">
        <is>
          <t>ω_c ≫ ω_r: vòng tốc độ chỉ thấy J_rig ở cả hai trạng thái tải</t>
        </is>
      </c>
      <c r="G189" s="8" t="inlineStr">
        <is>
          <t>Tự dẫn</t>
        </is>
      </c>
    </row>
    <row r="190">
      <c r="A190" s="6" t="inlineStr">
        <is>
          <t>P. Giới hạn điện áp &amp; giảm từ thông (ĐC 400 V trên lưới 380 V) — IF-04, SDD §4.1 (v1.3)</t>
        </is>
      </c>
      <c r="B190" s="7" t="n"/>
      <c r="C190" s="7" t="n"/>
      <c r="D190" s="7" t="n"/>
      <c r="E190" s="7" t="n"/>
      <c r="F190" s="7" t="n"/>
      <c r="G190" s="7" t="n"/>
    </row>
    <row r="191">
      <c r="A191" s="8" t="inlineStr">
        <is>
          <t>wm_v</t>
        </is>
      </c>
      <c r="B191" s="8" t="inlineStr">
        <is>
          <t>Tốc độ ĐC tại v_max</t>
        </is>
      </c>
      <c r="C191" s="8" t="inlineStr">
        <is>
          <t>ω_m,vmax</t>
        </is>
      </c>
      <c r="D191" s="14">
        <f>Params!$C$10/$D$23</f>
        <v/>
      </c>
      <c r="E191" s="8" t="inlineStr">
        <is>
          <t>rad/s</t>
        </is>
      </c>
      <c r="F191" s="8" t="inlineStr"/>
      <c r="G191" s="8" t="inlineStr"/>
    </row>
    <row r="192">
      <c r="A192" s="8" t="inlineStr">
        <is>
          <t>wsl_c</t>
        </is>
      </c>
      <c r="B192" s="8" t="inlineStr">
        <is>
          <t>Tần số trượt khi chạy đều đầy tải</t>
        </is>
      </c>
      <c r="C192" s="8" t="inlineStr">
        <is>
          <t>ω_sl</t>
        </is>
      </c>
      <c r="D192" s="14">
        <f>$D$97*$D$99*$D$25/Catalogue!$F$5</f>
        <v/>
      </c>
      <c r="E192" s="8" t="inlineStr">
        <is>
          <t>rad/s</t>
        </is>
      </c>
      <c r="F192" s="8" t="inlineStr">
        <is>
          <t>s_N·ω_s·M_c/M_N (tuyến tính)</t>
        </is>
      </c>
      <c r="G192" s="8" t="inlineStr"/>
    </row>
    <row r="193">
      <c r="A193" s="8" t="inlineStr">
        <is>
          <t>f1_v</t>
        </is>
      </c>
      <c r="B193" s="8" t="inlineStr">
        <is>
          <t>Tần số stator tại v_max</t>
        </is>
      </c>
      <c r="C193" s="8" t="inlineStr">
        <is>
          <t>f_1</t>
        </is>
      </c>
      <c r="D193" s="14">
        <f>(GiaDinh_K3!$D$28*$D$191+$D$192)/(2*PI())</f>
        <v/>
      </c>
      <c r="E193" s="8" t="inlineStr">
        <is>
          <t>Hz</t>
        </is>
      </c>
      <c r="F193" s="8" t="inlineStr"/>
      <c r="G193" s="8" t="inlineStr"/>
    </row>
    <row r="194">
      <c r="A194" s="8" t="inlineStr">
        <is>
          <t>U_req</t>
        </is>
      </c>
      <c r="B194" s="8" t="inlineStr">
        <is>
          <t>Điện áp dây cần ở từ thông định mức</t>
        </is>
      </c>
      <c r="C194" s="8" t="inlineStr">
        <is>
          <t>U_1,req</t>
        </is>
      </c>
      <c r="D194" s="14">
        <f>GiaDinh_K3!$D$29*$D$193/GiaDinh_K3!$D$6</f>
        <v/>
      </c>
      <c r="E194" s="8" t="inlineStr">
        <is>
          <t>V</t>
        </is>
      </c>
      <c r="F194" s="8" t="inlineStr">
        <is>
          <t>U_N·f_1/f_N (bỏ qua sụt áp R_s)</t>
        </is>
      </c>
      <c r="G194" s="8" t="inlineStr">
        <is>
          <t>[W-01]</t>
        </is>
      </c>
    </row>
    <row r="195">
      <c r="A195" s="8" t="inlineStr">
        <is>
          <t>Udc_lo</t>
        </is>
      </c>
      <c r="B195" s="8" t="inlineStr">
        <is>
          <t>U_dc có tải, lưới −10%</t>
        </is>
      </c>
      <c r="C195" s="8" t="inlineStr">
        <is>
          <t>U_dc,min</t>
        </is>
      </c>
      <c r="D195" s="14">
        <f>1.35*Params!$C$20*(1-GiaDinh_K3!$D$5)</f>
        <v/>
      </c>
      <c r="E195" s="8" t="inlineStr">
        <is>
          <t>V</t>
        </is>
      </c>
      <c r="F195" s="8" t="inlineStr">
        <is>
          <t>1.35·U (khối H dùng cho lưới danh định)</t>
        </is>
      </c>
      <c r="G195" s="8" t="inlineStr">
        <is>
          <t>ICD IF-05</t>
        </is>
      </c>
    </row>
    <row r="196">
      <c r="A196" s="8" t="inlineStr">
        <is>
          <t>U1_n</t>
        </is>
      </c>
      <c r="B196" s="8" t="inlineStr">
        <is>
          <t>U_1 tối đa nghịch lưu tạo được, lưới danh định</t>
        </is>
      </c>
      <c r="C196" s="8" t="inlineStr">
        <is>
          <t>U_1,lim</t>
        </is>
      </c>
      <c r="D196" s="14">
        <f>GiaDinh_K3!$D$44*$D$85/SQRT(2)</f>
        <v/>
      </c>
      <c r="E196" s="8" t="inlineStr">
        <is>
          <t>V</t>
        </is>
      </c>
      <c r="F196" s="8" t="inlineStr">
        <is>
          <t>k_u·U_dc/√2</t>
        </is>
      </c>
      <c r="G196" s="8" t="inlineStr">
        <is>
          <t>SDD §4.2</t>
        </is>
      </c>
    </row>
    <row r="197">
      <c r="A197" s="8" t="inlineStr">
        <is>
          <t>U1_lo</t>
        </is>
      </c>
      <c r="B197" s="8" t="inlineStr">
        <is>
          <t>U_1 tối đa nghịch lưu tạo được, lưới −10%</t>
        </is>
      </c>
      <c r="C197" s="8" t="inlineStr">
        <is>
          <t>U_1,lim,min</t>
        </is>
      </c>
      <c r="D197" s="14">
        <f>GiaDinh_K3!$D$44*$D$195/SQRT(2)</f>
        <v/>
      </c>
      <c r="E197" s="8" t="inlineStr">
        <is>
          <t>V</t>
        </is>
      </c>
      <c r="F197" s="8" t="inlineStr">
        <is>
          <t>k_u·U_dc/√2</t>
        </is>
      </c>
      <c r="G197" s="8" t="inlineStr">
        <is>
          <t>SDD §4.2</t>
        </is>
      </c>
    </row>
    <row r="198">
      <c r="A198" s="8" t="inlineStr">
        <is>
          <t>kpsi_n</t>
        </is>
      </c>
      <c r="B198" s="8" t="inlineStr">
        <is>
          <t>Tỷ số từ thông tại v_max, lưới danh định</t>
        </is>
      </c>
      <c r="C198" s="8" t="inlineStr">
        <is>
          <t>k_ψ</t>
        </is>
      </c>
      <c r="D198" s="15">
        <f>MIN(1,$D$196/$D$194)</f>
        <v/>
      </c>
      <c r="E198" s="8" t="inlineStr">
        <is>
          <t>-</t>
        </is>
      </c>
      <c r="F198" s="8" t="inlineStr">
        <is>
          <t>ψ_r*/ψ_rN</t>
        </is>
      </c>
      <c r="G198" s="8" t="inlineStr">
        <is>
          <t>Tự dẫn</t>
        </is>
      </c>
    </row>
    <row r="199">
      <c r="A199" s="8" t="inlineStr">
        <is>
          <t>kpsi_lo</t>
        </is>
      </c>
      <c r="B199" s="8" t="inlineStr">
        <is>
          <t>Tỷ số từ thông tại v_max, lưới −10%</t>
        </is>
      </c>
      <c r="C199" s="8" t="inlineStr">
        <is>
          <t>k_ψ,min</t>
        </is>
      </c>
      <c r="D199" s="15">
        <f>MIN(1,$D$197/$D$194)</f>
        <v/>
      </c>
      <c r="E199" s="8" t="inlineStr">
        <is>
          <t>-</t>
        </is>
      </c>
      <c r="F199" s="8" t="inlineStr">
        <is>
          <t>ψ_r*/ψ_rN (SRS-D14)</t>
        </is>
      </c>
      <c r="G199" s="8" t="inlineStr">
        <is>
          <t>Tự dẫn</t>
        </is>
      </c>
    </row>
    <row r="200">
      <c r="A200" s="8" t="inlineStr">
        <is>
          <t>wfw_n</t>
        </is>
      </c>
      <c r="B200" s="8" t="inlineStr">
        <is>
          <t>Tốc độ ĐC bắt đầu giảm từ thông, lưới danh định</t>
        </is>
      </c>
      <c r="C200" s="8" t="inlineStr">
        <is>
          <t>ω_fw</t>
        </is>
      </c>
      <c r="D200" s="15">
        <f>$D$198*$D$191</f>
        <v/>
      </c>
      <c r="E200" s="8" t="inlineStr">
        <is>
          <t>rad/s</t>
        </is>
      </c>
      <c r="F200" s="8" t="inlineStr">
        <is>
          <t>ψ_r* = ψ_rN·min(1, ω_fw/|ω_m|) (SRS-D15)</t>
        </is>
      </c>
      <c r="G200" s="8" t="inlineStr">
        <is>
          <t>Tự dẫn</t>
        </is>
      </c>
    </row>
    <row r="201">
      <c r="A201" s="8" t="inlineStr">
        <is>
          <t>wfw_lo</t>
        </is>
      </c>
      <c r="B201" s="8" t="inlineStr">
        <is>
          <t>Tốc độ ĐC bắt đầu giảm từ thông, lưới −10%</t>
        </is>
      </c>
      <c r="C201" s="8" t="inlineStr">
        <is>
          <t>ω_fw,min</t>
        </is>
      </c>
      <c r="D201" s="15">
        <f>$D$199*$D$191</f>
        <v/>
      </c>
      <c r="E201" s="8" t="inlineStr">
        <is>
          <t>rad/s</t>
        </is>
      </c>
      <c r="F201" s="8" t="inlineStr"/>
      <c r="G201" s="8" t="inlineStr">
        <is>
          <t>Tự dẫn</t>
        </is>
      </c>
    </row>
    <row r="202">
      <c r="A202" s="8" t="inlineStr">
        <is>
          <t>v2_end</t>
        </is>
      </c>
      <c r="B202" s="8" t="inlineStr">
        <is>
          <t>Vận tốc đặt cuối đoạn gia tốc hằng</t>
        </is>
      </c>
      <c r="C202" s="8" t="inlineStr">
        <is>
          <t>v_2</t>
        </is>
      </c>
      <c r="D202" s="14">
        <f>GiaDinh_K3!$D$11^2/(2*GiaDinh_K3!$D$12)+GiaDinh_K3!$D$11*$D$40</f>
        <v/>
      </c>
      <c r="E202" s="8" t="inlineStr">
        <is>
          <t>m/s</t>
        </is>
      </c>
      <c r="F202" s="8" t="inlineStr">
        <is>
          <t>v_1 + a*·T_a</t>
        </is>
      </c>
      <c r="G202" s="8" t="inlineStr">
        <is>
          <t>Khối E</t>
        </is>
      </c>
    </row>
    <row r="203">
      <c r="A203" s="8" t="inlineStr">
        <is>
          <t>vfw_lo</t>
        </is>
      </c>
      <c r="B203" s="8" t="inlineStr">
        <is>
          <t>Vận tốc bắt đầu giảm từ thông, lưới −10%</t>
        </is>
      </c>
      <c r="C203" s="8" t="inlineStr">
        <is>
          <t>v_fw</t>
        </is>
      </c>
      <c r="D203" s="15">
        <f>$D$201*$D$23</f>
        <v/>
      </c>
      <c r="E203" s="8" t="inlineStr">
        <is>
          <t>m/s</t>
        </is>
      </c>
      <c r="F203" s="8" t="inlineStr"/>
      <c r="G203" s="8" t="inlineStr"/>
    </row>
    <row r="204">
      <c r="A204" s="8" t="inlineStr">
        <is>
          <t>afw_lo</t>
        </is>
      </c>
      <c r="B204" s="8" t="inlineStr">
        <is>
          <t>Gia tốc đặt tại v_fw (lưới −10%)</t>
        </is>
      </c>
      <c r="C204" s="8" t="inlineStr">
        <is>
          <t>a_fw</t>
        </is>
      </c>
      <c r="D204" s="14">
        <f>MIN(GiaDinh_K3!$D$11,SQRT(2*GiaDinh_K3!$D$12*MAX(0,Params!$C$10-$D$203)))</f>
        <v/>
      </c>
      <c r="E204" s="8" t="inlineStr">
        <is>
          <t>m/s²</t>
        </is>
      </c>
      <c r="F204" s="8" t="inlineStr">
        <is>
          <t>Đoạn 3 S-curve: a = √(2ρ*(v_max − v))</t>
        </is>
      </c>
      <c r="G204" s="8" t="inlineStr">
        <is>
          <t>Khối E</t>
        </is>
      </c>
    </row>
    <row r="205">
      <c r="A205" s="8" t="inlineStr">
        <is>
          <t>Mfw_lo</t>
        </is>
      </c>
      <c r="B205" s="8" t="inlineStr">
        <is>
          <t>Mô-men cần tại v_fw (khối cứng, bảo thủ)</t>
        </is>
      </c>
      <c r="C205" s="8" t="inlineStr">
        <is>
          <t>M_fw</t>
        </is>
      </c>
      <c r="D205" s="14">
        <f>$D$25+GiaDinh_K3!$D$8*Params!$C$5*$D$204*$D$23/Params!$C$16+Catalogue!$F$15*$D$204/$D$23</f>
        <v/>
      </c>
      <c r="E205" s="8" t="inlineStr">
        <is>
          <t>N·m</t>
        </is>
      </c>
      <c r="F205" s="8" t="inlineStr">
        <is>
          <t>M_c + δM_Σa_fw·k/η + J_B·a_fw/k</t>
        </is>
      </c>
      <c r="G205" s="8" t="inlineStr">
        <is>
          <t>Khối D</t>
        </is>
      </c>
    </row>
    <row r="206">
      <c r="A206" s="8" t="inlineStr">
        <is>
          <t>isq_fw</t>
        </is>
      </c>
      <c r="B206" s="8" t="inlineStr">
        <is>
          <t>i_sq cần khi giảm từ thông (bảo thủ: M_fw ở từ thông nhỏ nhất)</t>
        </is>
      </c>
      <c r="C206" s="8" t="inlineStr">
        <is>
          <t>i_sq,fw</t>
        </is>
      </c>
      <c r="D206" s="15">
        <f>$D$205/($D$123*$D$199)</f>
        <v/>
      </c>
      <c r="E206" s="8" t="inlineStr">
        <is>
          <t>A</t>
        </is>
      </c>
      <c r="F206" s="8" t="inlineStr">
        <is>
          <t>So với i_sq,lim (KT-37)</t>
        </is>
      </c>
      <c r="G206" s="8" t="inlineStr">
        <is>
          <t>Tự dẫn</t>
        </is>
      </c>
    </row>
    <row r="207">
      <c r="A207" s="8" t="inlineStr">
        <is>
          <t>isd_fw</t>
        </is>
      </c>
      <c r="B207" s="8" t="inlineStr">
        <is>
          <t>i_sd tại v_max, lưới −10%</t>
        </is>
      </c>
      <c r="C207" s="8" t="inlineStr">
        <is>
          <t>i_sd,fw</t>
        </is>
      </c>
      <c r="D207" s="15">
        <f>$D$199*$D$121</f>
        <v/>
      </c>
      <c r="E207" s="8" t="inlineStr">
        <is>
          <t>A</t>
        </is>
      </c>
      <c r="F207" s="8" t="inlineStr">
        <is>
          <t>k_ψ·i_sd,N</t>
        </is>
      </c>
      <c r="G207" s="8" t="inlineStr"/>
    </row>
    <row r="208">
      <c r="A208" s="8" t="inlineStr">
        <is>
          <t>Is_fw</t>
        </is>
      </c>
      <c r="B208" s="8" t="inlineStr">
        <is>
          <t>Dòng stator hiệu dụng khi giảm từ thông (lưới −10%)</t>
        </is>
      </c>
      <c r="C208" s="8" t="inlineStr">
        <is>
          <t>I_s,fw</t>
        </is>
      </c>
      <c r="D208" s="15">
        <f>SQRT($D$206^2+$D$207^2)/SQRT(2)</f>
        <v/>
      </c>
      <c r="E208" s="8" t="inlineStr">
        <is>
          <t>A</t>
        </is>
      </c>
      <c r="F208" s="8" t="inlineStr">
        <is>
          <t>So với 1.5·I_Hd (KT-38)</t>
        </is>
      </c>
      <c r="G208" s="8" t="inlineStr"/>
    </row>
    <row r="209">
      <c r="A209" s="6" t="inlineStr">
        <is>
          <t>Q. Mô hình biến tần trung bình &amp; DC-link — IF-05, SDD §7 (v1.3)</t>
        </is>
      </c>
      <c r="B209" s="7" t="n"/>
      <c r="C209" s="7" t="n"/>
      <c r="D209" s="7" t="n"/>
      <c r="E209" s="7" t="n"/>
      <c r="F209" s="7" t="n"/>
      <c r="G209" s="7" t="n"/>
    </row>
    <row r="210">
      <c r="A210" s="8" t="inlineStr">
        <is>
          <t>Udc0_n</t>
        </is>
      </c>
      <c r="B210" s="8" t="inlineStr">
        <is>
          <t>U_dc không tải, lưới danh định</t>
        </is>
      </c>
      <c r="C210" s="8" t="inlineStr">
        <is>
          <t>U_dc0</t>
        </is>
      </c>
      <c r="D210" s="14">
        <f>SQRT(2)*Params!$C$20</f>
        <v/>
      </c>
      <c r="E210" s="8" t="inlineStr">
        <is>
          <t>V</t>
        </is>
      </c>
      <c r="F210" s="8" t="inlineStr">
        <is>
          <t>√2·U</t>
        </is>
      </c>
      <c r="G210" s="8" t="inlineStr">
        <is>
          <t>ICD IF-05</t>
        </is>
      </c>
    </row>
    <row r="211">
      <c r="A211" s="8" t="inlineStr">
        <is>
          <t>Idc_N</t>
        </is>
      </c>
      <c r="B211" s="8" t="inlineStr">
        <is>
          <t>Dòng DC khi ĐC chạy định mức</t>
        </is>
      </c>
      <c r="C211" s="8" t="inlineStr">
        <is>
          <t>I_dc,N</t>
        </is>
      </c>
      <c r="D211" s="14">
        <f>Catalogue!$F$4*1000/(Catalogue!$F$9*GiaDinh_K3!$D$13*$D$85)</f>
        <v/>
      </c>
      <c r="E211" s="8" t="inlineStr">
        <is>
          <t>A</t>
        </is>
      </c>
      <c r="F211" s="8" t="inlineStr">
        <is>
          <t>P_N/(η_đc·η_inv·U_dc)</t>
        </is>
      </c>
      <c r="G211" s="8" t="inlineStr"/>
    </row>
    <row r="212">
      <c r="A212" s="8" t="inlineStr">
        <is>
          <t>R_src</t>
        </is>
      </c>
      <c r="B212" s="8" t="inlineStr">
        <is>
          <t>Điện trở nguồn tương đương của chỉnh lưu (mô hình trung bình)</t>
        </is>
      </c>
      <c r="C212" s="8" t="inlineStr">
        <is>
          <t>R_src</t>
        </is>
      </c>
      <c r="D212" s="15">
        <f>($D$210-$D$85)/$D$211</f>
        <v/>
      </c>
      <c r="E212" s="8" t="inlineStr">
        <is>
          <t>Ω</t>
        </is>
      </c>
      <c r="F212" s="8" t="inlineStr">
        <is>
          <t>Chỉnh lưu diode 1 chiều sau R_src: U_dc = U_dc0 khi không tải, ≈ 1.35U ở tải định mức</t>
        </is>
      </c>
      <c r="G212" s="8" t="inlineStr">
        <is>
          <t>Giả định mô hình [C]</t>
        </is>
      </c>
    </row>
    <row r="213">
      <c r="A213" s="8" t="inlineStr">
        <is>
          <t>E_cap</t>
        </is>
      </c>
      <c r="B213" s="8" t="inlineStr">
        <is>
          <t>Năng lượng tụ hấp thụ từ U_dc0,max đến U_chop</t>
        </is>
      </c>
      <c r="C213" s="8" t="inlineStr">
        <is>
          <t>E_C</t>
        </is>
      </c>
      <c r="D213" s="14">
        <f>0.5*GiaDinh_K3!$D$46*(GiaDinh_K3!$D$14^2-$D$84^2)</f>
        <v/>
      </c>
      <c r="E213" s="8" t="inlineStr">
        <is>
          <t>J</t>
        </is>
      </c>
      <c r="F213" s="8" t="inlineStr">
        <is>
          <t>Bảo thủ: lưới +10%</t>
        </is>
      </c>
      <c r="G213" s="8" t="inlineStr">
        <is>
          <t>Tự dẫn</t>
        </is>
      </c>
    </row>
    <row r="214">
      <c r="A214" s="8" t="inlineStr">
        <is>
          <t>chop_q</t>
        </is>
      </c>
      <c r="B214" s="8" t="inlineStr">
        <is>
          <t>Chopper có tác động khi dừng đầy tải?</t>
        </is>
      </c>
      <c r="C214" s="8" t="inlineStr">
        <is>
          <t>-</t>
        </is>
      </c>
      <c r="D214" s="8">
        <f>IF($D$82&gt;$D$213,"Có — chopper đóng (DV-04 quan sát được)","Không — tụ tự hấp thụ")</f>
        <v/>
      </c>
      <c r="E214" s="8" t="inlineStr">
        <is>
          <t>-</t>
        </is>
      </c>
      <c r="F214" s="8" t="inlineStr">
        <is>
          <t>So E_Rh (khối H) với E_C</t>
        </is>
      </c>
      <c r="G214" s="8" t="inlineStr"/>
    </row>
    <row r="215">
      <c r="A215" s="8" t="inlineStr">
        <is>
          <t>U_off</t>
        </is>
      </c>
      <c r="B215" s="8" t="inlineStr">
        <is>
          <t>Ngưỡng cắt chopper</t>
        </is>
      </c>
      <c r="C215" s="8" t="inlineStr">
        <is>
          <t>U_chop,off</t>
        </is>
      </c>
      <c r="D215" s="14">
        <f>GiaDinh_K3!$D$14-GiaDinh_K3!$D$47</f>
        <v/>
      </c>
      <c r="E215" s="8" t="inlineStr">
        <is>
          <t>V</t>
        </is>
      </c>
      <c r="F215" s="8" t="inlineStr"/>
      <c r="G215" s="8" t="inlineStr"/>
    </row>
    <row r="216">
      <c r="A216" s="8" t="inlineStr">
        <is>
          <t>n_I</t>
        </is>
      </c>
      <c r="B216" s="8" t="inlineStr">
        <is>
          <t>Số bước giải trong 1 chu kỳ vòng dòng Ts_I</t>
        </is>
      </c>
      <c r="C216" s="8" t="inlineStr">
        <is>
          <t>n_I</t>
        </is>
      </c>
      <c r="D216" s="14">
        <f>1/(GiaDinh_K3!$D$22*GiaDinh_K3!$D$48)</f>
        <v/>
      </c>
      <c r="E216" s="8" t="inlineStr">
        <is>
          <t>-</t>
        </is>
      </c>
      <c r="F216" s="8" t="inlineStr">
        <is>
          <t>Phải nguyên (KT-40)</t>
        </is>
      </c>
      <c r="G216" s="8" t="inlineStr"/>
    </row>
    <row r="217">
      <c r="A217" s="8" t="inlineStr">
        <is>
          <t>n_w</t>
        </is>
      </c>
      <c r="B217" s="8" t="inlineStr">
        <is>
          <t>Số bước giải trong 1 chu kỳ vòng tốc độ Ts_w</t>
        </is>
      </c>
      <c r="C217" s="8" t="inlineStr">
        <is>
          <t>n_w</t>
        </is>
      </c>
      <c r="D217" s="14">
        <f>GiaDinh_K3!$D$25/GiaDinh_K3!$D$48</f>
        <v/>
      </c>
      <c r="E217" s="8" t="inlineStr">
        <is>
          <t>-</t>
        </is>
      </c>
      <c r="F217" s="8" t="inlineStr">
        <is>
          <t>Phải nguyên (KT-40)</t>
        </is>
      </c>
      <c r="G217" s="8" t="inlineStr"/>
    </row>
    <row r="218">
      <c r="A218" s="6" t="inlineStr">
        <is>
          <t>R. Kịch bản mô phỏng rút gọn TS-01 / TS-02 — DVP v1.2 §3.2 (rút gọn thời gian, v1.3)</t>
        </is>
      </c>
      <c r="B218" s="7" t="n"/>
      <c r="C218" s="7" t="n"/>
      <c r="D218" s="7" t="n"/>
      <c r="E218" s="7" t="n"/>
      <c r="F218" s="7" t="n"/>
      <c r="G218" s="7" t="n"/>
    </row>
    <row r="219">
      <c r="A219" s="8" t="inlineStr">
        <is>
          <t>t_go1</t>
        </is>
      </c>
      <c r="B219" s="8" t="inlineStr">
        <is>
          <t>TS-01: xe bắt đầu chạy Tiến, đầy tải</t>
        </is>
      </c>
      <c r="C219" s="8" t="inlineStr">
        <is>
          <t>t_go1</t>
        </is>
      </c>
      <c r="D219" s="14">
        <f>GiaDinh_K3!$D$54+GiaDinh_K3!$D$50+GiaDinh_K3!$D$51+GiaDinh_K3!$D$52</f>
        <v/>
      </c>
      <c r="E219" s="8" t="inlineStr">
        <is>
          <t>s</t>
        </is>
      </c>
      <c r="F219" s="8" t="inlineStr">
        <is>
          <t>t_cmd + t_mag + t_test + t_open (S2 → S3 → S3B)</t>
        </is>
      </c>
      <c r="G219" s="8" t="inlineStr"/>
    </row>
    <row r="220">
      <c r="A220" s="8" t="inlineStr">
        <is>
          <t>t_cr1</t>
        </is>
      </c>
      <c r="B220" s="8" t="inlineStr">
        <is>
          <t>TS-01: bắt đầu chạy đều</t>
        </is>
      </c>
      <c r="C220" s="8" t="inlineStr">
        <is>
          <t>t_cr1</t>
        </is>
      </c>
      <c r="D220" s="15">
        <f>$D$219+$D$41</f>
        <v/>
      </c>
      <c r="E220" s="8" t="inlineStr">
        <is>
          <t>s</t>
        </is>
      </c>
      <c r="F220" s="8" t="inlineStr"/>
      <c r="G220" s="8" t="inlineStr"/>
    </row>
    <row r="221">
      <c r="A221" s="8" t="inlineStr">
        <is>
          <t>t_dec1</t>
        </is>
      </c>
      <c r="B221" s="8" t="inlineStr">
        <is>
          <t>TS-01: nhả FWD — bắt đầu giảm tốc</t>
        </is>
      </c>
      <c r="C221" s="8" t="inlineStr">
        <is>
          <t>t_dec1</t>
        </is>
      </c>
      <c r="D221" s="14">
        <f>$D$220+GiaDinh_K3!$D$55</f>
        <v/>
      </c>
      <c r="E221" s="8" t="inlineStr">
        <is>
          <t>s</t>
        </is>
      </c>
      <c r="F221" s="8" t="inlineStr"/>
      <c r="G221" s="8" t="inlineStr"/>
    </row>
    <row r="222">
      <c r="A222" s="8" t="inlineStr">
        <is>
          <t>t_st1</t>
        </is>
      </c>
      <c r="B222" s="8" t="inlineStr">
        <is>
          <t>TS-01: dừng (v = 0)</t>
        </is>
      </c>
      <c r="C222" s="8" t="inlineStr">
        <is>
          <t>t_st1</t>
        </is>
      </c>
      <c r="D222" s="15">
        <f>$D$221+$D$41</f>
        <v/>
      </c>
      <c r="E222" s="8" t="inlineStr">
        <is>
          <t>s</t>
        </is>
      </c>
      <c r="F222" s="8" t="inlineStr"/>
      <c r="G222" s="8" t="inlineStr"/>
    </row>
    <row r="223">
      <c r="A223" s="8" t="inlineStr">
        <is>
          <t>t_unl</t>
        </is>
      </c>
      <c r="B223" s="8" t="inlineStr">
        <is>
          <t>TS-01: dỡ tải (m_pend → m_pend,0; reset θ, θ̇ = 0)</t>
        </is>
      </c>
      <c r="C223" s="8" t="inlineStr">
        <is>
          <t>t_unl</t>
        </is>
      </c>
      <c r="D223" s="14">
        <f>$D$222+GiaDinh_K3!$D$21+GiaDinh_K3!$D$53+GiaDinh_K3!$D$56</f>
        <v/>
      </c>
      <c r="E223" s="8" t="inlineStr">
        <is>
          <t>s</t>
        </is>
      </c>
      <c r="F223" s="8" t="inlineStr">
        <is>
          <t>Sau S6 và thời gian quan sát</t>
        </is>
      </c>
      <c r="G223" s="8" t="inlineStr"/>
    </row>
    <row r="224">
      <c r="A224" s="8" t="inlineStr">
        <is>
          <t>t_cmd2</t>
        </is>
      </c>
      <c r="B224" s="8" t="inlineStr">
        <is>
          <t>TS-01: nhấn REV</t>
        </is>
      </c>
      <c r="C224" s="8" t="inlineStr">
        <is>
          <t>t_cmd2</t>
        </is>
      </c>
      <c r="D224" s="14">
        <f>$D$223+GiaDinh_K3!$D$54</f>
        <v/>
      </c>
      <c r="E224" s="8" t="inlineStr">
        <is>
          <t>s</t>
        </is>
      </c>
      <c r="F224" s="8" t="inlineStr"/>
      <c r="G224" s="8" t="inlineStr"/>
    </row>
    <row r="225">
      <c r="A225" s="8" t="inlineStr">
        <is>
          <t>t_go2</t>
        </is>
      </c>
      <c r="B225" s="8" t="inlineStr">
        <is>
          <t>TS-01: xe bắt đầu chạy Lùi, không tải</t>
        </is>
      </c>
      <c r="C225" s="8" t="inlineStr">
        <is>
          <t>t_go2</t>
        </is>
      </c>
      <c r="D225" s="14">
        <f>$D$224+GiaDinh_K3!$D$50+GiaDinh_K3!$D$51+GiaDinh_K3!$D$52</f>
        <v/>
      </c>
      <c r="E225" s="8" t="inlineStr">
        <is>
          <t>s</t>
        </is>
      </c>
      <c r="F225" s="8" t="inlineStr"/>
      <c r="G225" s="8" t="inlineStr"/>
    </row>
    <row r="226">
      <c r="A226" s="8" t="inlineStr">
        <is>
          <t>t_st2</t>
        </is>
      </c>
      <c r="B226" s="8" t="inlineStr">
        <is>
          <t>TS-01: dừng (Lùi)</t>
        </is>
      </c>
      <c r="C226" s="8" t="inlineStr">
        <is>
          <t>t_st2</t>
        </is>
      </c>
      <c r="D226" s="14">
        <f>$D$225+2*$D$41+GiaDinh_K3!$D$55</f>
        <v/>
      </c>
      <c r="E226" s="8" t="inlineStr">
        <is>
          <t>s</t>
        </is>
      </c>
      <c r="F226" s="8" t="inlineStr"/>
      <c r="G226" s="8" t="inlineStr"/>
    </row>
    <row r="227">
      <c r="A227" s="8" t="inlineStr">
        <is>
          <t>T_end</t>
        </is>
      </c>
      <c r="B227" s="8" t="inlineStr">
        <is>
          <t>TS-01: thời gian mô phỏng</t>
        </is>
      </c>
      <c r="C227" s="8" t="inlineStr">
        <is>
          <t>T_end</t>
        </is>
      </c>
      <c r="D227" s="14">
        <f>$D$226+GiaDinh_K3!$D$21+GiaDinh_K3!$D$53+GiaDinh_K3!$D$56</f>
        <v/>
      </c>
      <c r="E227" s="8" t="inlineStr">
        <is>
          <t>s</t>
        </is>
      </c>
      <c r="F227" s="8" t="inlineStr"/>
      <c r="G227" s="8" t="inlineStr"/>
    </row>
    <row r="228">
      <c r="A228" s="8" t="inlineStr">
        <is>
          <t>s_run</t>
        </is>
      </c>
      <c r="B228" s="8" t="inlineStr">
        <is>
          <t>Quãng đường mỗi hành trình</t>
        </is>
      </c>
      <c r="C228" s="8" t="inlineStr">
        <is>
          <t>s_ht</t>
        </is>
      </c>
      <c r="D228" s="14">
        <f>Params!$C$10*(GiaDinh_K3!$D$55+$D$41)</f>
        <v/>
      </c>
      <c r="E228" s="8" t="inlineStr">
        <is>
          <t>m</t>
        </is>
      </c>
      <c r="F228" s="8" t="inlineStr"/>
      <c r="G228" s="8" t="inlineStr"/>
    </row>
    <row r="229">
      <c r="A229" s="8" t="inlineStr">
        <is>
          <t>N_step</t>
        </is>
      </c>
      <c r="B229" s="8" t="inlineStr">
        <is>
          <t>Số bước giải TS-01</t>
        </is>
      </c>
      <c r="C229" s="8" t="inlineStr">
        <is>
          <t>N</t>
        </is>
      </c>
      <c r="D229" s="14">
        <f>$D$227/GiaDinh_K3!$D$48</f>
        <v/>
      </c>
      <c r="E229" s="8" t="inlineStr">
        <is>
          <t>-</t>
        </is>
      </c>
      <c r="F229" s="8" t="inlineStr"/>
      <c r="G229" s="8" t="inlineStr"/>
    </row>
    <row r="230">
      <c r="A230" s="8" t="inlineStr">
        <is>
          <t>t_rev2</t>
        </is>
      </c>
      <c r="B230" s="8" t="inlineStr">
        <is>
          <t>TS-02: nhấn REV khi đang chạy đều Tiến</t>
        </is>
      </c>
      <c r="C230" s="8" t="inlineStr">
        <is>
          <t>t_rev2</t>
        </is>
      </c>
      <c r="D230" s="14">
        <f>$D$220+GiaDinh_K3!$D$57</f>
        <v/>
      </c>
      <c r="E230" s="8" t="inlineStr">
        <is>
          <t>s</t>
        </is>
      </c>
      <c r="F230" s="8" t="inlineStr">
        <is>
          <t>Kỳ vọng: không đổi chiều, chỉ S5 → S6 → S1</t>
        </is>
      </c>
      <c r="G230" s="8" t="inlineStr"/>
    </row>
    <row r="231">
      <c r="A231" s="8" t="inlineStr">
        <is>
          <t>T_end2</t>
        </is>
      </c>
      <c r="B231" s="8" t="inlineStr">
        <is>
          <t>TS-02: thời gian mô phỏng</t>
        </is>
      </c>
      <c r="C231" s="8" t="inlineStr">
        <is>
          <t>T_end2</t>
        </is>
      </c>
      <c r="D231" s="14">
        <f>$D$230+$D$41+GiaDinh_K3!$D$21+GiaDinh_K3!$D$53+GiaDinh_K3!$D$56</f>
        <v/>
      </c>
      <c r="E231" s="8" t="inlineStr">
        <is>
          <t>s</t>
        </is>
      </c>
      <c r="F231" s="8" t="inlineStr"/>
      <c r="G231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0" customWidth="1" min="1" max="1"/>
    <col width="56" customWidth="1" min="2" max="2"/>
    <col width="14" customWidth="1" min="3" max="4"/>
    <col width="16" customWidth="1" min="5" max="5"/>
    <col width="30" customWidth="1" min="6" max="6"/>
    <col width="60" customWidth="1" min="7" max="7"/>
  </cols>
  <sheetData>
    <row r="1" ht="15" customHeight="1">
      <c r="A1" s="3" t="inlineStr">
        <is>
          <t>Mã KT</t>
        </is>
      </c>
      <c r="B1" s="3" t="inlineStr">
        <is>
          <t>Nội dung kiểm tra</t>
        </is>
      </c>
      <c r="C1" s="3" t="inlineStr">
        <is>
          <t>Giá trị tính</t>
        </is>
      </c>
      <c r="D1" s="3" t="inlineStr">
        <is>
          <t>Ngưỡng</t>
        </is>
      </c>
      <c r="E1" s="3" t="inlineStr">
        <is>
          <t>Kết quả</t>
        </is>
      </c>
      <c r="F1" s="3" t="inlineStr">
        <is>
          <t>Yêu cầu nguồn</t>
        </is>
      </c>
      <c r="G1" s="3" t="inlineStr">
        <is>
          <t>Ghi chú</t>
        </is>
      </c>
    </row>
    <row r="2" ht="15" customHeight="1">
      <c r="A2" s="16" t="inlineStr">
        <is>
          <t>KT-01</t>
        </is>
      </c>
      <c r="B2" s="16" t="inlineStr">
        <is>
          <t>Lực cản tĩnh tính lại khớp P-20 (sai lệch &lt; 1 N)</t>
        </is>
      </c>
      <c r="C2" s="14">
        <f>'Tính chọn'!$D$5</f>
        <v/>
      </c>
      <c r="D2" s="14">
        <f>Params!$C$21</f>
        <v/>
      </c>
      <c r="E2" s="17">
        <f>IF(ABS(C2-D2)&lt;1,"Đạt","Không đạt")</f>
        <v/>
      </c>
      <c r="F2" s="16" t="inlineStr">
        <is>
          <t>P-20, K6</t>
        </is>
      </c>
      <c r="G2" s="16" t="n"/>
    </row>
    <row r="3" ht="15" customHeight="1">
      <c r="A3" s="16" t="inlineStr">
        <is>
          <t>KT-02</t>
        </is>
      </c>
      <c r="B3" s="16" t="inlineStr">
        <is>
          <t>Hệ số bám đầy tải k_bám ≥ 1.20</t>
        </is>
      </c>
      <c r="C3" s="14">
        <f>'Tính chọn'!$D$13</f>
        <v/>
      </c>
      <c r="D3" s="9" t="n">
        <v>1.2</v>
      </c>
      <c r="E3" s="17">
        <f>IF(C3&gt;=D3,"Đạt","Không đạt")</f>
        <v/>
      </c>
      <c r="F3" s="16" t="inlineStr">
        <is>
          <t>SRS-PERM-01</t>
        </is>
      </c>
      <c r="G3" s="16" t="n"/>
    </row>
    <row r="4" ht="15" customHeight="1">
      <c r="A4" s="16" t="inlineStr">
        <is>
          <t>KT-03</t>
        </is>
      </c>
      <c r="B4" s="16" t="inlineStr">
        <is>
          <t>Hệ số bám không tải k_bám,0 ≥ 1.20</t>
        </is>
      </c>
      <c r="C4" s="14">
        <f>'Tính chọn'!$D$16</f>
        <v/>
      </c>
      <c r="D4" s="9" t="n">
        <v>1.2</v>
      </c>
      <c r="E4" s="17">
        <f>IF(C4&gt;=D4,"Đạt","Không đạt")</f>
        <v/>
      </c>
      <c r="F4" s="16" t="inlineStr">
        <is>
          <t>SRS-PERM-01</t>
        </is>
      </c>
      <c r="G4" s="16" t="n"/>
    </row>
    <row r="5" ht="15" customHeight="1">
      <c r="A5" s="16" t="inlineStr">
        <is>
          <t>KT-04</t>
        </is>
      </c>
      <c r="B5" s="16" t="inlineStr">
        <is>
          <t>Bội số mô-men catalogue λ_K ≥ 2.0</t>
        </is>
      </c>
      <c r="C5" s="14">
        <f>Catalogue!$F$12</f>
        <v/>
      </c>
      <c r="D5" s="9" t="n">
        <v>2</v>
      </c>
      <c r="E5" s="17">
        <f>IF(C5&gt;=D5,"Đạt","Không đạt")</f>
        <v/>
      </c>
      <c r="F5" s="16" t="inlineStr">
        <is>
          <t>Downstream #7</t>
        </is>
      </c>
      <c r="G5" s="16" t="inlineStr">
        <is>
          <t>[W-01]</t>
        </is>
      </c>
    </row>
    <row r="6" ht="15" customHeight="1">
      <c r="A6" s="16" t="inlineStr">
        <is>
          <t>KT-05</t>
        </is>
      </c>
      <c r="B6" s="16" t="inlineStr">
        <is>
          <t>Quá tải ở sụt áp -10%: λ_K·(342/400)² ≥ M_max/M_N</t>
        </is>
      </c>
      <c r="C6" s="14">
        <f>'Tính chọn'!$D$36</f>
        <v/>
      </c>
      <c r="D6" s="14">
        <f>'Tính chọn'!$D$35</f>
        <v/>
      </c>
      <c r="E6" s="17">
        <f>IF(C6&gt;=D6,"Đạt","Không đạt")</f>
        <v/>
      </c>
      <c r="F6" s="16" t="inlineStr">
        <is>
          <t>Downstream #7, SRS-PERM-01</t>
        </is>
      </c>
      <c r="G6" s="16" t="n"/>
    </row>
    <row r="7" ht="15" customHeight="1">
      <c r="A7" s="16" t="inlineStr">
        <is>
          <t>KT-06</t>
        </is>
      </c>
      <c r="B7" s="16" t="inlineStr">
        <is>
          <t>Lực kéo ĐC tạo được ≥ F_max = 9,218 N (dải 9.25 ± 0.45 kN)</t>
        </is>
      </c>
      <c r="C7" s="14">
        <f>'Tính chọn'!$D$37</f>
        <v/>
      </c>
      <c r="D7" s="14">
        <f>'Tính chọn'!$D$10</f>
        <v/>
      </c>
      <c r="E7" s="17">
        <f>IF(C7&gt;=D7,"Đạt","Không đạt")</f>
        <v/>
      </c>
      <c r="F7" s="16" t="inlineStr">
        <is>
          <t>Downstream #6</t>
        </is>
      </c>
      <c r="G7" s="16" t="n"/>
    </row>
    <row r="8" ht="15" customHeight="1">
      <c r="A8" s="16" t="inlineStr">
        <is>
          <t>KT-07</t>
        </is>
      </c>
      <c r="B8" s="16" t="inlineStr">
        <is>
          <t>k_dt ≥ 1.20 (SRS Baseline A.1 — có hiệu lực 24/10/2026)</t>
        </is>
      </c>
      <c r="C8" s="14">
        <f>'Tính chọn'!$D$60</f>
        <v/>
      </c>
      <c r="D8" s="9" t="n">
        <v>1.2</v>
      </c>
      <c r="E8" s="17">
        <f>IF(C8&gt;=D8,"Đạt","Không đạt")</f>
        <v/>
      </c>
      <c r="F8" s="16" t="inlineStr">
        <is>
          <t>SRS-PERM-04 (A.1)</t>
        </is>
      </c>
      <c r="G8" s="16" t="n"/>
    </row>
    <row r="9" ht="28.5" customHeight="1">
      <c r="A9" s="16" t="inlineStr">
        <is>
          <t>KT-08</t>
        </is>
      </c>
      <c r="B9" s="16" t="inlineStr">
        <is>
          <t>k_dt ≤ 1.50 (cận trên SRS v1.2 — đã bỏ trong SRS Baseline A.1, ký 24/10/2026)</t>
        </is>
      </c>
      <c r="C9" s="14">
        <f>'Tính chọn'!$D$60</f>
        <v/>
      </c>
      <c r="D9" s="9" t="n">
        <v>1.5</v>
      </c>
      <c r="E9" s="17">
        <f>"Không áp dụng (SRS A.1 có hiệu lực, CR-01)"</f>
        <v/>
      </c>
      <c r="F9" s="16" t="inlineStr">
        <is>
          <t>SRS-PERM-04 (v1.2 → A.1)</t>
        </is>
      </c>
      <c r="G9" s="16" t="inlineStr">
        <is>
          <t>Giữ để truy vết xung đột QĐ-02</t>
        </is>
      </c>
    </row>
    <row r="10" ht="28.5" customHeight="1">
      <c r="A10" s="16" t="inlineStr">
        <is>
          <t>KT-09</t>
        </is>
      </c>
      <c r="B10" s="16" t="inlineStr">
        <is>
          <t>P_đm ≤ min(2.2 kW; 1.5·P_max) — QCD-C01, cách hiểu QĐ-08 (so với P_max)</t>
        </is>
      </c>
      <c r="C10" s="14">
        <f>Catalogue!$F$4</f>
        <v/>
      </c>
      <c r="D10" s="14">
        <f>MIN(2.2,1.5*'Tính chọn'!$D$11/1000)</f>
        <v/>
      </c>
      <c r="E10" s="17">
        <f>IF(C10&lt;=D10,"Đạt","Không đạt")</f>
        <v/>
      </c>
      <c r="F10" s="16" t="inlineStr">
        <is>
          <t>SOW QCD-C01 (QĐ-08)</t>
        </is>
      </c>
      <c r="G10" s="16" t="inlineStr">
        <is>
          <t>Trần = MIN(2.2; 1.5·P_max/1000)</t>
        </is>
      </c>
    </row>
    <row r="11" ht="15" customHeight="1">
      <c r="A11" s="16" t="inlineStr">
        <is>
          <t>KT-10</t>
        </is>
      </c>
      <c r="B11" s="16" t="inlineStr">
        <is>
          <t>Biến tần: I_Hd ≥ I_N động cơ</t>
        </is>
      </c>
      <c r="C11" s="14">
        <f>Catalogue!$F$21</f>
        <v/>
      </c>
      <c r="D11" s="14">
        <f>Catalogue!$F$7</f>
        <v/>
      </c>
      <c r="E11" s="17">
        <f>IF(C11&gt;=D11,"Đạt","Không đạt")</f>
        <v/>
      </c>
      <c r="F11" s="16" t="inlineStr">
        <is>
          <t>SRS-PERM-04</t>
        </is>
      </c>
      <c r="G11" s="16" t="n"/>
    </row>
    <row r="12" ht="15" customHeight="1">
      <c r="A12" s="16" t="inlineStr">
        <is>
          <t>KT-11</t>
        </is>
      </c>
      <c r="B12" s="16" t="inlineStr">
        <is>
          <t>Biến tần: 1.5·I_Hd ≥ I_đỉnh tăng tốc</t>
        </is>
      </c>
      <c r="C12" s="14">
        <f>'Tính chọn'!$D$72</f>
        <v/>
      </c>
      <c r="D12" s="14">
        <f>'Tính chọn'!$D$71</f>
        <v/>
      </c>
      <c r="E12" s="17">
        <f>IF(C12&gt;=D12,"Đạt","Không đạt")</f>
        <v/>
      </c>
      <c r="F12" s="16" t="inlineStr">
        <is>
          <t>SRS-PERM-01</t>
        </is>
      </c>
      <c r="G12" s="16" t="n"/>
    </row>
    <row r="13" ht="15" customHeight="1">
      <c r="A13" s="16" t="inlineStr">
        <is>
          <t>KT-12</t>
        </is>
      </c>
      <c r="B13" s="16" t="inlineStr">
        <is>
          <t>Biến tần: I_max ≥ I_đỉnh</t>
        </is>
      </c>
      <c r="C13" s="14">
        <f>Catalogue!$F$23</f>
        <v/>
      </c>
      <c r="D13" s="14">
        <f>'Tính chọn'!$D$71</f>
        <v/>
      </c>
      <c r="E13" s="17">
        <f>IF(C13&gt;=D13,"Đạt","Không đạt")</f>
        <v/>
      </c>
      <c r="F13" s="16" t="inlineStr">
        <is>
          <t>SRS-PERM-01</t>
        </is>
      </c>
      <c r="G13" s="16" t="n"/>
    </row>
    <row r="14" ht="15" customHeight="1">
      <c r="A14" s="16" t="inlineStr">
        <is>
          <t>KT-13</t>
        </is>
      </c>
      <c r="B14" s="16" t="inlineStr">
        <is>
          <t>R_h ≥ R_min chopper</t>
        </is>
      </c>
      <c r="C14" s="14">
        <f>GiaDinh_K3!$D$42</f>
        <v/>
      </c>
      <c r="D14" s="14">
        <f>'Tính chọn'!$D$78</f>
        <v/>
      </c>
      <c r="E14" s="17">
        <f>IF(C14&gt;=D14,"Đạt","Không đạt")</f>
        <v/>
      </c>
      <c r="F14" s="16" t="inlineStr">
        <is>
          <t>SRS-FUNC-04</t>
        </is>
      </c>
      <c r="G14" s="16" t="n"/>
    </row>
    <row r="15" ht="15" customHeight="1">
      <c r="A15" s="16" t="inlineStr">
        <is>
          <t>KT-14</t>
        </is>
      </c>
      <c r="B15" s="16" t="inlineStr">
        <is>
          <t>R_h ≤ min(U_chop²/P_hãm; R_max)</t>
        </is>
      </c>
      <c r="C15" s="14">
        <f>GiaDinh_K3!$D$42</f>
        <v/>
      </c>
      <c r="D15" s="14">
        <f>'Tính chọn'!$D$77</f>
        <v/>
      </c>
      <c r="E15" s="17">
        <f>IF(C15&lt;=D15,"Đạt","Không đạt")</f>
        <v/>
      </c>
      <c r="F15" s="16" t="inlineStr">
        <is>
          <t>SRS-FUNC-04, Downstream #3</t>
        </is>
      </c>
      <c r="G15" s="16" t="n"/>
    </row>
    <row r="16" ht="15" customHeight="1">
      <c r="A16" s="16" t="inlineStr">
        <is>
          <t>KT-15</t>
        </is>
      </c>
      <c r="B16" s="16" t="inlineStr">
        <is>
          <t>P_BRmax biến tần ≥ P_hãm đỉnh</t>
        </is>
      </c>
      <c r="C16" s="14">
        <f>Catalogue!$F$27</f>
        <v/>
      </c>
      <c r="D16" s="14">
        <f>'Tính chọn'!$D$75/1000</f>
        <v/>
      </c>
      <c r="E16" s="17">
        <f>IF(C16&gt;=D16,"Đạt","Không đạt")</f>
        <v/>
      </c>
      <c r="F16" s="16" t="inlineStr">
        <is>
          <t>SRS-FUNC-04</t>
        </is>
      </c>
      <c r="G16" s="16" t="inlineStr">
        <is>
          <t>đơn vị kW</t>
        </is>
      </c>
    </row>
    <row r="17" ht="28.5" customHeight="1">
      <c r="A17" s="16" t="inlineStr">
        <is>
          <t>KT-16</t>
        </is>
      </c>
      <c r="B17" s="16" t="inlineStr">
        <is>
          <t>U_dc không tải (lưới +10%) &lt; ngưỡng chopper dưới (U_chop − 20 V)</t>
        </is>
      </c>
      <c r="C17" s="14">
        <f>'Tính chọn'!$D$84</f>
        <v/>
      </c>
      <c r="D17" s="14">
        <f>GiaDinh_K3!$D$14-20</f>
        <v/>
      </c>
      <c r="E17" s="17">
        <f>IF(C17&lt;D17,"Đạt","Không đạt")</f>
        <v/>
      </c>
      <c r="F17" s="16" t="inlineStr">
        <is>
          <t>Downstream #3</t>
        </is>
      </c>
      <c r="G17" s="16" t="inlineStr">
        <is>
          <t>Chopper không băm khi đứng yên</t>
        </is>
      </c>
    </row>
    <row r="18" ht="15" customHeight="1">
      <c r="A18" s="16" t="inlineStr">
        <is>
          <t>KT-17</t>
        </is>
      </c>
      <c r="B18" s="16" t="inlineStr">
        <is>
          <t>Ngưỡng chopper &lt; U_dc,max &lt; ngưỡng trip</t>
        </is>
      </c>
      <c r="C18" s="14">
        <f>GiaDinh_K3!$D$15</f>
        <v/>
      </c>
      <c r="D18" s="14">
        <f>GiaDinh_K3!$D$16</f>
        <v/>
      </c>
      <c r="E18" s="17">
        <f>IF(AND(GiaDinh_K3!$D$14&lt;C18,C18&lt;D18),"Đạt","Không đạt")</f>
        <v/>
      </c>
      <c r="F18" s="16" t="inlineStr">
        <is>
          <t>Downstream #3</t>
        </is>
      </c>
      <c r="G18" s="16" t="inlineStr">
        <is>
          <t>Kiểm chứng U_dc(t) ở DV-04 (S)</t>
        </is>
      </c>
    </row>
    <row r="19" ht="15" customHeight="1">
      <c r="A19" s="16" t="inlineStr">
        <is>
          <t>KT-18</t>
        </is>
      </c>
      <c r="B19" s="16" t="inlineStr">
        <is>
          <t>S-curve: a* ≤ a_max</t>
        </is>
      </c>
      <c r="C19" s="14">
        <f>GiaDinh_K3!$D$11</f>
        <v/>
      </c>
      <c r="D19" s="14">
        <f>Params!$C$11</f>
        <v/>
      </c>
      <c r="E19" s="17">
        <f>IF(C19&lt;=D19,"Đạt","Không đạt")</f>
        <v/>
      </c>
      <c r="F19" s="16" t="inlineStr">
        <is>
          <t>SRS-FUNC-03</t>
        </is>
      </c>
      <c r="G19" s="16" t="n"/>
    </row>
    <row r="20" ht="15" customHeight="1">
      <c r="A20" s="16" t="inlineStr">
        <is>
          <t>KT-19</t>
        </is>
      </c>
      <c r="B20" s="16" t="inlineStr">
        <is>
          <t>S-curve: ρ* ≤ ρ_max</t>
        </is>
      </c>
      <c r="C20" s="14">
        <f>GiaDinh_K3!$D$12</f>
        <v/>
      </c>
      <c r="D20" s="14">
        <f>Params!$C$12</f>
        <v/>
      </c>
      <c r="E20" s="17">
        <f>IF(C20&lt;=D20,"Đạt","Không đạt")</f>
        <v/>
      </c>
      <c r="F20" s="16" t="inlineStr">
        <is>
          <t>SRS-FUNC-03</t>
        </is>
      </c>
      <c r="G20" s="16" t="n"/>
    </row>
    <row r="21" ht="15" customHeight="1">
      <c r="A21" s="16" t="inlineStr">
        <is>
          <t>KT-20</t>
        </is>
      </c>
      <c r="B21" s="16" t="inlineStr">
        <is>
          <t>S-curve đủ 3 đoạn: a*²/ρ* &lt; v_max</t>
        </is>
      </c>
      <c r="C21" s="14">
        <f>'Tính chọn'!$D$43</f>
        <v/>
      </c>
      <c r="D21" s="14">
        <f>Params!$C$10</f>
        <v/>
      </c>
      <c r="E21" s="17">
        <f>IF(C21&lt;D21,"Đạt","Không đạt")</f>
        <v/>
      </c>
      <c r="F21" s="16" t="inlineStr">
        <is>
          <t>SRS-FUNC-03</t>
        </is>
      </c>
      <c r="G21" s="16" t="n"/>
    </row>
    <row r="22" ht="15" customHeight="1">
      <c r="A22" s="16" t="inlineStr">
        <is>
          <t>KT-21</t>
        </is>
      </c>
      <c r="B22" s="16" t="inlineStr">
        <is>
          <t>Góc lắc dư ≤ θ_0 = 2.92°</t>
        </is>
      </c>
      <c r="C22" s="14">
        <f>'Tính chọn'!$D$46</f>
        <v/>
      </c>
      <c r="D22" s="14">
        <f>'Tính chọn'!$D$47</f>
        <v/>
      </c>
      <c r="E22" s="17">
        <f>IF(C22&lt;=D22,"Đạt","Không đạt")</f>
        <v/>
      </c>
      <c r="F22" s="16" t="inlineStr">
        <is>
          <t>SRS-PERM-03 (tham khảo)</t>
        </is>
      </c>
      <c r="G22" s="16" t="inlineStr">
        <is>
          <t>Ước lượng; kiểm chứng S ở DV-07</t>
        </is>
      </c>
    </row>
    <row r="23" ht="15" customHeight="1">
      <c r="A23" s="16" t="inlineStr">
        <is>
          <t>KT-22</t>
        </is>
      </c>
      <c r="B23" s="16" t="inlineStr">
        <is>
          <t>Δt_torque (MO) ≤ 10 ms</t>
        </is>
      </c>
      <c r="C23" s="14">
        <f>'Tính chọn'!$D$131</f>
        <v/>
      </c>
      <c r="D23" s="9" t="n">
        <v>0.01</v>
      </c>
      <c r="E23" s="17">
        <f>IF(C23&lt;=D23,"Đạt","Không đạt")</f>
        <v/>
      </c>
      <c r="F23" s="16" t="inlineStr">
        <is>
          <t>Downstream #4</t>
        </is>
      </c>
      <c r="G23" s="16" t="inlineStr">
        <is>
          <t>Catalogue ACS380 &lt; 10 ms [W-05]</t>
        </is>
      </c>
    </row>
    <row r="24" ht="15" customHeight="1">
      <c r="A24" s="16" t="inlineStr">
        <is>
          <t>KT-23</t>
        </is>
      </c>
      <c r="B24" s="16" t="inlineStr">
        <is>
          <t>PM vòng tốc độ đầy tải ≥ PM_min</t>
        </is>
      </c>
      <c r="C24" s="14">
        <f>'Tính chọn'!$D$152</f>
        <v/>
      </c>
      <c r="D24" s="14">
        <f>GiaDinh_K3!$D$36</f>
        <v/>
      </c>
      <c r="E24" s="17">
        <f>IF(C24&gt;=D24,"Đạt","Không đạt")</f>
        <v/>
      </c>
      <c r="F24" s="16" t="inlineStr">
        <is>
          <t>Downstream #1 (gián tiếp)</t>
        </is>
      </c>
      <c r="G24" s="16" t="inlineStr">
        <is>
          <t>M_p kiểm chứng S ở DV-06</t>
        </is>
      </c>
    </row>
    <row r="25" ht="15" customHeight="1">
      <c r="A25" s="16" t="inlineStr">
        <is>
          <t>KT-24</t>
        </is>
      </c>
      <c r="B25" s="16" t="inlineStr">
        <is>
          <t>PM vòng tốc độ không tải ≥ PM_min</t>
        </is>
      </c>
      <c r="C25" s="14">
        <f>'Tính chọn'!$D$166</f>
        <v/>
      </c>
      <c r="D25" s="14">
        <f>GiaDinh_K3!$D$36</f>
        <v/>
      </c>
      <c r="E25" s="17">
        <f>IF(C25&gt;=D25,"Đạt","Không đạt")</f>
        <v/>
      </c>
      <c r="F25" s="16" t="inlineStr">
        <is>
          <t>Downstream #1 (gián tiếp)</t>
        </is>
      </c>
      <c r="G25" s="16" t="n"/>
    </row>
    <row r="26" ht="15" customHeight="1">
      <c r="A26" s="16" t="inlineStr">
        <is>
          <t>KT-25</t>
        </is>
      </c>
      <c r="B26" s="16" t="inlineStr">
        <is>
          <t>Phân giải encoder Δv ≤ ngưỡng cấm đảo chiều 0.002 m/s</t>
        </is>
      </c>
      <c r="C26" s="14">
        <f>'Tính chọn'!$D$170</f>
        <v/>
      </c>
      <c r="D26" s="14">
        <f>GiaDinh_K3!$D$32</f>
        <v/>
      </c>
      <c r="E26" s="17">
        <f>IF(C26&lt;=D26,"Đạt","Không đạt")</f>
        <v/>
      </c>
      <c r="F26" s="16" t="inlineStr">
        <is>
          <t>Downstream #5</t>
        </is>
      </c>
      <c r="G26" s="16" t="n"/>
    </row>
    <row r="27" ht="15" customHeight="1">
      <c r="A27" s="16" t="inlineStr">
        <is>
          <t>KT-26</t>
        </is>
      </c>
      <c r="B27" s="16" t="inlineStr">
        <is>
          <t>Tốc độ bò trong [0.030; 0.036] m/s</t>
        </is>
      </c>
      <c r="C27" s="14">
        <f>'Tính chọn'!$D$172</f>
        <v/>
      </c>
      <c r="D27" s="14">
        <f>0.3*Params!$C$10</f>
        <v/>
      </c>
      <c r="E27" s="17">
        <f>IF(AND(C27&gt;=0.25*Params!$C$10-0.000000001,C27&lt;=0.3*Params!$C$10+0.000000001),"Đạt","Không đạt")</f>
        <v/>
      </c>
      <c r="F27" s="16" t="inlineStr">
        <is>
          <t>Downstream #8</t>
        </is>
      </c>
      <c r="G27" s="16" t="n"/>
    </row>
    <row r="28" ht="15" customHeight="1">
      <c r="A28" s="16" t="inlineStr">
        <is>
          <t>KT-27</t>
        </is>
      </c>
      <c r="B28" s="16" t="inlineStr">
        <is>
          <t>M_B ≥ max(k_p·M_c; 1.2·M_hold) (giữ xe &amp; chịu mô-men thử)</t>
        </is>
      </c>
      <c r="C28" s="14">
        <f>GiaDinh_K3!$D$20</f>
        <v/>
      </c>
      <c r="D28" s="14">
        <f>'Tính chọn'!$D$88</f>
        <v/>
      </c>
      <c r="E28" s="17">
        <f>IF(C28&gt;=D28,"Đạt","Không đạt")</f>
        <v/>
      </c>
      <c r="F28" s="16" t="inlineStr">
        <is>
          <t>SRS-FUNC-02</t>
        </is>
      </c>
      <c r="G28" s="16" t="inlineStr">
        <is>
          <t>[R1] qua Baseline</t>
        </is>
      </c>
    </row>
    <row r="29" ht="15" customHeight="1">
      <c r="A29" s="16" t="inlineStr">
        <is>
          <t>KT-28</t>
        </is>
      </c>
      <c r="B29" s="16" t="inlineStr">
        <is>
          <t>M_B ≤ giới hạn không trượt đầy tải</t>
        </is>
      </c>
      <c r="C29" s="14">
        <f>GiaDinh_K3!$D$20</f>
        <v/>
      </c>
      <c r="D29" s="14">
        <f>'Tính chọn'!$D$89</f>
        <v/>
      </c>
      <c r="E29" s="17">
        <f>IF(C29&lt;=D29,"Đạt","Không đạt")</f>
        <v/>
      </c>
      <c r="F29" s="16" t="inlineStr">
        <is>
          <t>SRS-PERM-01</t>
        </is>
      </c>
      <c r="G29" s="16" t="n"/>
    </row>
    <row r="30" ht="28.5" customHeight="1">
      <c r="A30" s="16" t="inlineStr">
        <is>
          <t>KT-29</t>
        </is>
      </c>
      <c r="B30" s="16" t="inlineStr">
        <is>
          <t>M_B ≤ giới hạn không trượt không tải (chỉ khi phanh khẩn lúc đang chạy)</t>
        </is>
      </c>
      <c r="C30" s="14">
        <f>GiaDinh_K3!$D$20</f>
        <v/>
      </c>
      <c r="D30" s="14">
        <f>'Tính chọn'!$D$90</f>
        <v/>
      </c>
      <c r="E30" s="17">
        <f>"Không áp dụng (QĐ-07: vận hành lý tưởng, không dừng khẩn/mất điện)"</f>
        <v/>
      </c>
      <c r="F30" s="16" t="inlineStr">
        <is>
          <t>SRS-FUNC-02</t>
        </is>
      </c>
      <c r="G30" s="16" t="inlineStr">
        <is>
          <t>DFMEA FM-07 — Không áp dụng</t>
        </is>
      </c>
    </row>
    <row r="31" ht="15" customHeight="1">
      <c r="A31" s="16" t="inlineStr">
        <is>
          <t>KT-30</t>
        </is>
      </c>
      <c r="B31" s="16" t="inlineStr">
        <is>
          <t>Độ trôi danh nghĩa Δs ≤ 10 mm</t>
        </is>
      </c>
      <c r="C31" s="14">
        <f>'Tính chọn'!$D$94</f>
        <v/>
      </c>
      <c r="D31" s="9" t="n">
        <v>10</v>
      </c>
      <c r="E31" s="17">
        <f>IF(C31&lt;=D31,"Đạt","Không đạt")</f>
        <v/>
      </c>
      <c r="F31" s="16" t="inlineStr">
        <is>
          <t>SRS-FUNC-02</t>
        </is>
      </c>
      <c r="G31" s="16" t="inlineStr">
        <is>
          <t>Kiểm chứng S ở DV-02</t>
        </is>
      </c>
    </row>
    <row r="32" ht="28.5" customHeight="1">
      <c r="A32" s="16" t="inlineStr">
        <is>
          <t>KT-31</t>
        </is>
      </c>
      <c r="B32" s="16" t="inlineStr">
        <is>
          <t>Vận tốc định mức: |Δv/v| khi dùng i_thực ≤ 5% (hoặc biến tần bù tần số)</t>
        </is>
      </c>
      <c r="C32" s="14">
        <f>'Tính chọn'!$D$21</f>
        <v/>
      </c>
      <c r="D32" s="9" t="n">
        <v>0.05</v>
      </c>
      <c r="E32" s="17">
        <f>IF(ISBLANK(GiaDinh_K3!$D$39),"TBD (chưa có i_thực)",IF(ABS(C32)&lt;=D32,"Đạt","Không đạt — bù bằng tần số"))</f>
        <v/>
      </c>
      <c r="F32" s="16" t="inlineStr">
        <is>
          <t>SRS-PERM-02</t>
        </is>
      </c>
      <c r="G32" s="16" t="n"/>
    </row>
    <row r="33" ht="28.5" customHeight="1">
      <c r="A33" s="16" t="inlineStr">
        <is>
          <t>KT-33</t>
        </is>
      </c>
      <c r="B33" s="16" t="inlineStr">
        <is>
          <t>Hộp số R87: mô-men ra đỉnh (F_c + δ·M_Σ·a_max)·D/2 ≤ M_a,max</t>
        </is>
      </c>
      <c r="C33" s="14">
        <f>(Params!$C$21+GiaDinh_K3!$D$8*Params!$C$5*Params!$C$11)*Params!$C$13/2</f>
        <v/>
      </c>
      <c r="D33" s="14">
        <f>GiaDinh_K3!$D$40</f>
        <v/>
      </c>
      <c r="E33" s="17">
        <f>IF(C33&lt;=D33,"Đạt","Không đạt")</f>
        <v/>
      </c>
      <c r="F33" s="16" t="inlineStr">
        <is>
          <t>SRS-PERM-01</t>
        </is>
      </c>
      <c r="G33" s="16" t="inlineStr">
        <is>
          <t>[W-06]</t>
        </is>
      </c>
    </row>
    <row r="34" ht="15" customHeight="1">
      <c r="A34" s="16" t="inlineStr">
        <is>
          <t>KT-32</t>
        </is>
      </c>
      <c r="B34" s="16" t="inlineStr">
        <is>
          <t>Kết quả mô phỏng DV-01..07</t>
        </is>
      </c>
      <c r="C34" s="18" t="n"/>
      <c r="D34" s="18" t="n"/>
      <c r="E34" s="17">
        <f>"TBD — Report: chưa chạy"</f>
        <v/>
      </c>
      <c r="F34" s="16" t="inlineStr">
        <is>
          <t>DVP v1.2</t>
        </is>
      </c>
      <c r="G34" s="16" t="inlineStr">
        <is>
          <t>WORKFLOW §7.5</t>
        </is>
      </c>
    </row>
    <row r="35">
      <c r="A35" s="16" t="inlineStr">
        <is>
          <t>KT-34</t>
        </is>
      </c>
      <c r="B35" s="16" t="inlineStr">
        <is>
          <t>Mô hình 2 khối: (m_xc + m_pend)·g·w0 khớp P-20 (sai lệch &lt; 1 N)</t>
        </is>
      </c>
      <c r="C35" s="14">
        <f>'Tính chọn'!$D$180</f>
        <v/>
      </c>
      <c r="D35" s="14">
        <f>Params!$C$21</f>
        <v/>
      </c>
      <c r="E35" s="17">
        <f>IF(ABS(C35-D35)&lt;1,"Đạt","Không đạt")</f>
        <v/>
      </c>
      <c r="F35" s="16" t="inlineStr">
        <is>
          <t>P-20, K6</t>
        </is>
      </c>
      <c r="G35" s="16" t="inlineStr">
        <is>
          <t>Trọng lượng tải vẫn đè lên bánh</t>
        </is>
      </c>
    </row>
    <row r="36">
      <c r="A36" s="16" t="inlineStr">
        <is>
          <t>KT-35</t>
        </is>
      </c>
      <c r="B36" s="16" t="inlineStr">
        <is>
          <t>Cộng hưởng xe–tải ω_r ≪ tần số cắt vòng tốc độ (ω_c/ω_r ≥ 10)</t>
        </is>
      </c>
      <c r="C36" s="14">
        <f>'Tính chọn'!$D$153/'Tính chọn'!$D$183</f>
        <v/>
      </c>
      <c r="D36" s="9" t="n">
        <v>10</v>
      </c>
      <c r="E36" s="17">
        <f>IF(C36&gt;=D36,"Đạt","Không đạt")</f>
        <v/>
      </c>
      <c r="F36" s="16" t="inlineStr">
        <is>
          <t>SRS-PERM-02</t>
        </is>
      </c>
      <c r="G36" s="16" t="inlineStr">
        <is>
          <t>Vòng tốc độ chỉ thấy J_rig</t>
        </is>
      </c>
    </row>
    <row r="37">
      <c r="A37" s="16" t="inlineStr">
        <is>
          <t>KT-36</t>
        </is>
      </c>
      <c r="B37" s="16" t="inlineStr">
        <is>
          <t>κ_2m nằm trong [κ_đầy; κ_không] đã kiểm ở KT-23/24 ⇒ PM ≥ 34.6°</t>
        </is>
      </c>
      <c r="C37" s="14">
        <f>'Tính chọn'!$D$189</f>
        <v/>
      </c>
      <c r="D37" s="14">
        <f>'Tính chọn'!$D$139</f>
        <v/>
      </c>
      <c r="E37" s="17">
        <f>IF(AND(C37&gt;='Tính chọn'!$D$138,C37&lt;=D37),"Đạt","Không đạt")</f>
        <v/>
      </c>
      <c r="F37" s="16" t="inlineStr">
        <is>
          <t>Downstream #1 (gián tiếp)</t>
        </is>
      </c>
      <c r="G37" s="16" t="inlineStr">
        <is>
          <t>PM của SO nhỏ nhất ở hai biên κ</t>
        </is>
      </c>
    </row>
    <row r="38">
      <c r="A38" s="16" t="inlineStr">
        <is>
          <t>KT-37</t>
        </is>
      </c>
      <c r="B38" s="16" t="inlineStr">
        <is>
          <t>Giảm từ thông (lưới −10%): i_sq cần ≤ i_sq,lim</t>
        </is>
      </c>
      <c r="C38" s="14">
        <f>'Tính chọn'!$D$206</f>
        <v/>
      </c>
      <c r="D38" s="14">
        <f>'Tính chọn'!$D$125</f>
        <v/>
      </c>
      <c r="E38" s="17">
        <f>IF(C38&lt;=D38,"Đạt","Không đạt")</f>
        <v/>
      </c>
      <c r="F38" s="16" t="inlineStr">
        <is>
          <t>SRS-PERM-01, IF-04</t>
        </is>
      </c>
      <c r="G38" s="16" t="inlineStr">
        <is>
          <t>Bảo thủ (khối cứng)</t>
        </is>
      </c>
    </row>
    <row r="39">
      <c r="A39" s="16" t="inlineStr">
        <is>
          <t>KT-38</t>
        </is>
      </c>
      <c r="B39" s="16" t="inlineStr">
        <is>
          <t>Giảm từ thông (lưới −10%): dòng stator hiệu dụng ≤ 1.5·I_Hd</t>
        </is>
      </c>
      <c r="C39" s="14">
        <f>'Tính chọn'!$D$208</f>
        <v/>
      </c>
      <c r="D39" s="14">
        <f>'Tính chọn'!$D$72</f>
        <v/>
      </c>
      <c r="E39" s="17">
        <f>IF(C39&lt;=D39,"Đạt","Không đạt")</f>
        <v/>
      </c>
      <c r="F39" s="16" t="inlineStr">
        <is>
          <t>SRS-PERM-04</t>
        </is>
      </c>
      <c r="G39" s="16" t="inlineStr">
        <is>
          <t>[W-05] tr.12</t>
        </is>
      </c>
    </row>
    <row r="40">
      <c r="A40" s="16" t="inlineStr">
        <is>
          <t>KT-39</t>
        </is>
      </c>
      <c r="B40" s="16" t="inlineStr">
        <is>
          <t>DC-link: với mô hình khối cứng (mech_model = 1), chopper tác động khi dừng đầy tải (E_Rh &gt; E_C) ⇒ DV-04 quan sát được</t>
        </is>
      </c>
      <c r="C40" s="14">
        <f>'Tính chọn'!$D$82</f>
        <v/>
      </c>
      <c r="D40" s="14">
        <f>'Tính chọn'!$D$213</f>
        <v/>
      </c>
      <c r="E40" s="17">
        <f>IF(C40&gt;D40,"Đạt","Không đạt")</f>
        <v/>
      </c>
      <c r="F40" s="16" t="inlineStr">
        <is>
          <t>SRS-FUNC-04</t>
        </is>
      </c>
      <c r="G40" s="16" t="inlineStr">
        <is>
          <t>Phụ thuộc C_dc [C] chưa xác minh; mô hình 2 khối cho E ≈ 0–28 J nên có thể không đóng chopper</t>
        </is>
      </c>
    </row>
    <row r="41">
      <c r="A41" s="16" t="inlineStr">
        <is>
          <t>KT-40</t>
        </is>
      </c>
      <c r="B41" s="16" t="inlineStr">
        <is>
          <t>Bước giải T_s ≤ 1e-4 s; Ts_I và Ts_w là bội nguyên của T_s</t>
        </is>
      </c>
      <c r="C41" s="23">
        <f>GiaDinh_K3!$D$48</f>
        <v/>
      </c>
      <c r="D41" s="22" t="n">
        <v>0.0001</v>
      </c>
      <c r="E41" s="17">
        <f>IF(AND(C41&lt;=D41,ABS('Tính chọn'!$D$216-ROUND('Tính chọn'!$D$216,0))&lt;1E-9,ABS('Tính chọn'!$D$217-ROUND('Tính chọn'!$D$217,0))&lt;1E-9),"Đạt","Không đạt")</f>
        <v/>
      </c>
      <c r="F41" s="16" t="inlineStr">
        <is>
          <t>DVP v1.2 §3.4</t>
        </is>
      </c>
      <c r="G41" s="16" t="inlineStr"/>
    </row>
    <row r="42">
      <c r="A42" s="16" t="inlineStr">
        <is>
          <t>KT-41</t>
        </is>
      </c>
      <c r="B42" s="16" t="inlineStr">
        <is>
          <t>Kịch bản rút gọn: T_run ≥ T_p (thấy ≥ 1 chu kỳ lắc khi chạy đều)</t>
        </is>
      </c>
      <c r="C42" s="14">
        <f>GiaDinh_K3!$D$55</f>
        <v/>
      </c>
      <c r="D42" s="14">
        <f>Params!$C$9</f>
        <v/>
      </c>
      <c r="E42" s="17">
        <f>IF(C42&gt;=D42,"Đạt","Không đạt")</f>
        <v/>
      </c>
      <c r="F42" s="16" t="inlineStr">
        <is>
          <t>SRS-PERM-03 (DV-07)</t>
        </is>
      </c>
      <c r="G4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2" customWidth="1" min="1" max="1"/>
    <col width="60" customWidth="1" min="2" max="2"/>
    <col width="14" customWidth="1" min="3" max="3"/>
    <col width="10" customWidth="1" min="4" max="4"/>
    <col width="22" customWidth="1" min="5" max="5"/>
    <col width="34" customWidth="1" min="6" max="6"/>
    <col width="10" customWidth="1" min="7" max="8"/>
  </cols>
  <sheetData>
    <row r="1" ht="30" customHeight="1">
      <c r="A1" s="3" t="inlineStr">
        <is>
          <t>Mã SRS-Dxx</t>
        </is>
      </c>
      <c r="B1" s="3" t="inlineStr">
        <is>
          <t>Ràng buộc thiết kế dẫn xuất</t>
        </is>
      </c>
      <c r="C1" s="3" t="inlineStr">
        <is>
          <t>Giá trị</t>
        </is>
      </c>
      <c r="D1" s="3" t="inlineStr">
        <is>
          <t>Đơn vị</t>
        </is>
      </c>
      <c r="E1" s="3" t="inlineStr">
        <is>
          <t>Yêu cầu cha</t>
        </is>
      </c>
      <c r="F1" s="3" t="inlineStr">
        <is>
          <t>Bước tính sinh ra (sheet/khối)</t>
        </is>
      </c>
      <c r="G1" s="3" t="inlineStr">
        <is>
          <t>Phương pháp KC</t>
        </is>
      </c>
      <c r="H1" s="3" t="inlineStr">
        <is>
          <t>DV</t>
        </is>
      </c>
    </row>
    <row r="2">
      <c r="A2" s="8" t="inlineStr">
        <is>
          <t>SRS-D01</t>
        </is>
      </c>
      <c r="B2" s="8" t="inlineStr">
        <is>
          <t>Lực kéo cực đại khi tăng tốc đầy tải; giới hạn i_sq chống trượt</t>
        </is>
      </c>
      <c r="C2" s="14">
        <f>'Tính chọn'!$D$10</f>
        <v/>
      </c>
      <c r="D2" s="8" t="inlineStr">
        <is>
          <t>N</t>
        </is>
      </c>
      <c r="E2" s="8" t="inlineStr">
        <is>
          <t>SRS-PERM-01</t>
        </is>
      </c>
      <c r="F2" s="8" t="inlineStr">
        <is>
          <t>Tính chọn B, J (isqmax)</t>
        </is>
      </c>
      <c r="G2" s="8" t="inlineStr">
        <is>
          <t>A</t>
        </is>
      </c>
      <c r="H2" s="8" t="inlineStr">
        <is>
          <t>DV-05</t>
        </is>
      </c>
    </row>
    <row r="3" ht="28.5" customHeight="1">
      <c r="A3" s="8" t="inlineStr">
        <is>
          <t>SRS-D02</t>
        </is>
      </c>
      <c r="B3" s="8" t="inlineStr">
        <is>
          <t>Bội số mô-men yêu cầu M_max/M_N (≤ λ_K·(342/400)²)</t>
        </is>
      </c>
      <c r="C3" s="14">
        <f>'Tính chọn'!$D$35</f>
        <v/>
      </c>
      <c r="D3" s="8" t="inlineStr">
        <is>
          <t>-</t>
        </is>
      </c>
      <c r="E3" s="8" t="inlineStr">
        <is>
          <t>SRS-PERM-01, SRS-PERM-04</t>
        </is>
      </c>
      <c r="F3" s="8" t="inlineStr">
        <is>
          <t>Tính chọn D</t>
        </is>
      </c>
      <c r="G3" s="8" t="inlineStr">
        <is>
          <t>A / I</t>
        </is>
      </c>
      <c r="H3" s="8" t="inlineStr">
        <is>
          <t>DV-08</t>
        </is>
      </c>
    </row>
    <row r="4">
      <c r="A4" s="8" t="inlineStr">
        <is>
          <t>SRS-D03</t>
        </is>
      </c>
      <c r="B4" s="8" t="inlineStr">
        <is>
          <t>Tỷ số truyền dùng cho quy đổi (i_thực; TBD → i_yc)</t>
        </is>
      </c>
      <c r="C4" s="14">
        <f>'Tính chọn'!$D$20</f>
        <v/>
      </c>
      <c r="D4" s="8" t="inlineStr">
        <is>
          <t>-</t>
        </is>
      </c>
      <c r="E4" s="8" t="inlineStr">
        <is>
          <t>SRS-PERM-02</t>
        </is>
      </c>
      <c r="F4" s="8" t="inlineStr">
        <is>
          <t>Tính chọn C</t>
        </is>
      </c>
      <c r="G4" s="8" t="inlineStr">
        <is>
          <t>I</t>
        </is>
      </c>
      <c r="H4" s="8" t="inlineStr">
        <is>
          <t>DV-06</t>
        </is>
      </c>
    </row>
    <row r="5">
      <c r="A5" s="8" t="inlineStr">
        <is>
          <t>SRS-D04a</t>
        </is>
      </c>
      <c r="B5" s="8" t="inlineStr">
        <is>
          <t>Công suất định mức động cơ chọn</t>
        </is>
      </c>
      <c r="C5" s="14">
        <f>Catalogue!$F$4</f>
        <v/>
      </c>
      <c r="D5" s="8" t="inlineStr">
        <is>
          <t>kW</t>
        </is>
      </c>
      <c r="E5" s="8" t="inlineStr">
        <is>
          <t>SRS-PERM-04</t>
        </is>
      </c>
      <c r="F5" s="8" t="inlineStr">
        <is>
          <t>Catalogue + Tính chọn F</t>
        </is>
      </c>
      <c r="G5" s="8" t="inlineStr">
        <is>
          <t>A / I</t>
        </is>
      </c>
      <c r="H5" s="8" t="inlineStr">
        <is>
          <t>DV-08</t>
        </is>
      </c>
    </row>
    <row r="6">
      <c r="A6" s="8" t="inlineStr">
        <is>
          <t>SRS-D04b</t>
        </is>
      </c>
      <c r="B6" s="8" t="inlineStr">
        <is>
          <t>Dòng heavy-duty biến tần chọn</t>
        </is>
      </c>
      <c r="C6" s="14">
        <f>Catalogue!$F$21</f>
        <v/>
      </c>
      <c r="D6" s="8" t="inlineStr">
        <is>
          <t>A</t>
        </is>
      </c>
      <c r="E6" s="8" t="inlineStr">
        <is>
          <t>SRS-PERM-04</t>
        </is>
      </c>
      <c r="F6" s="8" t="inlineStr">
        <is>
          <t>Catalogue + Tính chọn G</t>
        </is>
      </c>
      <c r="G6" s="8" t="inlineStr">
        <is>
          <t>I</t>
        </is>
      </c>
      <c r="H6" s="8" t="inlineStr">
        <is>
          <t>DV-08</t>
        </is>
      </c>
    </row>
    <row r="7">
      <c r="A7" s="8" t="inlineStr">
        <is>
          <t>SRS-D05a</t>
        </is>
      </c>
      <c r="B7" s="8" t="inlineStr">
        <is>
          <t>Điện trở xả hãm R_h</t>
        </is>
      </c>
      <c r="C7" s="14">
        <f>GiaDinh_K3!$D$42</f>
        <v/>
      </c>
      <c r="D7" s="8" t="inlineStr">
        <is>
          <t>Ω</t>
        </is>
      </c>
      <c r="E7" s="8" t="inlineStr">
        <is>
          <t>SRS-FUNC-04</t>
        </is>
      </c>
      <c r="F7" s="8" t="inlineStr">
        <is>
          <t>Tính chọn H</t>
        </is>
      </c>
      <c r="G7" s="8" t="inlineStr">
        <is>
          <t>A / S</t>
        </is>
      </c>
      <c r="H7" s="8" t="inlineStr">
        <is>
          <t>DV-04</t>
        </is>
      </c>
    </row>
    <row r="8">
      <c r="A8" s="8" t="inlineStr">
        <is>
          <t>SRS-D05b</t>
        </is>
      </c>
      <c r="B8" s="8" t="inlineStr">
        <is>
          <t>Công suất hãm đỉnh cần hấp thụ</t>
        </is>
      </c>
      <c r="C8" s="14">
        <f>'Tính chọn'!$D$75</f>
        <v/>
      </c>
      <c r="D8" s="8" t="inlineStr">
        <is>
          <t>W</t>
        </is>
      </c>
      <c r="E8" s="8" t="inlineStr">
        <is>
          <t>SRS-FUNC-04</t>
        </is>
      </c>
      <c r="F8" s="8" t="inlineStr">
        <is>
          <t>Tính chọn H</t>
        </is>
      </c>
      <c r="G8" s="8" t="inlineStr">
        <is>
          <t>A / S</t>
        </is>
      </c>
      <c r="H8" s="8" t="inlineStr">
        <is>
          <t>DV-04</t>
        </is>
      </c>
    </row>
    <row r="9">
      <c r="A9" s="8" t="inlineStr">
        <is>
          <t>SRS-D05c</t>
        </is>
      </c>
      <c r="B9" s="8" t="inlineStr">
        <is>
          <t>Ngưỡng mở chopper (mô hình)</t>
        </is>
      </c>
      <c r="C9" s="14">
        <f>GiaDinh_K3!$D$14</f>
        <v/>
      </c>
      <c r="D9" s="8" t="inlineStr">
        <is>
          <t>V</t>
        </is>
      </c>
      <c r="E9" s="8" t="inlineStr">
        <is>
          <t>SRS-FUNC-04</t>
        </is>
      </c>
      <c r="F9" s="8" t="inlineStr">
        <is>
          <t>Downstream #3</t>
        </is>
      </c>
      <c r="G9" s="8" t="inlineStr">
        <is>
          <t>S</t>
        </is>
      </c>
      <c r="H9" s="8" t="inlineStr">
        <is>
          <t>DV-04</t>
        </is>
      </c>
    </row>
    <row r="10" ht="28.5" customHeight="1">
      <c r="A10" s="8" t="inlineStr">
        <is>
          <t>SRS-D06a</t>
        </is>
      </c>
      <c r="B10" s="8" t="inlineStr">
        <is>
          <t>Gia tốc đặt S-curve a*</t>
        </is>
      </c>
      <c r="C10" s="14">
        <f>GiaDinh_K3!$D$11</f>
        <v/>
      </c>
      <c r="D10" s="8" t="inlineStr">
        <is>
          <t>m/s²</t>
        </is>
      </c>
      <c r="E10" s="8" t="inlineStr">
        <is>
          <t>SRS-FUNC-03, SRS-PERM-03</t>
        </is>
      </c>
      <c r="F10" s="8" t="inlineStr">
        <is>
          <t>Tính chọn E</t>
        </is>
      </c>
      <c r="G10" s="8" t="inlineStr">
        <is>
          <t>A / S</t>
        </is>
      </c>
      <c r="H10" s="8" t="inlineStr">
        <is>
          <t>DV-03, DV-07</t>
        </is>
      </c>
    </row>
    <row r="11" ht="28.5" customHeight="1">
      <c r="A11" s="8" t="inlineStr">
        <is>
          <t>SRS-D06b</t>
        </is>
      </c>
      <c r="B11" s="8" t="inlineStr">
        <is>
          <t>Độ giật đặt S-curve ρ*</t>
        </is>
      </c>
      <c r="C11" s="14">
        <f>GiaDinh_K3!$D$12</f>
        <v/>
      </c>
      <c r="D11" s="8" t="inlineStr">
        <is>
          <t>m/s³</t>
        </is>
      </c>
      <c r="E11" s="8" t="inlineStr">
        <is>
          <t>SRS-FUNC-03, SRS-PERM-03</t>
        </is>
      </c>
      <c r="F11" s="8" t="inlineStr">
        <is>
          <t>Tính chọn E</t>
        </is>
      </c>
      <c r="G11" s="8" t="inlineStr">
        <is>
          <t>A / S</t>
        </is>
      </c>
      <c r="H11" s="8" t="inlineStr">
        <is>
          <t>DV-03, DV-07</t>
        </is>
      </c>
    </row>
    <row r="12" ht="28.5" customHeight="1">
      <c r="A12" s="8" t="inlineStr">
        <is>
          <t>SRS-D07a</t>
        </is>
      </c>
      <c r="B12" s="8" t="inlineStr">
        <is>
          <t>Hệ số K_p,ω PI tốc độ (SO tại J_tune)</t>
        </is>
      </c>
      <c r="C12" s="14">
        <f>'Tính chọn'!$D$135</f>
        <v/>
      </c>
      <c r="D12" s="8" t="inlineStr">
        <is>
          <t>A·s/rad</t>
        </is>
      </c>
      <c r="E12" s="8" t="inlineStr">
        <is>
          <t>SRS-PERM-02 (Downstream #1)</t>
        </is>
      </c>
      <c r="F12" s="8" t="inlineStr">
        <is>
          <t>Tính chọn L</t>
        </is>
      </c>
      <c r="G12" s="8" t="inlineStr">
        <is>
          <t>S</t>
        </is>
      </c>
      <c r="H12" s="8" t="inlineStr">
        <is>
          <t>DV-06</t>
        </is>
      </c>
    </row>
    <row r="13" ht="28.5" customHeight="1">
      <c r="A13" s="8" t="inlineStr">
        <is>
          <t>SRS-D07b</t>
        </is>
      </c>
      <c r="B13" s="8" t="inlineStr">
        <is>
          <t>Hằng số T_i,ω PI tốc độ</t>
        </is>
      </c>
      <c r="C13" s="14">
        <f>'Tính chọn'!$D$136</f>
        <v/>
      </c>
      <c r="D13" s="8" t="inlineStr">
        <is>
          <t>s</t>
        </is>
      </c>
      <c r="E13" s="8" t="inlineStr">
        <is>
          <t>SRS-PERM-02 (Downstream #1)</t>
        </is>
      </c>
      <c r="F13" s="8" t="inlineStr">
        <is>
          <t>Tính chọn L</t>
        </is>
      </c>
      <c r="G13" s="8" t="inlineStr">
        <is>
          <t>S</t>
        </is>
      </c>
      <c r="H13" s="8" t="inlineStr">
        <is>
          <t>DV-06</t>
        </is>
      </c>
    </row>
    <row r="14" ht="28.5" customHeight="1">
      <c r="A14" s="8" t="inlineStr">
        <is>
          <t>SRS-D08</t>
        </is>
      </c>
      <c r="B14" s="8" t="inlineStr">
        <is>
          <t>Sai lệch xác lập e_xl (khâu I ⇒ 0) — ngưỡng</t>
        </is>
      </c>
      <c r="C14" s="14">
        <f>GiaDinh_K3!$D$35</f>
        <v/>
      </c>
      <c r="D14" s="8" t="inlineStr">
        <is>
          <t>-</t>
        </is>
      </c>
      <c r="E14" s="8" t="inlineStr">
        <is>
          <t>SRS-PERM-02 (Downstream #2)</t>
        </is>
      </c>
      <c r="F14" s="8" t="inlineStr">
        <is>
          <t>SDD §4</t>
        </is>
      </c>
      <c r="G14" s="8" t="inlineStr">
        <is>
          <t>S</t>
        </is>
      </c>
      <c r="H14" s="8" t="inlineStr">
        <is>
          <t>DV-06</t>
        </is>
      </c>
    </row>
    <row r="15" ht="28.5" customHeight="1">
      <c r="A15" s="8" t="inlineStr">
        <is>
          <t>SRS-D09a</t>
        </is>
      </c>
      <c r="B15" s="8" t="inlineStr">
        <is>
          <t>Hệ số K_p,I PI dòng (MO)</t>
        </is>
      </c>
      <c r="C15" s="14">
        <f>'Tính chọn'!$D$128</f>
        <v/>
      </c>
      <c r="D15" s="8" t="inlineStr">
        <is>
          <t>V/A</t>
        </is>
      </c>
      <c r="E15" s="8" t="inlineStr">
        <is>
          <t>SRS-FUNC-01 (Downstream #4)</t>
        </is>
      </c>
      <c r="F15" s="8" t="inlineStr">
        <is>
          <t>Tính chọn K</t>
        </is>
      </c>
      <c r="G15" s="8" t="inlineStr">
        <is>
          <t>S</t>
        </is>
      </c>
      <c r="H15" s="8" t="inlineStr">
        <is>
          <t>DV-01</t>
        </is>
      </c>
    </row>
    <row r="16" ht="28.5" customHeight="1">
      <c r="A16" s="8" t="inlineStr">
        <is>
          <t>SRS-D09b</t>
        </is>
      </c>
      <c r="B16" s="8" t="inlineStr">
        <is>
          <t>Hằng số T_i,I PI dòng</t>
        </is>
      </c>
      <c r="C16" s="14">
        <f>'Tính chọn'!$D$129</f>
        <v/>
      </c>
      <c r="D16" s="8" t="inlineStr">
        <is>
          <t>s</t>
        </is>
      </c>
      <c r="E16" s="8" t="inlineStr">
        <is>
          <t>SRS-FUNC-01 (Downstream #4)</t>
        </is>
      </c>
      <c r="F16" s="8" t="inlineStr">
        <is>
          <t>Tính chọn K</t>
        </is>
      </c>
      <c r="G16" s="8" t="inlineStr">
        <is>
          <t>S</t>
        </is>
      </c>
      <c r="H16" s="8" t="inlineStr">
        <is>
          <t>DV-01</t>
        </is>
      </c>
    </row>
    <row r="17" ht="28.5" customHeight="1">
      <c r="A17" s="8" t="inlineStr">
        <is>
          <t>SRS-D10</t>
        </is>
      </c>
      <c r="B17" s="8" t="inlineStr">
        <is>
          <t>Mô-men giữ thử (phanh còn kẹp) trước khi nhả phanh (100% M_N, trong [100; 150]%)</t>
        </is>
      </c>
      <c r="C17" s="14">
        <f>'Tính chọn'!$D$87</f>
        <v/>
      </c>
      <c r="D17" s="8" t="inlineStr">
        <is>
          <t>N·m</t>
        </is>
      </c>
      <c r="E17" s="8" t="inlineStr">
        <is>
          <t>SRS-FUNC-02 (Downstream #5)</t>
        </is>
      </c>
      <c r="F17" s="8" t="inlineStr">
        <is>
          <t>SDD §5 (FSM)</t>
        </is>
      </c>
      <c r="G17" s="8" t="inlineStr">
        <is>
          <t>S</t>
        </is>
      </c>
      <c r="H17" s="8" t="inlineStr">
        <is>
          <t>DV-02</t>
        </is>
      </c>
    </row>
    <row r="18" ht="28.5" customHeight="1">
      <c r="A18" s="8" t="inlineStr">
        <is>
          <t>SRS-D11a</t>
        </is>
      </c>
      <c r="B18" s="8" t="inlineStr">
        <is>
          <t>Ngưỡng đóng phanh |v|</t>
        </is>
      </c>
      <c r="C18" s="14">
        <f>GiaDinh_K3!$D$31</f>
        <v/>
      </c>
      <c r="D18" s="8" t="inlineStr">
        <is>
          <t>m/s</t>
        </is>
      </c>
      <c r="E18" s="8" t="inlineStr">
        <is>
          <t>SRS-FUNC-02 (Downstream #5)</t>
        </is>
      </c>
      <c r="F18" s="8" t="inlineStr">
        <is>
          <t>SDD §5</t>
        </is>
      </c>
      <c r="G18" s="8" t="inlineStr">
        <is>
          <t>S</t>
        </is>
      </c>
      <c r="H18" s="8" t="inlineStr">
        <is>
          <t>DV-02</t>
        </is>
      </c>
    </row>
    <row r="19" ht="28.5" customHeight="1">
      <c r="A19" s="8" t="inlineStr">
        <is>
          <t>SRS-D11b</t>
        </is>
      </c>
      <c r="B19" s="8" t="inlineStr">
        <is>
          <t>Ngưỡng cấm đảo chiều |v|</t>
        </is>
      </c>
      <c r="C19" s="14">
        <f>GiaDinh_K3!$D$32</f>
        <v/>
      </c>
      <c r="D19" s="8" t="inlineStr">
        <is>
          <t>m/s</t>
        </is>
      </c>
      <c r="E19" s="8" t="inlineStr">
        <is>
          <t>SRS-FUNC-02 (Downstream #5)</t>
        </is>
      </c>
      <c r="F19" s="8" t="inlineStr">
        <is>
          <t>SDD §5</t>
        </is>
      </c>
      <c r="G19" s="8" t="inlineStr">
        <is>
          <t>S</t>
        </is>
      </c>
      <c r="H19" s="8" t="inlineStr">
        <is>
          <t>DV-02</t>
        </is>
      </c>
    </row>
    <row r="20" ht="28.5" customHeight="1">
      <c r="A20" s="8" t="inlineStr">
        <is>
          <t>SRS-D12</t>
        </is>
      </c>
      <c r="B20" s="8" t="inlineStr">
        <is>
          <t>Tốc độ bò v_creep</t>
        </is>
      </c>
      <c r="C20" s="14">
        <f>'Tính chọn'!$D$172</f>
        <v/>
      </c>
      <c r="D20" s="8" t="inlineStr">
        <is>
          <t>m/s</t>
        </is>
      </c>
      <c r="E20" s="8" t="inlineStr">
        <is>
          <t>SRS-FUNC-03 (Downstream #8)</t>
        </is>
      </c>
      <c r="F20" s="8" t="inlineStr">
        <is>
          <t>Tính chọn N</t>
        </is>
      </c>
      <c r="G20" s="8" t="inlineStr">
        <is>
          <t>S</t>
        </is>
      </c>
      <c r="H20" s="8" t="inlineStr">
        <is>
          <t>DV-06</t>
        </is>
      </c>
    </row>
    <row r="21" ht="28.5" customHeight="1">
      <c r="A21" s="8" t="inlineStr">
        <is>
          <t>SRS-D13</t>
        </is>
      </c>
      <c r="B21" s="8" t="inlineStr">
        <is>
          <t>Mô-men phanh đặt M_B (cửa sổ [max(k_p M_c; 1.2 M_hold); M_B,max])</t>
        </is>
      </c>
      <c r="C21" s="14">
        <f>GiaDinh_K3!$D$20</f>
        <v/>
      </c>
      <c r="D21" s="8" t="inlineStr">
        <is>
          <t>N·m</t>
        </is>
      </c>
      <c r="E21" s="8" t="inlineStr">
        <is>
          <t>SRS-FUNC-02</t>
        </is>
      </c>
      <c r="F21" s="8" t="inlineStr">
        <is>
          <t>Tính chọn I</t>
        </is>
      </c>
      <c r="G21" s="8" t="inlineStr">
        <is>
          <t>A / I</t>
        </is>
      </c>
      <c r="H21" s="8" t="inlineStr">
        <is>
          <t>DV-02</t>
        </is>
      </c>
    </row>
    <row r="22">
      <c r="A22" s="8" t="inlineStr">
        <is>
          <t>SRS-D14</t>
        </is>
      </c>
      <c r="B22" s="8" t="inlineStr">
        <is>
          <t>Tỷ số từ thông ψ_r*/ψ_rN tại v_max khi lưới −10% (giảm từ thông theo giới hạn điện áp)</t>
        </is>
      </c>
      <c r="C22" s="14">
        <f>'Tính chọn'!$D$199</f>
        <v/>
      </c>
      <c r="D22" s="8" t="inlineStr">
        <is>
          <t>-</t>
        </is>
      </c>
      <c r="E22" s="8" t="inlineStr">
        <is>
          <t>SRS-PERM-02</t>
        </is>
      </c>
      <c r="F22" s="8" t="inlineStr">
        <is>
          <t>Tính chọn P</t>
        </is>
      </c>
      <c r="G22" s="8" t="inlineStr">
        <is>
          <t>S</t>
        </is>
      </c>
      <c r="H22" s="8" t="inlineStr">
        <is>
          <t>DV-06</t>
        </is>
      </c>
    </row>
    <row r="23">
      <c r="A23" s="8" t="inlineStr">
        <is>
          <t>SRS-D15</t>
        </is>
      </c>
      <c r="B23" s="8" t="inlineStr">
        <is>
          <t>Tốc độ ĐC bắt đầu giảm từ thông ω_fw (lưới danh định; mô phỏng tính trực tuyến theo U_dc đo)</t>
        </is>
      </c>
      <c r="C23" s="14">
        <f>'Tính chọn'!$D$200</f>
        <v/>
      </c>
      <c r="D23" s="8" t="inlineStr">
        <is>
          <t>rad/s</t>
        </is>
      </c>
      <c r="E23" s="8" t="inlineStr">
        <is>
          <t>SRS-PERM-02</t>
        </is>
      </c>
      <c r="F23" s="8" t="inlineStr">
        <is>
          <t>Tính chọn P</t>
        </is>
      </c>
      <c r="G23" s="8" t="inlineStr">
        <is>
          <t>S</t>
        </is>
      </c>
      <c r="H23" s="8" t="inlineStr">
        <is>
          <t>DV-06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10" customWidth="1" min="4" max="4"/>
    <col width="18" customWidth="1" min="5" max="5"/>
    <col width="60" customWidth="1" min="6" max="6"/>
  </cols>
  <sheetData>
    <row r="1">
      <c r="A1" s="3" t="inlineStr">
        <is>
          <t>Nhóm</t>
        </is>
      </c>
      <c r="B1" s="3" t="inlineStr">
        <is>
          <t>Tên biến (ICD v1.2 §4.1)</t>
        </is>
      </c>
      <c r="C1" s="3" t="inlineStr">
        <is>
          <t>Giá trị</t>
        </is>
      </c>
      <c r="D1" s="3" t="inlineStr">
        <is>
          <t>Đơn vị</t>
        </is>
      </c>
      <c r="E1" s="3" t="inlineStr">
        <is>
          <t>Ô nguồn</t>
        </is>
      </c>
      <c r="F1" s="3" t="inlineStr">
        <is>
          <t>Ghi chú</t>
        </is>
      </c>
    </row>
    <row r="2">
      <c r="A2" s="8" t="inlineStr">
        <is>
          <t>Cơ</t>
        </is>
      </c>
      <c r="B2" s="8" t="inlineStr">
        <is>
          <t>M_full</t>
        </is>
      </c>
      <c r="C2" s="14">
        <f>Params!$C$5</f>
        <v/>
      </c>
      <c r="D2" s="8" t="inlineStr">
        <is>
          <t>kg</t>
        </is>
      </c>
      <c r="E2" s="8" t="inlineStr">
        <is>
          <t>Params!C5</t>
        </is>
      </c>
      <c r="F2" s="8" t="inlineStr">
        <is>
          <t>Chỉ dùng cho tính lực cản F_c</t>
        </is>
      </c>
    </row>
    <row r="3">
      <c r="A3" s="8" t="inlineStr">
        <is>
          <t>Cơ</t>
        </is>
      </c>
      <c r="B3" s="8" t="inlineStr">
        <is>
          <t>M_empty</t>
        </is>
      </c>
      <c r="C3" s="14">
        <f>Params!$C$6</f>
        <v/>
      </c>
      <c r="D3" s="8" t="inlineStr">
        <is>
          <t>kg</t>
        </is>
      </c>
      <c r="E3" s="8" t="inlineStr">
        <is>
          <t>Params!C6</t>
        </is>
      </c>
      <c r="F3" s="8" t="inlineStr">
        <is>
          <t>Chỉ dùng cho tính lực cản F_c,0</t>
        </is>
      </c>
    </row>
    <row r="4">
      <c r="A4" s="8" t="inlineStr">
        <is>
          <t>Cơ</t>
        </is>
      </c>
      <c r="B4" s="8" t="inlineStr">
        <is>
          <t>m_trolley</t>
        </is>
      </c>
      <c r="C4" s="14">
        <f>'Tính chọn'!$D$175</f>
        <v/>
      </c>
      <c r="D4" s="8" t="inlineStr">
        <is>
          <t>kg</t>
        </is>
      </c>
      <c r="E4" s="8" t="inlineStr">
        <is>
          <t>Tính chọn O</t>
        </is>
      </c>
      <c r="F4" s="8" t="inlineStr">
        <is>
          <t>Khối lượng cứng của mô hình 2 khối</t>
        </is>
      </c>
    </row>
    <row r="5">
      <c r="A5" s="8" t="inlineStr">
        <is>
          <t>Cơ</t>
        </is>
      </c>
      <c r="B5" s="8" t="inlineStr">
        <is>
          <t>m_pend_full</t>
        </is>
      </c>
      <c r="C5" s="14">
        <f>'Tính chọn'!$D$176</f>
        <v/>
      </c>
      <c r="D5" s="8" t="inlineStr">
        <is>
          <t>kg</t>
        </is>
      </c>
      <c r="E5" s="8" t="inlineStr">
        <is>
          <t>Tính chọn O</t>
        </is>
      </c>
      <c r="F5" s="8" t="inlineStr">
        <is>
          <t>Q + m_nh</t>
        </is>
      </c>
    </row>
    <row r="6">
      <c r="A6" s="8" t="inlineStr">
        <is>
          <t>Cơ</t>
        </is>
      </c>
      <c r="B6" s="8" t="inlineStr">
        <is>
          <t>m_pend_empty</t>
        </is>
      </c>
      <c r="C6" s="14">
        <f>'Tính chọn'!$D$177</f>
        <v/>
      </c>
      <c r="D6" s="8" t="inlineStr">
        <is>
          <t>kg</t>
        </is>
      </c>
      <c r="E6" s="8" t="inlineStr">
        <is>
          <t>Tính chọn O</t>
        </is>
      </c>
      <c r="F6" s="8" t="inlineStr">
        <is>
          <t>m_nh</t>
        </is>
      </c>
    </row>
    <row r="7">
      <c r="A7" s="8" t="inlineStr">
        <is>
          <t>Cơ</t>
        </is>
      </c>
      <c r="B7" s="8" t="inlineStr">
        <is>
          <t>D_bx</t>
        </is>
      </c>
      <c r="C7" s="14">
        <f>Params!$C$13</f>
        <v/>
      </c>
      <c r="D7" s="8" t="inlineStr">
        <is>
          <t>m</t>
        </is>
      </c>
      <c r="E7" s="8" t="inlineStr">
        <is>
          <t>Params!C13</t>
        </is>
      </c>
      <c r="F7" s="8" t="inlineStr"/>
    </row>
    <row r="8">
      <c r="A8" s="8" t="inlineStr">
        <is>
          <t>Cơ</t>
        </is>
      </c>
      <c r="B8" s="8" t="inlineStr">
        <is>
          <t>w0</t>
        </is>
      </c>
      <c r="C8" s="14">
        <f>Params!$C$14</f>
        <v/>
      </c>
      <c r="D8" s="8" t="inlineStr">
        <is>
          <t>-</t>
        </is>
      </c>
      <c r="E8" s="8" t="inlineStr">
        <is>
          <t>Params!C14</t>
        </is>
      </c>
      <c r="F8" s="8" t="inlineStr"/>
    </row>
    <row r="9">
      <c r="A9" s="8" t="inlineStr">
        <is>
          <t>Cơ</t>
        </is>
      </c>
      <c r="B9" s="8" t="inlineStr">
        <is>
          <t>phi</t>
        </is>
      </c>
      <c r="C9" s="14">
        <f>Params!$C$15</f>
        <v/>
      </c>
      <c r="D9" s="8" t="inlineStr">
        <is>
          <t>-</t>
        </is>
      </c>
      <c r="E9" s="8" t="inlineStr">
        <is>
          <t>Params!C15</t>
        </is>
      </c>
      <c r="F9" s="8" t="inlineStr"/>
    </row>
    <row r="10">
      <c r="A10" s="8" t="inlineStr">
        <is>
          <t>Cơ</t>
        </is>
      </c>
      <c r="B10" s="8" t="inlineStr">
        <is>
          <t>eta</t>
        </is>
      </c>
      <c r="C10" s="14">
        <f>Params!$C$16</f>
        <v/>
      </c>
      <c r="D10" s="8" t="inlineStr">
        <is>
          <t>-</t>
        </is>
      </c>
      <c r="E10" s="8" t="inlineStr">
        <is>
          <t>Params!C16</t>
        </is>
      </c>
      <c r="F10" s="8" t="inlineStr"/>
    </row>
    <row r="11">
      <c r="A11" s="8" t="inlineStr">
        <is>
          <t>Cơ</t>
        </is>
      </c>
      <c r="B11" s="8" t="inlineStr">
        <is>
          <t>g</t>
        </is>
      </c>
      <c r="C11" s="14">
        <f>Params!$C$19</f>
        <v/>
      </c>
      <c r="D11" s="8" t="inlineStr">
        <is>
          <t>m/s²</t>
        </is>
      </c>
      <c r="E11" s="8" t="inlineStr">
        <is>
          <t>Params!C19</t>
        </is>
      </c>
      <c r="F11" s="8" t="inlineStr"/>
    </row>
    <row r="12">
      <c r="A12" s="8" t="inlineStr">
        <is>
          <t>Cơ</t>
        </is>
      </c>
      <c r="B12" s="8" t="inlineStr">
        <is>
          <t>h</t>
        </is>
      </c>
      <c r="C12" s="14">
        <f>Params!$C$7</f>
        <v/>
      </c>
      <c r="D12" s="8" t="inlineStr">
        <is>
          <t>m</t>
        </is>
      </c>
      <c r="E12" s="8" t="inlineStr">
        <is>
          <t>Params!C7</t>
        </is>
      </c>
      <c r="F12" s="8" t="inlineStr"/>
    </row>
    <row r="13">
      <c r="A13" s="8" t="inlineStr">
        <is>
          <t>Cơ</t>
        </is>
      </c>
      <c r="B13" s="8" t="inlineStr">
        <is>
          <t>k_qd</t>
        </is>
      </c>
      <c r="C13" s="24">
        <f>'Tính chọn'!$D$23</f>
        <v/>
      </c>
      <c r="D13" s="8" t="inlineStr">
        <is>
          <t>m/rad</t>
        </is>
      </c>
      <c r="E13" s="8" t="inlineStr">
        <is>
          <t>Tính chọn C</t>
        </is>
      </c>
      <c r="F13" s="8" t="inlineStr"/>
    </row>
    <row r="14">
      <c r="A14" s="8" t="inlineStr">
        <is>
          <t>Cơ</t>
        </is>
      </c>
      <c r="B14" s="8" t="inlineStr">
        <is>
          <t>i_gear</t>
        </is>
      </c>
      <c r="C14" s="14">
        <f>'Tính chọn'!$D$20</f>
        <v/>
      </c>
      <c r="D14" s="8" t="inlineStr">
        <is>
          <t>-</t>
        </is>
      </c>
      <c r="E14" s="8" t="inlineStr">
        <is>
          <t>Tính chọn C</t>
        </is>
      </c>
      <c r="F14" s="8" t="inlineStr">
        <is>
          <t>SEW R87</t>
        </is>
      </c>
    </row>
    <row r="15">
      <c r="A15" s="8" t="inlineStr">
        <is>
          <t>Cơ</t>
        </is>
      </c>
      <c r="B15" s="8" t="inlineStr">
        <is>
          <t>delta</t>
        </is>
      </c>
      <c r="C15" s="14">
        <f>GiaDinh_K3!$D$8</f>
        <v/>
      </c>
      <c r="D15" s="8" t="inlineStr">
        <is>
          <t>-</t>
        </is>
      </c>
      <c r="E15" s="8" t="inlineStr">
        <is>
          <t>GiaDinh_K3</t>
        </is>
      </c>
      <c r="F15" s="8" t="inlineStr">
        <is>
          <t>Chỉ cho tính khối cứng (Excel)</t>
        </is>
      </c>
    </row>
    <row r="16">
      <c r="A16" s="8" t="inlineStr">
        <is>
          <t>Cơ</t>
        </is>
      </c>
      <c r="B16" s="8" t="inlineStr">
        <is>
          <t>J_gear</t>
        </is>
      </c>
      <c r="C16" s="24">
        <f>'Tính chọn'!$D$178</f>
        <v/>
      </c>
      <c r="D16" s="8" t="inlineStr">
        <is>
          <t>kg·m²</t>
        </is>
      </c>
      <c r="E16" s="8" t="inlineStr">
        <is>
          <t>Tính chọn O</t>
        </is>
      </c>
      <c r="F16" s="8" t="inlineStr">
        <is>
          <t>(δ−1)·M_Σ·k²</t>
        </is>
      </c>
    </row>
    <row r="17">
      <c r="A17" s="8" t="inlineStr">
        <is>
          <t>Cơ</t>
        </is>
      </c>
      <c r="B17" s="8" t="inlineStr">
        <is>
          <t>J_rig</t>
        </is>
      </c>
      <c r="C17" s="24">
        <f>'Tính chọn'!$D$179</f>
        <v/>
      </c>
      <c r="D17" s="8" t="inlineStr">
        <is>
          <t>kg·m²</t>
        </is>
      </c>
      <c r="E17" s="8" t="inlineStr">
        <is>
          <t>Tính chọn O</t>
        </is>
      </c>
      <c r="F17" s="8" t="inlineStr">
        <is>
          <t>Quán tính cứng trên trục ĐC</t>
        </is>
      </c>
    </row>
    <row r="18">
      <c r="A18" s="8" t="inlineStr">
        <is>
          <t>Cơ</t>
        </is>
      </c>
      <c r="B18" s="8" t="inlineStr">
        <is>
          <t>zeta</t>
        </is>
      </c>
      <c r="C18" s="14">
        <f>GiaDinh_K3!$D$45</f>
        <v/>
      </c>
      <c r="D18" s="8" t="inlineStr">
        <is>
          <t>-</t>
        </is>
      </c>
      <c r="E18" s="8" t="inlineStr">
        <is>
          <t>GiaDinh_K3</t>
        </is>
      </c>
      <c r="F18" s="8" t="inlineStr"/>
    </row>
    <row r="19">
      <c r="A19" s="8" t="inlineStr">
        <is>
          <t>Cơ</t>
        </is>
      </c>
      <c r="B19" s="8" t="inlineStr">
        <is>
          <t>mech_model</t>
        </is>
      </c>
      <c r="C19" s="14">
        <f>GiaDinh_K3!$D$58</f>
        <v/>
      </c>
      <c r="D19" s="8" t="inlineStr">
        <is>
          <t>-</t>
        </is>
      </c>
      <c r="E19" s="8" t="inlineStr">
        <is>
          <t>GiaDinh_K3</t>
        </is>
      </c>
      <c r="F19" s="8" t="inlineStr">
        <is>
          <t>0 = 2 khối lượng; 1 = khối cứng (DV-04 bảo thủ)</t>
        </is>
      </c>
    </row>
    <row r="20">
      <c r="A20" s="8" t="inlineStr">
        <is>
          <t>Động cơ</t>
        </is>
      </c>
      <c r="B20" s="8" t="inlineStr">
        <is>
          <t>Rs</t>
        </is>
      </c>
      <c r="C20" s="14">
        <f>'Tính chọn'!$D$109</f>
        <v/>
      </c>
      <c r="D20" s="8" t="inlineStr">
        <is>
          <t>Ω</t>
        </is>
      </c>
      <c r="E20" s="8" t="inlineStr">
        <is>
          <t>Tính chọn J</t>
        </is>
      </c>
      <c r="F20" s="8" t="inlineStr"/>
    </row>
    <row r="21">
      <c r="A21" s="8" t="inlineStr">
        <is>
          <t>Động cơ</t>
        </is>
      </c>
      <c r="B21" s="8" t="inlineStr">
        <is>
          <t>Rr</t>
        </is>
      </c>
      <c r="C21" s="14">
        <f>'Tính chọn'!$D$104</f>
        <v/>
      </c>
      <c r="D21" s="8" t="inlineStr">
        <is>
          <t>Ω</t>
        </is>
      </c>
      <c r="E21" s="8" t="inlineStr">
        <is>
          <t>Tính chọn J</t>
        </is>
      </c>
      <c r="F21" s="8" t="inlineStr"/>
    </row>
    <row r="22">
      <c r="A22" s="8" t="inlineStr">
        <is>
          <t>Động cơ</t>
        </is>
      </c>
      <c r="B22" s="8" t="inlineStr">
        <is>
          <t>Lls</t>
        </is>
      </c>
      <c r="C22" s="24">
        <f>'Tính chọn'!$D$111</f>
        <v/>
      </c>
      <c r="D22" s="8" t="inlineStr">
        <is>
          <t>H</t>
        </is>
      </c>
      <c r="E22" s="8" t="inlineStr">
        <is>
          <t>Tính chọn J</t>
        </is>
      </c>
      <c r="F22" s="8" t="inlineStr"/>
    </row>
    <row r="23">
      <c r="A23" s="8" t="inlineStr">
        <is>
          <t>Động cơ</t>
        </is>
      </c>
      <c r="B23" s="8" t="inlineStr">
        <is>
          <t>Llr</t>
        </is>
      </c>
      <c r="C23" s="24">
        <f>'Tính chọn'!$D$112</f>
        <v/>
      </c>
      <c r="D23" s="8" t="inlineStr">
        <is>
          <t>H</t>
        </is>
      </c>
      <c r="E23" s="8" t="inlineStr">
        <is>
          <t>Tính chọn J</t>
        </is>
      </c>
      <c r="F23" s="8" t="inlineStr"/>
    </row>
    <row r="24">
      <c r="A24" s="8" t="inlineStr">
        <is>
          <t>Động cơ</t>
        </is>
      </c>
      <c r="B24" s="8" t="inlineStr">
        <is>
          <t>Lm</t>
        </is>
      </c>
      <c r="C24" s="14">
        <f>'Tính chọn'!$D$110</f>
        <v/>
      </c>
      <c r="D24" s="8" t="inlineStr">
        <is>
          <t>H</t>
        </is>
      </c>
      <c r="E24" s="8" t="inlineStr">
        <is>
          <t>Tính chọn J</t>
        </is>
      </c>
      <c r="F24" s="8" t="inlineStr"/>
    </row>
    <row r="25">
      <c r="A25" s="8" t="inlineStr">
        <is>
          <t>Động cơ</t>
        </is>
      </c>
      <c r="B25" s="8" t="inlineStr">
        <is>
          <t>pp</t>
        </is>
      </c>
      <c r="C25" s="14">
        <f>GiaDinh_K3!$D$28</f>
        <v/>
      </c>
      <c r="D25" s="8" t="inlineStr">
        <is>
          <t>-</t>
        </is>
      </c>
      <c r="E25" s="8" t="inlineStr">
        <is>
          <t>GiaDinh_K3</t>
        </is>
      </c>
      <c r="F25" s="8" t="inlineStr"/>
    </row>
    <row r="26">
      <c r="A26" s="8" t="inlineStr">
        <is>
          <t>Động cơ</t>
        </is>
      </c>
      <c r="B26" s="8" t="inlineStr">
        <is>
          <t>J_Bmot</t>
        </is>
      </c>
      <c r="C26" s="24">
        <f>Catalogue!$F$15</f>
        <v/>
      </c>
      <c r="D26" s="8" t="inlineStr">
        <is>
          <t>kg·m²</t>
        </is>
      </c>
      <c r="E26" s="8" t="inlineStr">
        <is>
          <t>Catalogue</t>
        </is>
      </c>
      <c r="F26" s="8" t="inlineStr">
        <is>
          <t>Rotor kèm phanh</t>
        </is>
      </c>
    </row>
    <row r="27">
      <c r="A27" s="8" t="inlineStr">
        <is>
          <t>Động cơ</t>
        </is>
      </c>
      <c r="B27" s="8" t="inlineStr">
        <is>
          <t>psi_rN</t>
        </is>
      </c>
      <c r="C27" s="14">
        <f>'Tính chọn'!$D$122</f>
        <v/>
      </c>
      <c r="D27" s="8" t="inlineStr">
        <is>
          <t>Wb</t>
        </is>
      </c>
      <c r="E27" s="8" t="inlineStr">
        <is>
          <t>Tính chọn J</t>
        </is>
      </c>
      <c r="F27" s="8" t="inlineStr"/>
    </row>
    <row r="28">
      <c r="A28" s="8" t="inlineStr">
        <is>
          <t>Động cơ</t>
        </is>
      </c>
      <c r="B28" s="8" t="inlineStr">
        <is>
          <t>U_N</t>
        </is>
      </c>
      <c r="C28" s="14">
        <f>GiaDinh_K3!$D$29</f>
        <v/>
      </c>
      <c r="D28" s="8" t="inlineStr">
        <is>
          <t>V</t>
        </is>
      </c>
      <c r="E28" s="8" t="inlineStr">
        <is>
          <t>GiaDinh_K3</t>
        </is>
      </c>
      <c r="F28" s="8" t="inlineStr"/>
    </row>
    <row r="29">
      <c r="A29" s="8" t="inlineStr">
        <is>
          <t>Động cơ</t>
        </is>
      </c>
      <c r="B29" s="8" t="inlineStr">
        <is>
          <t>f_N</t>
        </is>
      </c>
      <c r="C29" s="14">
        <f>GiaDinh_K3!$D$6</f>
        <v/>
      </c>
      <c r="D29" s="8" t="inlineStr">
        <is>
          <t>Hz</t>
        </is>
      </c>
      <c r="E29" s="8" t="inlineStr">
        <is>
          <t>GiaDinh_K3</t>
        </is>
      </c>
      <c r="F29" s="8" t="inlineStr"/>
    </row>
    <row r="30">
      <c r="A30" s="8" t="inlineStr">
        <is>
          <t>Biến tần</t>
        </is>
      </c>
      <c r="B30" s="8" t="inlineStr">
        <is>
          <t>U_grid</t>
        </is>
      </c>
      <c r="C30" s="14">
        <f>Params!$C$20</f>
        <v/>
      </c>
      <c r="D30" s="8" t="inlineStr">
        <is>
          <t>V</t>
        </is>
      </c>
      <c r="E30" s="8" t="inlineStr">
        <is>
          <t>Params!C20</t>
        </is>
      </c>
      <c r="F30" s="8" t="inlineStr">
        <is>
          <t>Chạy thêm U_grid·(1 ± dU_grid)</t>
        </is>
      </c>
    </row>
    <row r="31">
      <c r="A31" s="8" t="inlineStr">
        <is>
          <t>Biến tần</t>
        </is>
      </c>
      <c r="B31" s="8" t="inlineStr">
        <is>
          <t>dU_grid</t>
        </is>
      </c>
      <c r="C31" s="14">
        <f>GiaDinh_K3!$D$5</f>
        <v/>
      </c>
      <c r="D31" s="8" t="inlineStr">
        <is>
          <t>-</t>
        </is>
      </c>
      <c r="E31" s="8" t="inlineStr">
        <is>
          <t>GiaDinh_K3</t>
        </is>
      </c>
      <c r="F31" s="8" t="inlineStr"/>
    </row>
    <row r="32">
      <c r="A32" s="8" t="inlineStr">
        <is>
          <t>Biến tần</t>
        </is>
      </c>
      <c r="B32" s="8" t="inlineStr">
        <is>
          <t>f_sw</t>
        </is>
      </c>
      <c r="C32" s="14">
        <f>GiaDinh_K3!$D$22</f>
        <v/>
      </c>
      <c r="D32" s="8" t="inlineStr">
        <is>
          <t>Hz</t>
        </is>
      </c>
      <c r="E32" s="8" t="inlineStr">
        <is>
          <t>GiaDinh_K3</t>
        </is>
      </c>
      <c r="F32" s="8" t="inlineStr">
        <is>
          <t>Chỉ để tính Ts_I (mô hình trung bình)</t>
        </is>
      </c>
    </row>
    <row r="33">
      <c r="A33" s="8" t="inlineStr">
        <is>
          <t>Biến tần</t>
        </is>
      </c>
      <c r="B33" s="8" t="inlineStr">
        <is>
          <t>k_u</t>
        </is>
      </c>
      <c r="C33" s="14">
        <f>GiaDinh_K3!$D$44</f>
        <v/>
      </c>
      <c r="D33" s="8" t="inlineStr">
        <is>
          <t>-</t>
        </is>
      </c>
      <c r="E33" s="8" t="inlineStr">
        <is>
          <t>GiaDinh_K3</t>
        </is>
      </c>
      <c r="F33" s="8" t="inlineStr">
        <is>
          <t>|u_s| ≤ k_u·U_dc/√3 (biên độ pha)</t>
        </is>
      </c>
    </row>
    <row r="34">
      <c r="A34" s="8" t="inlineStr">
        <is>
          <t>Biến tần</t>
        </is>
      </c>
      <c r="B34" s="8" t="inlineStr">
        <is>
          <t>C_dc</t>
        </is>
      </c>
      <c r="C34" s="24">
        <f>GiaDinh_K3!$D$46</f>
        <v/>
      </c>
      <c r="D34" s="8" t="inlineStr">
        <is>
          <t>F</t>
        </is>
      </c>
      <c r="E34" s="8" t="inlineStr">
        <is>
          <t>GiaDinh_K3</t>
        </is>
      </c>
      <c r="F34" s="8" t="inlineStr">
        <is>
          <t>Chưa xác minh</t>
        </is>
      </c>
    </row>
    <row r="35">
      <c r="A35" s="8" t="inlineStr">
        <is>
          <t>Biến tần</t>
        </is>
      </c>
      <c r="B35" s="8" t="inlineStr">
        <is>
          <t>R_src</t>
        </is>
      </c>
      <c r="C35" s="14">
        <f>'Tính chọn'!$D$212</f>
        <v/>
      </c>
      <c r="D35" s="8" t="inlineStr">
        <is>
          <t>Ω</t>
        </is>
      </c>
      <c r="E35" s="8" t="inlineStr">
        <is>
          <t>Tính chọn Q</t>
        </is>
      </c>
      <c r="F35" s="8" t="inlineStr"/>
    </row>
    <row r="36">
      <c r="A36" s="8" t="inlineStr">
        <is>
          <t>Biến tần</t>
        </is>
      </c>
      <c r="B36" s="8" t="inlineStr">
        <is>
          <t>Udc_chop_on</t>
        </is>
      </c>
      <c r="C36" s="14">
        <f>GiaDinh_K3!$D$14</f>
        <v/>
      </c>
      <c r="D36" s="8" t="inlineStr">
        <is>
          <t>V</t>
        </is>
      </c>
      <c r="E36" s="8" t="inlineStr">
        <is>
          <t>GiaDinh_K3</t>
        </is>
      </c>
      <c r="F36" s="8" t="inlineStr"/>
    </row>
    <row r="37">
      <c r="A37" s="8" t="inlineStr">
        <is>
          <t>Biến tần</t>
        </is>
      </c>
      <c r="B37" s="8" t="inlineStr">
        <is>
          <t>Udc_chop_off</t>
        </is>
      </c>
      <c r="C37" s="14">
        <f>'Tính chọn'!$D$215</f>
        <v/>
      </c>
      <c r="D37" s="8" t="inlineStr">
        <is>
          <t>V</t>
        </is>
      </c>
      <c r="E37" s="8" t="inlineStr">
        <is>
          <t>Tính chọn Q</t>
        </is>
      </c>
      <c r="F37" s="8" t="inlineStr"/>
    </row>
    <row r="38">
      <c r="A38" s="8" t="inlineStr">
        <is>
          <t>Biến tần</t>
        </is>
      </c>
      <c r="B38" s="8" t="inlineStr">
        <is>
          <t>Udc_max</t>
        </is>
      </c>
      <c r="C38" s="14">
        <f>GiaDinh_K3!$D$15</f>
        <v/>
      </c>
      <c r="D38" s="8" t="inlineStr">
        <is>
          <t>V</t>
        </is>
      </c>
      <c r="E38" s="8" t="inlineStr">
        <is>
          <t>GiaDinh_K3</t>
        </is>
      </c>
      <c r="F38" s="8" t="inlineStr"/>
    </row>
    <row r="39">
      <c r="A39" s="8" t="inlineStr">
        <is>
          <t>Biến tần</t>
        </is>
      </c>
      <c r="B39" s="8" t="inlineStr">
        <is>
          <t>Udc_trip</t>
        </is>
      </c>
      <c r="C39" s="14">
        <f>GiaDinh_K3!$D$16</f>
        <v/>
      </c>
      <c r="D39" s="8" t="inlineStr">
        <is>
          <t>V</t>
        </is>
      </c>
      <c r="E39" s="8" t="inlineStr">
        <is>
          <t>GiaDinh_K3</t>
        </is>
      </c>
      <c r="F39" s="8" t="inlineStr"/>
    </row>
    <row r="40">
      <c r="A40" s="8" t="inlineStr">
        <is>
          <t>Biến tần</t>
        </is>
      </c>
      <c r="B40" s="8" t="inlineStr">
        <is>
          <t>Rh</t>
        </is>
      </c>
      <c r="C40" s="14">
        <f>GiaDinh_K3!$D$42</f>
        <v/>
      </c>
      <c r="D40" s="8" t="inlineStr">
        <is>
          <t>Ω</t>
        </is>
      </c>
      <c r="E40" s="8" t="inlineStr">
        <is>
          <t>GiaDinh_K3</t>
        </is>
      </c>
      <c r="F40" s="8" t="inlineStr"/>
    </row>
    <row r="41">
      <c r="A41" s="8" t="inlineStr">
        <is>
          <t>Từ thông</t>
        </is>
      </c>
      <c r="B41" s="8" t="inlineStr">
        <is>
          <t>w_fw</t>
        </is>
      </c>
      <c r="C41" s="14">
        <f>'Tính chọn'!$D$200</f>
        <v/>
      </c>
      <c r="D41" s="8" t="inlineStr">
        <is>
          <t>rad/s</t>
        </is>
      </c>
      <c r="E41" s="8" t="inlineStr">
        <is>
          <t>Tính chọn P</t>
        </is>
      </c>
      <c r="F41" s="8" t="inlineStr">
        <is>
          <t>Lưới danh định (tham khảo; mô phỏng tính trực tuyến)</t>
        </is>
      </c>
    </row>
    <row r="42">
      <c r="A42" s="8" t="inlineStr">
        <is>
          <t>Từ thông</t>
        </is>
      </c>
      <c r="B42" s="8" t="inlineStr">
        <is>
          <t>w_fw_min</t>
        </is>
      </c>
      <c r="C42" s="14">
        <f>'Tính chọn'!$D$201</f>
        <v/>
      </c>
      <c r="D42" s="8" t="inlineStr">
        <is>
          <t>rad/s</t>
        </is>
      </c>
      <c r="E42" s="8" t="inlineStr">
        <is>
          <t>Tính chọn P</t>
        </is>
      </c>
      <c r="F42" s="8" t="inlineStr">
        <is>
          <t>Lưới −10%</t>
        </is>
      </c>
    </row>
    <row r="43">
      <c r="A43" s="8" t="inlineStr">
        <is>
          <t>S-curve</t>
        </is>
      </c>
      <c r="B43" s="8" t="inlineStr">
        <is>
          <t>a_set</t>
        </is>
      </c>
      <c r="C43" s="14">
        <f>GiaDinh_K3!$D$11</f>
        <v/>
      </c>
      <c r="D43" s="8" t="inlineStr">
        <is>
          <t>m/s²</t>
        </is>
      </c>
      <c r="E43" s="8" t="inlineStr">
        <is>
          <t>GiaDinh_K3</t>
        </is>
      </c>
      <c r="F43" s="8" t="inlineStr"/>
    </row>
    <row r="44">
      <c r="A44" s="8" t="inlineStr">
        <is>
          <t>S-curve</t>
        </is>
      </c>
      <c r="B44" s="8" t="inlineStr">
        <is>
          <t>rho_set</t>
        </is>
      </c>
      <c r="C44" s="14">
        <f>GiaDinh_K3!$D$12</f>
        <v/>
      </c>
      <c r="D44" s="8" t="inlineStr">
        <is>
          <t>m/s³</t>
        </is>
      </c>
      <c r="E44" s="8" t="inlineStr">
        <is>
          <t>GiaDinh_K3</t>
        </is>
      </c>
      <c r="F44" s="8" t="inlineStr"/>
    </row>
    <row r="45">
      <c r="A45" s="8" t="inlineStr">
        <is>
          <t>S-curve</t>
        </is>
      </c>
      <c r="B45" s="8" t="inlineStr">
        <is>
          <t>v_max</t>
        </is>
      </c>
      <c r="C45" s="14">
        <f>Params!$C$10</f>
        <v/>
      </c>
      <c r="D45" s="8" t="inlineStr">
        <is>
          <t>m/s</t>
        </is>
      </c>
      <c r="E45" s="8" t="inlineStr">
        <is>
          <t>Params!C10</t>
        </is>
      </c>
      <c r="F45" s="8" t="inlineStr"/>
    </row>
    <row r="46">
      <c r="A46" s="8" t="inlineStr">
        <is>
          <t>S-curve</t>
        </is>
      </c>
      <c r="B46" s="8" t="inlineStr">
        <is>
          <t>v_creep</t>
        </is>
      </c>
      <c r="C46" s="14">
        <f>'Tính chọn'!$D$172</f>
        <v/>
      </c>
      <c r="D46" s="8" t="inlineStr">
        <is>
          <t>m/s</t>
        </is>
      </c>
      <c r="E46" s="8" t="inlineStr">
        <is>
          <t>Tính chọn N</t>
        </is>
      </c>
      <c r="F46" s="8" t="inlineStr"/>
    </row>
    <row r="47">
      <c r="A47" s="8" t="inlineStr">
        <is>
          <t>PI</t>
        </is>
      </c>
      <c r="B47" s="8" t="inlineStr">
        <is>
          <t>Kp_i</t>
        </is>
      </c>
      <c r="C47" s="14">
        <f>'Tính chọn'!$D$128</f>
        <v/>
      </c>
      <c r="D47" s="8" t="inlineStr">
        <is>
          <t>V/A</t>
        </is>
      </c>
      <c r="E47" s="8" t="inlineStr">
        <is>
          <t>Tính chọn K</t>
        </is>
      </c>
      <c r="F47" s="8" t="inlineStr"/>
    </row>
    <row r="48">
      <c r="A48" s="8" t="inlineStr">
        <is>
          <t>PI</t>
        </is>
      </c>
      <c r="B48" s="8" t="inlineStr">
        <is>
          <t>Ti_i</t>
        </is>
      </c>
      <c r="C48" s="24">
        <f>'Tính chọn'!$D$129</f>
        <v/>
      </c>
      <c r="D48" s="8" t="inlineStr">
        <is>
          <t>s</t>
        </is>
      </c>
      <c r="E48" s="8" t="inlineStr">
        <is>
          <t>Tính chọn K</t>
        </is>
      </c>
      <c r="F48" s="8" t="inlineStr"/>
    </row>
    <row r="49">
      <c r="A49" s="8" t="inlineStr">
        <is>
          <t>PI</t>
        </is>
      </c>
      <c r="B49" s="8" t="inlineStr">
        <is>
          <t>Kp_w</t>
        </is>
      </c>
      <c r="C49" s="14">
        <f>'Tính chọn'!$D$135</f>
        <v/>
      </c>
      <c r="D49" s="8" t="inlineStr">
        <is>
          <t>A·s/rad</t>
        </is>
      </c>
      <c r="E49" s="8" t="inlineStr">
        <is>
          <t>Tính chọn L</t>
        </is>
      </c>
      <c r="F49" s="8" t="inlineStr"/>
    </row>
    <row r="50">
      <c r="A50" s="8" t="inlineStr">
        <is>
          <t>PI</t>
        </is>
      </c>
      <c r="B50" s="8" t="inlineStr">
        <is>
          <t>Ti_w</t>
        </is>
      </c>
      <c r="C50" s="14">
        <f>'Tính chọn'!$D$136</f>
        <v/>
      </c>
      <c r="D50" s="8" t="inlineStr">
        <is>
          <t>s</t>
        </is>
      </c>
      <c r="E50" s="8" t="inlineStr">
        <is>
          <t>Tính chọn L</t>
        </is>
      </c>
      <c r="F50" s="8" t="inlineStr"/>
    </row>
    <row r="51">
      <c r="A51" s="8" t="inlineStr">
        <is>
          <t>PI</t>
        </is>
      </c>
      <c r="B51" s="8" t="inlineStr">
        <is>
          <t>T_pre</t>
        </is>
      </c>
      <c r="C51" s="14">
        <f>'Tính chọn'!$D$137</f>
        <v/>
      </c>
      <c r="D51" s="8" t="inlineStr">
        <is>
          <t>s</t>
        </is>
      </c>
      <c r="E51" s="8" t="inlineStr">
        <is>
          <t>Tính chọn L</t>
        </is>
      </c>
      <c r="F51" s="8" t="inlineStr"/>
    </row>
    <row r="52">
      <c r="A52" s="8" t="inlineStr">
        <is>
          <t>PI</t>
        </is>
      </c>
      <c r="B52" s="8" t="inlineStr">
        <is>
          <t>isq_lim</t>
        </is>
      </c>
      <c r="C52" s="14">
        <f>'Tính chọn'!$D$125</f>
        <v/>
      </c>
      <c r="D52" s="8" t="inlineStr">
        <is>
          <t>A</t>
        </is>
      </c>
      <c r="E52" s="8" t="inlineStr">
        <is>
          <t>Tính chọn J</t>
        </is>
      </c>
      <c r="F52" s="8" t="inlineStr"/>
    </row>
    <row r="53">
      <c r="A53" s="8" t="inlineStr">
        <is>
          <t>FSM</t>
        </is>
      </c>
      <c r="B53" s="8" t="inlineStr">
        <is>
          <t>v_stop</t>
        </is>
      </c>
      <c r="C53" s="14">
        <f>GiaDinh_K3!$D$31</f>
        <v/>
      </c>
      <c r="D53" s="8" t="inlineStr">
        <is>
          <t>m/s</t>
        </is>
      </c>
      <c r="E53" s="8" t="inlineStr">
        <is>
          <t>GiaDinh_K3</t>
        </is>
      </c>
      <c r="F53" s="8" t="inlineStr"/>
    </row>
    <row r="54">
      <c r="A54" s="8" t="inlineStr">
        <is>
          <t>FSM</t>
        </is>
      </c>
      <c r="B54" s="8" t="inlineStr">
        <is>
          <t>v_rev</t>
        </is>
      </c>
      <c r="C54" s="14">
        <f>GiaDinh_K3!$D$32</f>
        <v/>
      </c>
      <c r="D54" s="8" t="inlineStr">
        <is>
          <t>m/s</t>
        </is>
      </c>
      <c r="E54" s="8" t="inlineStr">
        <is>
          <t>GiaDinh_K3</t>
        </is>
      </c>
      <c r="F54" s="8" t="inlineStr"/>
    </row>
    <row r="55">
      <c r="A55" s="8" t="inlineStr">
        <is>
          <t>FSM</t>
        </is>
      </c>
      <c r="B55" s="8" t="inlineStr">
        <is>
          <t>M_hold</t>
        </is>
      </c>
      <c r="C55" s="14">
        <f>'Tính chọn'!$D$87</f>
        <v/>
      </c>
      <c r="D55" s="8" t="inlineStr">
        <is>
          <t>N·m</t>
        </is>
      </c>
      <c r="E55" s="8" t="inlineStr">
        <is>
          <t>Tính chọn I</t>
        </is>
      </c>
      <c r="F55" s="8" t="inlineStr"/>
    </row>
    <row r="56">
      <c r="A56" s="8" t="inlineStr">
        <is>
          <t>FSM</t>
        </is>
      </c>
      <c r="B56" s="8" t="inlineStr">
        <is>
          <t>t_test</t>
        </is>
      </c>
      <c r="C56" s="14">
        <f>GiaDinh_K3!$D$51</f>
        <v/>
      </c>
      <c r="D56" s="8" t="inlineStr">
        <is>
          <t>s</t>
        </is>
      </c>
      <c r="E56" s="8" t="inlineStr">
        <is>
          <t>GiaDinh_K3</t>
        </is>
      </c>
      <c r="F56" s="8" t="inlineStr"/>
    </row>
    <row r="57">
      <c r="A57" s="8" t="inlineStr">
        <is>
          <t>FSM</t>
        </is>
      </c>
      <c r="B57" s="8" t="inlineStr">
        <is>
          <t>t_mag</t>
        </is>
      </c>
      <c r="C57" s="14">
        <f>GiaDinh_K3!$D$50</f>
        <v/>
      </c>
      <c r="D57" s="8" t="inlineStr">
        <is>
          <t>s</t>
        </is>
      </c>
      <c r="E57" s="8" t="inlineStr">
        <is>
          <t>GiaDinh_K3</t>
        </is>
      </c>
      <c r="F57" s="8" t="inlineStr"/>
    </row>
    <row r="58">
      <c r="A58" s="8" t="inlineStr">
        <is>
          <t>FSM</t>
        </is>
      </c>
      <c r="B58" s="8" t="inlineStr">
        <is>
          <t>t_open</t>
        </is>
      </c>
      <c r="C58" s="14">
        <f>GiaDinh_K3!$D$52</f>
        <v/>
      </c>
      <c r="D58" s="8" t="inlineStr">
        <is>
          <t>s</t>
        </is>
      </c>
      <c r="E58" s="8" t="inlineStr">
        <is>
          <t>GiaDinh_K3</t>
        </is>
      </c>
      <c r="F58" s="8" t="inlineStr"/>
    </row>
    <row r="59">
      <c r="A59" s="8" t="inlineStr">
        <is>
          <t>FSM</t>
        </is>
      </c>
      <c r="B59" s="8" t="inlineStr">
        <is>
          <t>t_close</t>
        </is>
      </c>
      <c r="C59" s="14">
        <f>GiaDinh_K3!$D$21</f>
        <v/>
      </c>
      <c r="D59" s="8" t="inlineStr">
        <is>
          <t>s</t>
        </is>
      </c>
      <c r="E59" s="8" t="inlineStr">
        <is>
          <t>GiaDinh_K3</t>
        </is>
      </c>
      <c r="F59" s="8" t="inlineStr"/>
    </row>
    <row r="60">
      <c r="A60" s="8" t="inlineStr">
        <is>
          <t>FSM</t>
        </is>
      </c>
      <c r="B60" s="8" t="inlineStr">
        <is>
          <t>t_hx</t>
        </is>
      </c>
      <c r="C60" s="14">
        <f>GiaDinh_K3!$D$53</f>
        <v/>
      </c>
      <c r="D60" s="8" t="inlineStr">
        <is>
          <t>s</t>
        </is>
      </c>
      <c r="E60" s="8" t="inlineStr">
        <is>
          <t>GiaDinh_K3</t>
        </is>
      </c>
      <c r="F60" s="8" t="inlineStr"/>
    </row>
    <row r="61">
      <c r="A61" s="8" t="inlineStr">
        <is>
          <t>FSM</t>
        </is>
      </c>
      <c r="B61" s="8" t="inlineStr">
        <is>
          <t>M_B</t>
        </is>
      </c>
      <c r="C61" s="14">
        <f>GiaDinh_K3!$D$20</f>
        <v/>
      </c>
      <c r="D61" s="8" t="inlineStr">
        <is>
          <t>N·m</t>
        </is>
      </c>
      <c r="E61" s="8" t="inlineStr">
        <is>
          <t>GiaDinh_K3</t>
        </is>
      </c>
      <c r="F61" s="8" t="inlineStr"/>
    </row>
    <row r="62">
      <c r="A62" s="8" t="inlineStr">
        <is>
          <t>Đo / mô phỏng</t>
        </is>
      </c>
      <c r="B62" s="8" t="inlineStr">
        <is>
          <t>Ts_sim</t>
        </is>
      </c>
      <c r="C62" s="24">
        <f>GiaDinh_K3!$D$48</f>
        <v/>
      </c>
      <c r="D62" s="8" t="inlineStr">
        <is>
          <t>s</t>
        </is>
      </c>
      <c r="E62" s="8" t="inlineStr">
        <is>
          <t>GiaDinh_K3</t>
        </is>
      </c>
      <c r="F62" s="8" t="inlineStr"/>
    </row>
    <row r="63">
      <c r="A63" s="8" t="inlineStr">
        <is>
          <t>Đo / mô phỏng</t>
        </is>
      </c>
      <c r="B63" s="8" t="inlineStr">
        <is>
          <t>Ts_I</t>
        </is>
      </c>
      <c r="C63" s="24">
        <f>1/GiaDinh_K3!$D$22</f>
        <v/>
      </c>
      <c r="D63" s="8" t="inlineStr">
        <is>
          <t>s</t>
        </is>
      </c>
      <c r="E63" s="8" t="inlineStr">
        <is>
          <t>GiaDinh_K3</t>
        </is>
      </c>
      <c r="F63" s="8" t="inlineStr">
        <is>
          <t>1/f_sw</t>
        </is>
      </c>
    </row>
    <row r="64">
      <c r="A64" s="8" t="inlineStr">
        <is>
          <t>Đo / mô phỏng</t>
        </is>
      </c>
      <c r="B64" s="8" t="inlineStr">
        <is>
          <t>Ts_w</t>
        </is>
      </c>
      <c r="C64" s="14">
        <f>GiaDinh_K3!$D$25</f>
        <v/>
      </c>
      <c r="D64" s="8" t="inlineStr">
        <is>
          <t>s</t>
        </is>
      </c>
      <c r="E64" s="8" t="inlineStr">
        <is>
          <t>GiaDinh_K3</t>
        </is>
      </c>
      <c r="F64" s="8" t="inlineStr"/>
    </row>
    <row r="65">
      <c r="A65" s="8" t="inlineStr">
        <is>
          <t>Đo / mô phỏng</t>
        </is>
      </c>
      <c r="B65" s="8" t="inlineStr">
        <is>
          <t>Tf_w</t>
        </is>
      </c>
      <c r="C65" s="14">
        <f>GiaDinh_K3!$D$24</f>
        <v/>
      </c>
      <c r="D65" s="8" t="inlineStr">
        <is>
          <t>s</t>
        </is>
      </c>
      <c r="E65" s="8" t="inlineStr">
        <is>
          <t>GiaDinh_K3</t>
        </is>
      </c>
      <c r="F65" s="8" t="inlineStr">
        <is>
          <t>Lọc đo tốc độ</t>
        </is>
      </c>
    </row>
    <row r="66">
      <c r="A66" s="8" t="inlineStr">
        <is>
          <t>Đo / mô phỏng</t>
        </is>
      </c>
      <c r="B66" s="8" t="inlineStr">
        <is>
          <t>Tf_jerk</t>
        </is>
      </c>
      <c r="C66" s="14">
        <f>GiaDinh_K3!$D$34</f>
        <v/>
      </c>
      <c r="D66" s="8" t="inlineStr">
        <is>
          <t>s</t>
        </is>
      </c>
      <c r="E66" s="8" t="inlineStr">
        <is>
          <t>GiaDinh_K3</t>
        </is>
      </c>
      <c r="F66" s="8" t="inlineStr"/>
    </row>
    <row r="67">
      <c r="A67" s="8" t="inlineStr">
        <is>
          <t>Đo / mô phỏng</t>
        </is>
      </c>
      <c r="B67" s="8" t="inlineStr">
        <is>
          <t>N_enc</t>
        </is>
      </c>
      <c r="C67" s="14">
        <f>GiaDinh_K3!$D$33</f>
        <v/>
      </c>
      <c r="D67" s="8" t="inlineStr">
        <is>
          <t>xung/vg</t>
        </is>
      </c>
      <c r="E67" s="8" t="inlineStr">
        <is>
          <t>GiaDinh_K3</t>
        </is>
      </c>
      <c r="F67" s="8" t="inlineStr"/>
    </row>
    <row r="68">
      <c r="A68" s="8" t="inlineStr">
        <is>
          <t>Đo / mô phỏng</t>
        </is>
      </c>
      <c r="B68" s="8" t="inlineStr">
        <is>
          <t>enc_model</t>
        </is>
      </c>
      <c r="C68" s="14">
        <f>GiaDinh_K3!$D$49</f>
        <v/>
      </c>
      <c r="D68" s="8" t="inlineStr">
        <is>
          <t>-</t>
        </is>
      </c>
      <c r="E68" s="8" t="inlineStr">
        <is>
          <t>GiaDinh_K3</t>
        </is>
      </c>
      <c r="F68" s="8" t="inlineStr">
        <is>
          <t>0 = lý tưởng + lọc</t>
        </is>
      </c>
    </row>
    <row r="69">
      <c r="A69" s="8" t="inlineStr">
        <is>
          <t>Kịch bản</t>
        </is>
      </c>
      <c r="B69" s="8" t="inlineStr">
        <is>
          <t>t_cmd</t>
        </is>
      </c>
      <c r="C69" s="14">
        <f>GiaDinh_K3!$D$54</f>
        <v/>
      </c>
      <c r="D69" s="8" t="inlineStr">
        <is>
          <t>s</t>
        </is>
      </c>
      <c r="E69" s="8" t="inlineStr">
        <is>
          <t>GiaDinh_K3</t>
        </is>
      </c>
      <c r="F69" s="8" t="inlineStr"/>
    </row>
    <row r="70">
      <c r="A70" s="8" t="inlineStr">
        <is>
          <t>Kịch bản</t>
        </is>
      </c>
      <c r="B70" s="8" t="inlineStr">
        <is>
          <t>T_run</t>
        </is>
      </c>
      <c r="C70" s="14">
        <f>GiaDinh_K3!$D$55</f>
        <v/>
      </c>
      <c r="D70" s="8" t="inlineStr">
        <is>
          <t>s</t>
        </is>
      </c>
      <c r="E70" s="8" t="inlineStr">
        <is>
          <t>GiaDinh_K3</t>
        </is>
      </c>
      <c r="F70" s="8" t="inlineStr"/>
    </row>
    <row r="71">
      <c r="A71" s="8" t="inlineStr">
        <is>
          <t>Kịch bản</t>
        </is>
      </c>
      <c r="B71" s="8" t="inlineStr">
        <is>
          <t>T_dwell</t>
        </is>
      </c>
      <c r="C71" s="14">
        <f>GiaDinh_K3!$D$56</f>
        <v/>
      </c>
      <c r="D71" s="8" t="inlineStr">
        <is>
          <t>s</t>
        </is>
      </c>
      <c r="E71" s="8" t="inlineStr">
        <is>
          <t>GiaDinh_K3</t>
        </is>
      </c>
      <c r="F71" s="8" t="inlineStr"/>
    </row>
    <row r="72">
      <c r="A72" s="8" t="inlineStr">
        <is>
          <t>Kịch bản</t>
        </is>
      </c>
      <c r="B72" s="8" t="inlineStr">
        <is>
          <t>t_unl</t>
        </is>
      </c>
      <c r="C72" s="14">
        <f>'Tính chọn'!$D$223</f>
        <v/>
      </c>
      <c r="D72" s="8" t="inlineStr">
        <is>
          <t>s</t>
        </is>
      </c>
      <c r="E72" s="8" t="inlineStr">
        <is>
          <t>Tính chọn R</t>
        </is>
      </c>
      <c r="F72" s="8" t="inlineStr">
        <is>
          <t>TS-01: dỡ tải</t>
        </is>
      </c>
    </row>
    <row r="73">
      <c r="A73" s="8" t="inlineStr">
        <is>
          <t>Kịch bản</t>
        </is>
      </c>
      <c r="B73" s="8" t="inlineStr">
        <is>
          <t>t_cmd2</t>
        </is>
      </c>
      <c r="C73" s="14">
        <f>'Tính chọn'!$D$224</f>
        <v/>
      </c>
      <c r="D73" s="8" t="inlineStr">
        <is>
          <t>s</t>
        </is>
      </c>
      <c r="E73" s="8" t="inlineStr">
        <is>
          <t>Tính chọn R</t>
        </is>
      </c>
      <c r="F73" s="8" t="inlineStr">
        <is>
          <t>TS-01: nhấn REV</t>
        </is>
      </c>
    </row>
    <row r="74">
      <c r="A74" s="8" t="inlineStr">
        <is>
          <t>Kịch bản</t>
        </is>
      </c>
      <c r="B74" s="8" t="inlineStr">
        <is>
          <t>T_end</t>
        </is>
      </c>
      <c r="C74" s="14">
        <f>'Tính chọn'!$D$227</f>
        <v/>
      </c>
      <c r="D74" s="8" t="inlineStr">
        <is>
          <t>s</t>
        </is>
      </c>
      <c r="E74" s="8" t="inlineStr">
        <is>
          <t>Tính chọn R</t>
        </is>
      </c>
      <c r="F74" s="8" t="inlineStr">
        <is>
          <t>TS-01</t>
        </is>
      </c>
    </row>
    <row r="75">
      <c r="A75" s="8" t="inlineStr">
        <is>
          <t>Kịch bản</t>
        </is>
      </c>
      <c r="B75" s="8" t="inlineStr">
        <is>
          <t>t_rev2</t>
        </is>
      </c>
      <c r="C75" s="14">
        <f>'Tính chọn'!$D$230</f>
        <v/>
      </c>
      <c r="D75" s="8" t="inlineStr">
        <is>
          <t>s</t>
        </is>
      </c>
      <c r="E75" s="8" t="inlineStr">
        <is>
          <t>Tính chọn R</t>
        </is>
      </c>
      <c r="F75" s="8" t="inlineStr">
        <is>
          <t>TS-02: nhấn REV khi đang chạy</t>
        </is>
      </c>
    </row>
    <row r="76">
      <c r="A76" s="8" t="inlineStr">
        <is>
          <t>Kịch bản</t>
        </is>
      </c>
      <c r="B76" s="8" t="inlineStr">
        <is>
          <t>T_end2</t>
        </is>
      </c>
      <c r="C76" s="14">
        <f>'Tính chọn'!$D$231</f>
        <v/>
      </c>
      <c r="D76" s="8" t="inlineStr">
        <is>
          <t>s</t>
        </is>
      </c>
      <c r="E76" s="8" t="inlineStr">
        <is>
          <t>Tính chọn R</t>
        </is>
      </c>
      <c r="F76" s="8" t="inlineStr">
        <is>
          <t>TS-02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25"/>
  <cols>
    <col width="44" customWidth="1" min="1" max="1"/>
    <col width="15" customWidth="1" min="2" max="9"/>
    <col width="60" customWidth="1" min="10" max="10"/>
  </cols>
  <sheetData>
    <row r="1" ht="15" customHeight="1">
      <c r="A1" s="19" t="inlineStr">
        <is>
          <t>Đại lượng</t>
        </is>
      </c>
      <c r="B1" s="19" t="inlineStr">
        <is>
          <t>WC-0 Danh định</t>
        </is>
      </c>
      <c r="C1" s="19" t="inlineStr">
        <is>
          <t>WC-1 Lưới −10%</t>
        </is>
      </c>
      <c r="D1" s="19" t="inlineStr">
        <is>
          <t>WC-2 w0 = 0.018</t>
        </is>
      </c>
      <c r="E1" s="19" t="inlineStr">
        <is>
          <t>WC-3 m_xc +20%</t>
        </is>
      </c>
      <c r="F1" s="19" t="inlineStr">
        <is>
          <t>WC-4 η = 0.85</t>
        </is>
      </c>
      <c r="G1" s="19" t="inlineStr">
        <is>
          <t>WC-5 Tổ hợp kéo</t>
        </is>
      </c>
      <c r="H1" s="19" t="inlineStr">
        <is>
          <t>WC-6 φ = 0.15</t>
        </is>
      </c>
      <c r="I1" s="19" t="inlineStr">
        <is>
          <t>WC-7 Tổ hợp hãm</t>
        </is>
      </c>
      <c r="J1" s="19" t="inlineStr">
        <is>
          <t>Công thức / Ghi chú</t>
        </is>
      </c>
    </row>
    <row r="2">
      <c r="A2" s="4" t="inlineStr">
        <is>
          <t>m_xc (kg)</t>
        </is>
      </c>
      <c r="B2" s="5" t="n">
        <v>1800</v>
      </c>
      <c r="C2" s="5" t="n">
        <v>1800</v>
      </c>
      <c r="D2" s="5" t="n">
        <v>1800</v>
      </c>
      <c r="E2" s="5" t="n">
        <v>2160</v>
      </c>
      <c r="F2" s="5" t="n">
        <v>1800</v>
      </c>
      <c r="G2" s="5" t="n">
        <v>2160</v>
      </c>
      <c r="H2" s="5" t="n">
        <v>1800</v>
      </c>
      <c r="I2" s="5" t="n">
        <v>1800</v>
      </c>
      <c r="J2" s="4" t="inlineStr">
        <is>
          <t>Biến thiên P-03 [C]</t>
        </is>
      </c>
    </row>
    <row r="3">
      <c r="A3" s="4" t="inlineStr">
        <is>
          <t>w_0 (-)</t>
        </is>
      </c>
      <c r="B3" s="5" t="n">
        <v>0.015</v>
      </c>
      <c r="C3" s="5" t="n">
        <v>0.015</v>
      </c>
      <c r="D3" s="5" t="n">
        <v>0.018</v>
      </c>
      <c r="E3" s="5" t="n">
        <v>0.015</v>
      </c>
      <c r="F3" s="5" t="n">
        <v>0.015</v>
      </c>
      <c r="G3" s="5" t="n">
        <v>0.018</v>
      </c>
      <c r="H3" s="5" t="n">
        <v>0.015</v>
      </c>
      <c r="I3" s="5" t="n">
        <v>0.012</v>
      </c>
      <c r="J3" s="4" t="inlineStr">
        <is>
          <t>Dải SOW 0.012–0.018</t>
        </is>
      </c>
    </row>
    <row r="4">
      <c r="A4" s="4" t="inlineStr">
        <is>
          <t>η (-)</t>
        </is>
      </c>
      <c r="B4" s="5" t="n">
        <v>0.9</v>
      </c>
      <c r="C4" s="5" t="n">
        <v>0.9</v>
      </c>
      <c r="D4" s="5" t="n">
        <v>0.9</v>
      </c>
      <c r="E4" s="5" t="n">
        <v>0.9</v>
      </c>
      <c r="F4" s="5" t="n">
        <v>0.85</v>
      </c>
      <c r="G4" s="5" t="n">
        <v>0.85</v>
      </c>
      <c r="H4" s="5" t="n">
        <v>0.9</v>
      </c>
      <c r="I4" s="5" t="n">
        <v>0.95</v>
      </c>
      <c r="J4" s="4" t="inlineStr">
        <is>
          <t>Biến thiên P-15 [C]</t>
        </is>
      </c>
    </row>
    <row r="5">
      <c r="A5" s="4" t="inlineStr">
        <is>
          <t>ΔU lưới (-)</t>
        </is>
      </c>
      <c r="B5" s="5" t="n">
        <v>0</v>
      </c>
      <c r="C5" s="5" t="n">
        <v>-0.1</v>
      </c>
      <c r="D5" s="5" t="n">
        <v>0</v>
      </c>
      <c r="E5" s="5" t="n">
        <v>0</v>
      </c>
      <c r="F5" s="5" t="n">
        <v>0</v>
      </c>
      <c r="G5" s="5" t="n">
        <v>-0.1</v>
      </c>
      <c r="H5" s="5" t="n">
        <v>0</v>
      </c>
      <c r="I5" s="5" t="n">
        <v>0.1</v>
      </c>
      <c r="J5" s="4" t="inlineStr">
        <is>
          <t>P-19: ±10%</t>
        </is>
      </c>
    </row>
    <row r="6">
      <c r="A6" s="4" t="inlineStr">
        <is>
          <t>φ (-)</t>
        </is>
      </c>
      <c r="B6" s="5" t="n">
        <v>0.2</v>
      </c>
      <c r="C6" s="5" t="n">
        <v>0.2</v>
      </c>
      <c r="D6" s="5" t="n">
        <v>0.2</v>
      </c>
      <c r="E6" s="5" t="n">
        <v>0.2</v>
      </c>
      <c r="F6" s="5" t="n">
        <v>0.2</v>
      </c>
      <c r="G6" s="5" t="n">
        <v>0.2</v>
      </c>
      <c r="H6" s="5" t="n">
        <v>0.15</v>
      </c>
      <c r="I6" s="5" t="n">
        <v>0.2</v>
      </c>
      <c r="J6" s="4" t="inlineStr">
        <is>
          <t>Độ nhạy P-14 [C]</t>
        </is>
      </c>
    </row>
    <row r="7">
      <c r="A7" s="4" t="inlineStr">
        <is>
          <t>M_Σ (kg)</t>
        </is>
      </c>
      <c r="B7" s="20">
        <f>Params!$C$2+Params!$C$3+B2</f>
        <v/>
      </c>
      <c r="C7" s="20">
        <f>Params!$C$2+Params!$C$3+C2</f>
        <v/>
      </c>
      <c r="D7" s="20">
        <f>Params!$C$2+Params!$C$3+D2</f>
        <v/>
      </c>
      <c r="E7" s="20">
        <f>Params!$C$2+Params!$C$3+E2</f>
        <v/>
      </c>
      <c r="F7" s="20">
        <f>Params!$C$2+Params!$C$3+F2</f>
        <v/>
      </c>
      <c r="G7" s="20">
        <f>Params!$C$2+Params!$C$3+G2</f>
        <v/>
      </c>
      <c r="H7" s="20">
        <f>Params!$C$2+Params!$C$3+H2</f>
        <v/>
      </c>
      <c r="I7" s="20">
        <f>Params!$C$2+Params!$C$3+I2</f>
        <v/>
      </c>
      <c r="J7" s="4" t="inlineStr">
        <is>
          <t>Q + m_nh + m_xc</t>
        </is>
      </c>
    </row>
    <row r="8">
      <c r="A8" s="4" t="inlineStr">
        <is>
          <t>F_c (N)</t>
        </is>
      </c>
      <c r="B8" s="20">
        <f>B7*Params!$C$19*B3</f>
        <v/>
      </c>
      <c r="C8" s="20">
        <f>C7*Params!$C$19*C3</f>
        <v/>
      </c>
      <c r="D8" s="20">
        <f>D7*Params!$C$19*D3</f>
        <v/>
      </c>
      <c r="E8" s="20">
        <f>E7*Params!$C$19*E3</f>
        <v/>
      </c>
      <c r="F8" s="20">
        <f>F7*Params!$C$19*F3</f>
        <v/>
      </c>
      <c r="G8" s="20">
        <f>G7*Params!$C$19*G3</f>
        <v/>
      </c>
      <c r="H8" s="20">
        <f>H7*Params!$C$19*H3</f>
        <v/>
      </c>
      <c r="I8" s="20">
        <f>I7*Params!$C$19*I3</f>
        <v/>
      </c>
      <c r="J8" s="4" t="inlineStr">
        <is>
          <t>M_Σ·g·w_0</t>
        </is>
      </c>
    </row>
    <row r="9">
      <c r="A9" s="4" t="inlineStr">
        <is>
          <t>M_max (N·m) tại a_max</t>
        </is>
      </c>
      <c r="B9" s="20">
        <f>(B8+GiaDinh_K3!$D$8*B7*Params!$C$11)*'Tính chọn'!$D$23/B4+Catalogue!$F$15*Params!$C$11/'Tính chọn'!$D$23</f>
        <v/>
      </c>
      <c r="C9" s="20">
        <f>(C8+GiaDinh_K3!$D$8*C7*Params!$C$11)*'Tính chọn'!$D$23/C4+Catalogue!$F$15*Params!$C$11/'Tính chọn'!$D$23</f>
        <v/>
      </c>
      <c r="D9" s="20">
        <f>(D8+GiaDinh_K3!$D$8*D7*Params!$C$11)*'Tính chọn'!$D$23/D4+Catalogue!$F$15*Params!$C$11/'Tính chọn'!$D$23</f>
        <v/>
      </c>
      <c r="E9" s="20">
        <f>(E8+GiaDinh_K3!$D$8*E7*Params!$C$11)*'Tính chọn'!$D$23/E4+Catalogue!$F$15*Params!$C$11/'Tính chọn'!$D$23</f>
        <v/>
      </c>
      <c r="F9" s="20">
        <f>(F8+GiaDinh_K3!$D$8*F7*Params!$C$11)*'Tính chọn'!$D$23/F4+Catalogue!$F$15*Params!$C$11/'Tính chọn'!$D$23</f>
        <v/>
      </c>
      <c r="G9" s="20">
        <f>(G8+GiaDinh_K3!$D$8*G7*Params!$C$11)*'Tính chọn'!$D$23/G4+Catalogue!$F$15*Params!$C$11/'Tính chọn'!$D$23</f>
        <v/>
      </c>
      <c r="H9" s="20">
        <f>(H8+GiaDinh_K3!$D$8*H7*Params!$C$11)*'Tính chọn'!$D$23/H4+Catalogue!$F$15*Params!$C$11/'Tính chọn'!$D$23</f>
        <v/>
      </c>
      <c r="I9" s="20">
        <f>(I8+GiaDinh_K3!$D$8*I7*Params!$C$11)*'Tính chọn'!$D$23/I4+Catalogue!$F$15*Params!$C$11/'Tính chọn'!$D$23</f>
        <v/>
      </c>
      <c r="J9" s="4" t="inlineStr">
        <is>
          <t>Như 'Tính chọn' D</t>
        </is>
      </c>
    </row>
    <row r="10">
      <c r="A10" s="4" t="inlineStr">
        <is>
          <t>M_max/M_N</t>
        </is>
      </c>
      <c r="B10" s="20">
        <f>B9/Catalogue!$F$5</f>
        <v/>
      </c>
      <c r="C10" s="20">
        <f>C9/Catalogue!$F$5</f>
        <v/>
      </c>
      <c r="D10" s="20">
        <f>D9/Catalogue!$F$5</f>
        <v/>
      </c>
      <c r="E10" s="20">
        <f>E9/Catalogue!$F$5</f>
        <v/>
      </c>
      <c r="F10" s="20">
        <f>F9/Catalogue!$F$5</f>
        <v/>
      </c>
      <c r="G10" s="20">
        <f>G9/Catalogue!$F$5</f>
        <v/>
      </c>
      <c r="H10" s="20">
        <f>H9/Catalogue!$F$5</f>
        <v/>
      </c>
      <c r="I10" s="20">
        <f>I9/Catalogue!$F$5</f>
        <v/>
      </c>
      <c r="J10" s="4" t="n"/>
    </row>
    <row r="11">
      <c r="A11" s="4" t="inlineStr">
        <is>
          <t>λ khả dụng</t>
        </is>
      </c>
      <c r="B11" s="20">
        <f>Catalogue!$F$12*(Params!$C$20*(1+B5)/GiaDinh_K3!$D$29)^2</f>
        <v/>
      </c>
      <c r="C11" s="20">
        <f>Catalogue!$F$12*(Params!$C$20*(1+C5)/GiaDinh_K3!$D$29)^2</f>
        <v/>
      </c>
      <c r="D11" s="20">
        <f>Catalogue!$F$12*(Params!$C$20*(1+D5)/GiaDinh_K3!$D$29)^2</f>
        <v/>
      </c>
      <c r="E11" s="20">
        <f>Catalogue!$F$12*(Params!$C$20*(1+E5)/GiaDinh_K3!$D$29)^2</f>
        <v/>
      </c>
      <c r="F11" s="20">
        <f>Catalogue!$F$12*(Params!$C$20*(1+F5)/GiaDinh_K3!$D$29)^2</f>
        <v/>
      </c>
      <c r="G11" s="20">
        <f>Catalogue!$F$12*(Params!$C$20*(1+G5)/GiaDinh_K3!$D$29)^2</f>
        <v/>
      </c>
      <c r="H11" s="20">
        <f>Catalogue!$F$12*(Params!$C$20*(1+H5)/GiaDinh_K3!$D$29)^2</f>
        <v/>
      </c>
      <c r="I11" s="20">
        <f>Catalogue!$F$12*(Params!$C$20*(1+I5)/GiaDinh_K3!$D$29)^2</f>
        <v/>
      </c>
      <c r="J11" s="4" t="inlineStr">
        <is>
          <t>λ_K·(U/U_N)², U_N = 400 V</t>
        </is>
      </c>
    </row>
    <row r="12">
      <c r="A12" s="4" t="inlineStr">
        <is>
          <t>Biên quá tải</t>
        </is>
      </c>
      <c r="B12" s="20">
        <f>B11/B10</f>
        <v/>
      </c>
      <c r="C12" s="20">
        <f>C11/C10</f>
        <v/>
      </c>
      <c r="D12" s="20">
        <f>D11/D10</f>
        <v/>
      </c>
      <c r="E12" s="20">
        <f>E11/E10</f>
        <v/>
      </c>
      <c r="F12" s="20">
        <f>F11/F10</f>
        <v/>
      </c>
      <c r="G12" s="20">
        <f>G11/G10</f>
        <v/>
      </c>
      <c r="H12" s="20">
        <f>H11/H10</f>
        <v/>
      </c>
      <c r="I12" s="20">
        <f>I11/I10</f>
        <v/>
      </c>
      <c r="J12" s="4" t="inlineStr">
        <is>
          <t>Phải ≥ 1</t>
        </is>
      </c>
    </row>
    <row r="13">
      <c r="A13" s="4" t="inlineStr">
        <is>
          <t>k_bám tại a_max</t>
        </is>
      </c>
      <c r="B13" s="20">
        <f>B6*GiaDinh_K3!$D$9*B7*Params!$C$19/(B8+B7*Params!$C$11)</f>
        <v/>
      </c>
      <c r="C13" s="20">
        <f>C6*GiaDinh_K3!$D$9*C7*Params!$C$19/(C8+C7*Params!$C$11)</f>
        <v/>
      </c>
      <c r="D13" s="20">
        <f>D6*GiaDinh_K3!$D$9*D7*Params!$C$19/(D8+D7*Params!$C$11)</f>
        <v/>
      </c>
      <c r="E13" s="20">
        <f>E6*GiaDinh_K3!$D$9*E7*Params!$C$19/(E8+E7*Params!$C$11)</f>
        <v/>
      </c>
      <c r="F13" s="20">
        <f>F6*GiaDinh_K3!$D$9*F7*Params!$C$19/(F8+F7*Params!$C$11)</f>
        <v/>
      </c>
      <c r="G13" s="20">
        <f>G6*GiaDinh_K3!$D$9*G7*Params!$C$19/(G8+G7*Params!$C$11)</f>
        <v/>
      </c>
      <c r="H13" s="20">
        <f>H6*GiaDinh_K3!$D$9*H7*Params!$C$19/(H8+H7*Params!$C$11)</f>
        <v/>
      </c>
      <c r="I13" s="20">
        <f>I6*GiaDinh_K3!$D$9*I7*Params!$C$19/(I8+I7*Params!$C$11)</f>
        <v/>
      </c>
      <c r="J13" s="4" t="inlineStr">
        <is>
          <t>Tham khảo</t>
        </is>
      </c>
    </row>
    <row r="14">
      <c r="A14" s="4" t="inlineStr">
        <is>
          <t>k_bám tại a* (quỹ đạo thật)</t>
        </is>
      </c>
      <c r="B14" s="20">
        <f>B6*GiaDinh_K3!$D$9*B7*Params!$C$19/(B8+B7*GiaDinh_K3!$D$11)</f>
        <v/>
      </c>
      <c r="C14" s="20">
        <f>C6*GiaDinh_K3!$D$9*C7*Params!$C$19/(C8+C7*GiaDinh_K3!$D$11)</f>
        <v/>
      </c>
      <c r="D14" s="20">
        <f>D6*GiaDinh_K3!$D$9*D7*Params!$C$19/(D8+D7*GiaDinh_K3!$D$11)</f>
        <v/>
      </c>
      <c r="E14" s="20">
        <f>E6*GiaDinh_K3!$D$9*E7*Params!$C$19/(E8+E7*GiaDinh_K3!$D$11)</f>
        <v/>
      </c>
      <c r="F14" s="20">
        <f>F6*GiaDinh_K3!$D$9*F7*Params!$C$19/(F8+F7*GiaDinh_K3!$D$11)</f>
        <v/>
      </c>
      <c r="G14" s="20">
        <f>G6*GiaDinh_K3!$D$9*G7*Params!$C$19/(G8+G7*GiaDinh_K3!$D$11)</f>
        <v/>
      </c>
      <c r="H14" s="20">
        <f>H6*GiaDinh_K3!$D$9*H7*Params!$C$19/(H8+H7*GiaDinh_K3!$D$11)</f>
        <v/>
      </c>
      <c r="I14" s="20">
        <f>I6*GiaDinh_K3!$D$9*I7*Params!$C$19/(I8+I7*GiaDinh_K3!$D$11)</f>
        <v/>
      </c>
      <c r="J14" s="4" t="inlineStr">
        <is>
          <t>Phải ≥ 1.20</t>
        </is>
      </c>
    </row>
    <row r="15">
      <c r="A15" s="4" t="inlineStr">
        <is>
          <t>P_dc,hãm (W)</t>
        </is>
      </c>
      <c r="B15" s="20">
        <f>(B7*Params!$C$11-B8)*Params!$C$10*B4*Catalogue!$F$9*GiaDinh_K3!$D$13</f>
        <v/>
      </c>
      <c r="C15" s="20">
        <f>(C7*Params!$C$11-C8)*Params!$C$10*C4*Catalogue!$F$9*GiaDinh_K3!$D$13</f>
        <v/>
      </c>
      <c r="D15" s="20">
        <f>(D7*Params!$C$11-D8)*Params!$C$10*D4*Catalogue!$F$9*GiaDinh_K3!$D$13</f>
        <v/>
      </c>
      <c r="E15" s="20">
        <f>(E7*Params!$C$11-E8)*Params!$C$10*E4*Catalogue!$F$9*GiaDinh_K3!$D$13</f>
        <v/>
      </c>
      <c r="F15" s="20">
        <f>(F7*Params!$C$11-F8)*Params!$C$10*F4*Catalogue!$F$9*GiaDinh_K3!$D$13</f>
        <v/>
      </c>
      <c r="G15" s="20">
        <f>(G7*Params!$C$11-G8)*Params!$C$10*G4*Catalogue!$F$9*GiaDinh_K3!$D$13</f>
        <v/>
      </c>
      <c r="H15" s="20">
        <f>(H7*Params!$C$11-H8)*Params!$C$10*H4*Catalogue!$F$9*GiaDinh_K3!$D$13</f>
        <v/>
      </c>
      <c r="I15" s="20">
        <f>(I7*Params!$C$11-I8)*Params!$C$10*I4*Catalogue!$F$9*GiaDinh_K3!$D$13</f>
        <v/>
      </c>
      <c r="J15" s="4" t="inlineStr">
        <is>
          <t>Phải ≤ P_BRmax</t>
        </is>
      </c>
    </row>
    <row r="16">
      <c r="A16" s="4" t="inlineStr">
        <is>
          <t>U_dc0 không tải (V)</t>
        </is>
      </c>
      <c r="B16" s="20">
        <f>SQRT(2)*Params!$C$20*(1+B5)</f>
        <v/>
      </c>
      <c r="C16" s="20">
        <f>SQRT(2)*Params!$C$20*(1+C5)</f>
        <v/>
      </c>
      <c r="D16" s="20">
        <f>SQRT(2)*Params!$C$20*(1+D5)</f>
        <v/>
      </c>
      <c r="E16" s="20">
        <f>SQRT(2)*Params!$C$20*(1+E5)</f>
        <v/>
      </c>
      <c r="F16" s="20">
        <f>SQRT(2)*Params!$C$20*(1+F5)</f>
        <v/>
      </c>
      <c r="G16" s="20">
        <f>SQRT(2)*Params!$C$20*(1+G5)</f>
        <v/>
      </c>
      <c r="H16" s="20">
        <f>SQRT(2)*Params!$C$20*(1+H5)</f>
        <v/>
      </c>
      <c r="I16" s="20">
        <f>SQRT(2)*Params!$C$20*(1+I5)</f>
        <v/>
      </c>
      <c r="J16" s="4" t="inlineStr">
        <is>
          <t>Phải &lt; U_chop − 20 V</t>
        </is>
      </c>
    </row>
    <row r="17">
      <c r="A17" s="4" t="inlineStr">
        <is>
          <t>k_dt ước lượng</t>
        </is>
      </c>
      <c r="B17" s="20">
        <f>'Tính chọn'!$D$60*Params!$C$21/B8*MIN(1,Params!$C$20*(1+B5)/GiaDinh_K3!$D$29)</f>
        <v/>
      </c>
      <c r="C17" s="20">
        <f>'Tính chọn'!$D$60*Params!$C$21/C8*MIN(1,Params!$C$20*(1+C5)/GiaDinh_K3!$D$29)</f>
        <v/>
      </c>
      <c r="D17" s="20">
        <f>'Tính chọn'!$D$60*Params!$C$21/D8*MIN(1,Params!$C$20*(1+D5)/GiaDinh_K3!$D$29)</f>
        <v/>
      </c>
      <c r="E17" s="20">
        <f>'Tính chọn'!$D$60*Params!$C$21/E8*MIN(1,Params!$C$20*(1+E5)/GiaDinh_K3!$D$29)</f>
        <v/>
      </c>
      <c r="F17" s="20">
        <f>'Tính chọn'!$D$60*Params!$C$21/F8*MIN(1,Params!$C$20*(1+F5)/GiaDinh_K3!$D$29)</f>
        <v/>
      </c>
      <c r="G17" s="20">
        <f>'Tính chọn'!$D$60*Params!$C$21/G8*MIN(1,Params!$C$20*(1+G5)/GiaDinh_K3!$D$29)</f>
        <v/>
      </c>
      <c r="H17" s="20">
        <f>'Tính chọn'!$D$60*Params!$C$21/H8*MIN(1,Params!$C$20*(1+H5)/GiaDinh_K3!$D$29)</f>
        <v/>
      </c>
      <c r="I17" s="20">
        <f>'Tính chọn'!$D$60*Params!$C$21/I8*MIN(1,Params!$C$20*(1+I5)/GiaDinh_K3!$D$29)</f>
        <v/>
      </c>
      <c r="J17" s="4" t="inlineStr">
        <is>
          <t>Gần đúng: M_đt ∝ F_c; dòng ∝ 1/U khi gần tốc độ định mức</t>
        </is>
      </c>
    </row>
    <row r="18" ht="15" customHeight="1">
      <c r="A18" s="21" t="inlineStr">
        <is>
          <t>Kết luận</t>
        </is>
      </c>
      <c r="B18" s="20">
        <f>IF(AND(B12&gt;=1,B14&gt;=1.2,B15/1000&lt;=Catalogue!$F$27,B16&lt;GiaDinh_K3!$D$14-20,B17&gt;=1.2),"Đạt","Xem lại")</f>
        <v/>
      </c>
      <c r="C18" s="20">
        <f>IF(AND(C12&gt;=1,C14&gt;=1.2,C15/1000&lt;=Catalogue!$F$27,C16&lt;GiaDinh_K3!$D$14-20,C17&gt;=1.2),"Đạt","Xem lại")</f>
        <v/>
      </c>
      <c r="D18" s="20">
        <f>IF(AND(D12&gt;=1,D14&gt;=1.2,D15/1000&lt;=Catalogue!$F$27,D16&lt;GiaDinh_K3!$D$14-20,D17&gt;=1.2),"Đạt","Xem lại")</f>
        <v/>
      </c>
      <c r="E18" s="20">
        <f>IF(AND(E12&gt;=1,E14&gt;=1.2,E15/1000&lt;=Catalogue!$F$27,E16&lt;GiaDinh_K3!$D$14-20,E17&gt;=1.2),"Đạt","Xem lại")</f>
        <v/>
      </c>
      <c r="F18" s="20">
        <f>IF(AND(F12&gt;=1,F14&gt;=1.2,F15/1000&lt;=Catalogue!$F$27,F16&lt;GiaDinh_K3!$D$14-20,F17&gt;=1.2),"Đạt","Xem lại")</f>
        <v/>
      </c>
      <c r="G18" s="20">
        <f>IF(AND(G12&gt;=1,G14&gt;=1.2,G15/1000&lt;=Catalogue!$F$27,G16&lt;GiaDinh_K3!$D$14-20,G17&gt;=1.2),"Đạt","Xem lại")</f>
        <v/>
      </c>
      <c r="H18" s="20">
        <f>IF(AND(H12&gt;=1,H14&gt;=1.2,H15/1000&lt;=Catalogue!$F$27,H16&lt;GiaDinh_K3!$D$14-20,H17&gt;=1.2),"Đạt","Xem lại")</f>
        <v/>
      </c>
      <c r="I18" s="20">
        <f>IF(AND(I12&gt;=1,I14&gt;=1.2,I15/1000&lt;=Catalogue!$F$27,I16&lt;GiaDinh_K3!$D$14-20,I17&gt;=1.2),"Đạt","Xem lại")</f>
        <v/>
      </c>
      <c r="J18" s="4" t="inlineStr">
        <is>
          <t>Tổng hợp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2026-10-25T01:21:31Z</dcterms:created>
  <dcterms:modified xmlns:dcterms="http://purl.org/dc/terms/" xmlns:xsi="http://www.w3.org/2001/XMLSchema-instance" xsi:type="dcterms:W3CDTF">2026-10-26T16:40:36Z</dcterms:modified>
  <cp:lastModifiedBy>Nguyen Ba Hung 20232107</cp:lastModifiedBy>
</cp:coreProperties>
</file>