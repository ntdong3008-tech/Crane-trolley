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fo" sheetId="1" state="visible" r:id="rId3"/>
    <sheet name="Tong_hop" sheetId="2" state="visible" r:id="rId4"/>
    <sheet name="Params" sheetId="3" state="visible" r:id="rId5"/>
    <sheet name="GiaDinh_K3" sheetId="4" state="visible" r:id="rId6"/>
    <sheet name="Catalogue" sheetId="5" state="visible" r:id="rId7"/>
    <sheet name="Tính chọn" sheetId="6" state="visible" r:id="rId8"/>
    <sheet name="Kiểm tra" sheetId="7" state="visible" r:id="rId9"/>
    <sheet name="Dẫn xuất" sheetId="8" state="visible" r:id="rId10"/>
    <sheet name="Mo_phong" sheetId="9" state="visible" r:id="rId11"/>
    <sheet name="WCCA" sheetId="10" state="visible" r:id="rId12"/>
    <sheet name="Quy_dao" sheetId="11" state="visible" r:id="rId13"/>
    <sheet name="UocLuong_T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<sst xmlns="http://schemas.openxmlformats.org/spreadsheetml/2006/main" count="2971" uniqueCount="1847">
  <si>
    <t xml:space="preserve">FILE TÍNH TOÁN &amp; KIỂM NGHIỆM THIẾT BỊ — HỆ TRUYỀN ĐỘNG XE CON CẦU TRỤC DẦM ĐÔI (x = 2)</t>
  </si>
  <si>
    <t xml:space="preserve">Mã hồ sơ: CDRL-02 — Gói SOW-3.1 / SOW-3.3 (Khối 3 — CDR-EVT)</t>
  </si>
  <si>
    <t xml:space="preserve">Phiên bản Excel: v1.5 — Ngày: 28/10/2026 — Người lập (Writer): AI; Người duyệt: Nhóm 8.5-EMG. Nền: v1.4 (Checker lượt 1–2 ngày 27/10/2026).</t>
  </si>
  <si>
    <t xml:space="preserve">Lịch sử: v1.5 (28/10/2026, Người dùng duyệt) thêm sheet UocLuong_TS: 14 công thức ước lượng tham số theo bài giảng (Class_3 slide 9–11), kiểm chứng mạch T với catalogue (I_N, cosφ_N, M_N, λ_K), bộ hiệu chỉnh [B] (sai số 2.0%) chọn qua sel_mot = 3; 'Tính chọn' D104, D109–D112, D121 lấy từ sheet này; thêm KT-44. Chốt phạm vi môn học (CR-13..CR-15): WCCA rút còn WC-0 (danh định) và WC-1 (lưới −10%), bỏ dòng k_dt ước lượng; khối P bỏ các dòng giảm từ thông ở lưới −10%, KT-37/38 tính ở lưới danh định; Mo_phong bỏ biến w_fw_min. Vòng tốc độ chỉnh lại: J_tune = J_rig, T_Σω kể trễ rời rạc 1.5·T_s,ω (GiaDinh_K3 D61); KT-06 theo CR-16; KT-21 chuyển thành quan sát (CR-10), thêm khối T (lắc dư theo T_run). Hệ quả: k_M 2.954 → 2.694 N·m/A, T_e 5.55 → 3.98 ms, K_p,I 108.4 → 76.6 V/A, K_p,ω 0.714 → 0.783, i_sq,lim 3.52 → 3.86 A, ψ_rN 1.040 → 0.942 Wb. · Lịch sử: v1.4 (27/10/2026) tiếp nhận góp ý đồng nghiệp PE-HW (file v3, 27/10/2026) trên nền v1.3: E_đ tính phần rotor theo ω_m tại v_max thay vì ω_N (Tính chọn D81; E_Rh 59.9 → 59.4 J); KT-42 (P_Rh ≥ P_Rh,tb), KT-43 (M_c ≤ M_N); khối S (P_dc,hãm kể δ và J_B — chỉ tham khảo, KT-15 giữ công thức WORKFLOW §4.2-C4); GiaDinh_K3 hàng 59–60 (P_Rh = 200 W [W-09]); WCCA hàng 15 bọc MAX(0,·); sheet Tong_hop và Quy_dao mới; cột G sheet Mo_phong sinh dòng lệnh MATLAB theo tên biến ICD. Không đổi tên biến ICD, không đổi số hiệu KT-01..KT-41, không đổi số liệu nào khác của v1.3. Thay đổi phụ không đổi số: Tính chọn F81 thêm ghi chú; Kiểm tra E41 (KT-40) hằng 1E-9 được Excel ghi lại thành 0.000000001; Info chèn 2 dòng A22–A23. Sửa sau Checker lượt 1 (27/10/2026): Dẫn xuất hàng 24 SRS-D05d (P_Rh); Tong_hop ghép chuỗi ngưỡng từ Params/Kiểm tra (K6-1); nguồn công thức khối S (K8-2); ghi chú năng lượng xung KT-42 (K8-4); Mo_phong G1 bắt đầu bằng % (K9-1); tiêu đề 2 biểu đồ Quy_dao (biểu đồ 1 ghi khối cứng); Quy_dao C4/C5 ghi tham số hiển thị [C] (K6-3); Info A3, A22 và Tong_hop A2 sửa câu mô tả (K6-1, K10-1). Sửa sau Checker lượt 2 (27/10/2026): Tong_hop D31 lấy ngưỡng Δv từ Kiểm tra D32 và D28 hiển thị φ = 0.20 (N-1); Info A3/A4 ghi đủ các ô chữ đã sửa (N-5); Tính chọn F82 ghi chú công thức E_Rh là gần đúng (K6-2, Người dùng giữ 59.4 J). v1.3 (26/10/2026) nhóm C — bộ thông số mô phỏng: mô hình 2 khối lượng (khối O), giới hạn điện áp &amp; giảm từ thông (khối P), biến tần trung bình &amp; DC-link (khối Q), kịch bản rút gọn TS-01/TS-02 (khối R), giả định [C] GiaDinh_K3 hàng 43–58, KT-34..KT-41, SRS-D14..D15, sheet Mo_phong; không đổi số nào của v1.2. v1.2 (25/10/2026) nhập i_thực = 155.34 (SEW R87), M_a,max, xác minh BE1 7 N·m, R_h Danotherm CBH 360, ACS380 tr.12/24 đối chiếu ảnh trang; v1.0 (24/10/2026) bản đầu; v1.1 (24/10/2026) xử lý Checker K6-2 (λ quy về U_N = 400 V), K6-3 (quán tính khi phanh), K6-4 (sheet WCCA), K7-1 (thử mô-men giữ ⇒ M_B ≥ 1.2·M_hold, M_B = 7 N·m), K8-1, K8-3.</t>
  </si>
  <si>
    <t xml:space="preserve">Baseline: SSoT-8.5EMG-v1.2 (P-01..P-20), SRS Baseline A.1 (ký 24/10/2026; SRS-PERM-04: k_dt ≥ 1.20). Trạng thái: ĐÃ DUYỆT — Cổng G4 đóng 24/10/2026.</t>
  </si>
  <si>
    <t xml:space="preserve">Phạm vi (QĐ-07): chỉ xét điều kiện vận hành lý tưởng — không mất điện, không E-STOP/dừng khẩn, không xét sự cố thiết bị.</t>
  </si>
  <si>
    <t xml:space="preserve">QUY ƯỚC MÀU</t>
  </si>
  <si>
    <t xml:space="preserve">Chữ xanh dương = số nhập (hằng số gốc / giả định / catalogue). Chữ đen = công thức. Chữ xanh lá = công thức lấy từ sheet khác.</t>
  </si>
  <si>
    <t xml:space="preserve">Nền vàng = ô quyết định của Người dùng (chọn ứng viên động cơ, tỷ số truyền thực tế, R_h, M_B...). Ứng viên động cơ đã chốt sel = 1 (QĐ-04).</t>
  </si>
  <si>
    <t xml:space="preserve">Mọi ô ở 'Tính chọn', 'Kiểm tra', 'Dẫn xuất' là công thức; không gõ lại hằng số (WORKFLOW_RULES §6).</t>
  </si>
  <si>
    <t xml:space="preserve">CẤU TRÚC SHEET</t>
  </si>
  <si>
    <t xml:space="preserve">Params — 20 thông số gốc P-01..P-20 (sao chép đúng SSoT v1.2).</t>
  </si>
  <si>
    <t xml:space="preserve">GiaDinh_K3 — giả định thiết kế [C] phát sinh ở Khối 3 và ô quyết định (có lý do, mốc kiểm tra). Hàng 43–58: giả định mô phỏng (Khối 4).</t>
  </si>
  <si>
    <t xml:space="preserve">Catalogue — dữ liệu catalogue web [W-01..W-05] cho 2 ứng viên động cơ SEW DRN và 2 biến tần ABB ACS380.</t>
  </si>
  <si>
    <t xml:space="preserve">Tính chọn — các khối A..R: tải, quy đổi, S-curve, chu trình S3, λ, biến tần, hãm R_h, phanh, mạch thay thế ĐC, PI MO/SO; O–R: mô hình 2 khối lượng, giới hạn điện áp, DC-link, kịch bản mô phỏng. S (v1.4): kiểm tra bổ sung và P_dc,hãm kể δ, J_B (tham khảo).</t>
  </si>
  <si>
    <t xml:space="preserve">Kiểm tra — so sánh với ngưỡng SRS Baseline A(.1) &amp; Downstream Allocation → Đạt / Không đạt / TBD.</t>
  </si>
  <si>
    <t xml:space="preserve">Dẫn xuất — yêu cầu dẫn xuất SRS-D01..D15 (giá trị, yêu cầu cha, bước tính, phép kiểm chứng).</t>
  </si>
  <si>
    <t xml:space="preserve">WCCA — phân tích trường hợp xấu nhất rút gọn WC-0..WC-7 bằng công thức.</t>
  </si>
  <si>
    <t xml:space="preserve">Mo_phong — bộ thông số mô phỏng theo tên biến ICD v1.2 §4.1: nguồn duy nhất cho init_params.m (Khối 4); mọi ô là công thức trỏ về sheet gốc. Cột G (v1.4): dòng lệnh MATLAB sinh sẵn.</t>
  </si>
  <si>
    <t xml:space="preserve">Tong_hop — trang tổng hợp (v1.4): đề bài, cấu hình thiết bị chốt, kết quả chính kèm mã KT, đếm kết quả Kiểm tra/WCCA. Mọi ô số liệu và ngưỡng là công thức; tên thiết bị, đơn vị, mã KT là chữ.</t>
  </si>
  <si>
    <t xml:space="preserve">Quy_dao — quỹ đạo S-curve và biểu đồ phụ tải một hành trình (v1.4), mô hình khối cứng như khối D/F; góc II/IV nhân η.</t>
  </si>
  <si>
    <t xml:space="preserve">NGUỒN CATALOGUE WEB (cần lưu PDF vào 'Tài liệu tham khảo/')</t>
  </si>
  <si>
    <t xml:space="preserve">[W-01] SEW-EURODRIVE Catalog DRN.. Gearmotors (IE3), 24832936/EN-09/2018, §13.4.1 tr.866 — https://match.kheoos.com/media/medias/k0/46-648c5348d0a1b.pdf</t>
  </si>
  <si>
    <t xml:space="preserve">[W-02] SEW-EURODRIVE (E)DRN.. (IE3) Gearmotors 60 Hz Revision, 24772933/EN-01/2018, §1.4 tr.24-25 — https://download.sew-eurodrive.com/download/pdf/24772933.pdf</t>
  </si>
  <si>
    <t xml:space="preserve">[W-03] SEW-EURODRIVE Addendum DRN.. Gearmotors (IE3) 2-/6-pole, 22866450/EN-06/2016, §4.3.2 tr.24-25 — https://download.sew-eurodrive.com/download/pdf/22866450.pdf</t>
  </si>
  <si>
    <t xml:space="preserve">[W-04] SEW-EURODRIVE ES7C/EV7C — https://download.sew-eurodrive.com/download/html/31974465/en-EN/39119693963.html</t>
  </si>
  <si>
    <t xml:space="preserve">[W-05] ABB ACS380 catalog 3AUA0000187460 REV D EN 22.9.2020, tr.10, 12, 24 — https://www.auser.fi/wp-content/uploads/ACS380-katalogi.pdf</t>
  </si>
  <si>
    <t xml:space="preserve">[W-06] SEW Drive Selection (ứng dụng xe con, 25/10/2026): R87, i = 155.34, M_a,max 1550 N·m, F_Ra 17100 N — https://kz.sew-eurodrive.com/os/ds/</t>
  </si>
  <si>
    <t xml:space="preserve">[W-07] SEW Technical Note B-107-04 'BE Brake - Torques / Spring Combinations / Air Gap' — BE1: 10/7/5 N·m</t>
  </si>
  <si>
    <t xml:space="preserve">[W-08] ABB ACS380 Quick installation and start-up guide (QISG rev F) — cầu chì gG OFAF000H6 cho 03A3-4</t>
  </si>
  <si>
    <t xml:space="preserve">[W-09] Danotherm CBH 360 C T 406 210R (Partco): 210 Ω ±10%, 200 W @40 °C, công tắc nhiệt</t>
  </si>
  <si>
    <t xml:space="preserve">[W-10] ABB AF09-30-10-13 (1SBL137001R1310): AC-3 9 A @400 V, AC-1 25 A (plc-direct)</t>
  </si>
  <si>
    <t xml:space="preserve">Tất cả PDF nguồn lưu tại 'Tài liệu tham khảo/Catalogue web/'.</t>
  </si>
  <si>
    <t xml:space="preserve">GIẢI THÍCH NGẮN (vì sao tính như vậy)</t>
  </si>
  <si>
    <t xml:space="preserve">1) Xe con chạy rất chậm (0.12 m/s) nhưng khối lượng lớn (14,244 kg): mô-men gia tốc ≈ 5 lần mô-men cản tĩnh, trong khi pha gia tốc chỉ ≈ 0.5 s/lần → động cơ phải chọn theo mô-men cực đại (λ), không theo nhiệt.</t>
  </si>
  <si>
    <t xml:space="preserve">2) M_đt tính theo trung bình bình phương mô-men trên thời gian đóng điện của chu kỳ S3-40% (t_lv = 240 s/600 s); k_dt = P_đm/P_đt.</t>
  </si>
  <si>
    <t xml:space="preserve">3) λ kiểm tra ở sụt áp -10%: mô-men tới hạn tỷ lệ U², quy về điện áp định mức động cơ U_N = 400 V → λ_K·(342/400)² phải ≥ M_max/M_N.</t>
  </si>
  <si>
    <t xml:space="preserve">4) R_h nằm trong [R_min; R_max] của chopper biến tần và không lớn hơn U_chop²/P_hãm để hấp thụ đủ công suất hãm đỉnh.</t>
  </si>
  <si>
    <t xml:space="preserve">5) Tham số mạch thay thế ĐC ước lượng từ dữ liệu bảng tên (sơ đồ vòng tròn, bỏ qua R_s khi tính I0); cần nhận dạng lại (ID-run) khi có động cơ thật.</t>
  </si>
  <si>
    <t xml:space="preserve">6) PI dòng chỉnh theo tối ưu module (Bài 2.1 slide 26-27; Bài 2.3 slide 33-37); PI tốc độ theo tối ưu đối xứng, chỉnh tại J_tune = √(J_max·J_min) để độ dự trữ pha bằng nhau ở đầy/không tải.</t>
  </si>
  <si>
    <t xml:space="preserve">7) Mô phỏng dùng mô hình 2 khối lượng: xe con cứng m_xc + con lắc (Q + m_nh). Vì t_acc ≈ 0.5 s ≪ T_p ≈ 7 s, tải chưa kịp chuyển động khi xe tăng tốc nên mô-men đỉnh trên Simulink chỉ ≈ 1/2 mô-men khối cứng của Excel (khối O). Excel giữ khối cứng vì là cận trên an toàn theo bài giảng.</t>
  </si>
  <si>
    <t xml:space="preserve">8) ĐC định mức 400 V/50 Hz chạy trên lưới 380 V: nghịch lưu chỉ tạo được k_u·U_dc/√2 nên ở gần v_max phải giảm từ thông (khối P, SRS-D14..D15); KT-37/38 kiểm dòng vẫn trong giới hạn.</t>
  </si>
  <si>
    <t xml:space="preserve">TỔNG HỢP — HỆ TRUYỀN ĐỘNG XE CON CẦU TRỤC DẦM ĐÔI (x = 2) — EXCEL v1.5</t>
  </si>
  <si>
    <t xml:space="preserve">Mọi ô số liệu và ngưỡng là công thức trỏ về Params / GiaDinh_K3 / Catalogue / Tính chọn / Kiểm tra / WCCA (chữ xanh lá); tên thiết bị, đơn vị, mã KT là chữ. Mã KT theo sheet Kiểm tra (không đổi so với v1.3).</t>
  </si>
  <si>
    <t xml:space="preserve">1. ĐỀ BÀI VÀ GIẢ ĐỊNH CHÍNH</t>
  </si>
  <si>
    <t xml:space="preserve">Đại lượng</t>
  </si>
  <si>
    <t xml:space="preserve">Giá trị</t>
  </si>
  <si>
    <t xml:space="preserve">Đơn vị</t>
  </si>
  <si>
    <t xml:space="preserve">Nguồn</t>
  </si>
  <si>
    <t xml:space="preserve">Tải trọng định mức Q</t>
  </si>
  <si>
    <t xml:space="preserve">kg</t>
  </si>
  <si>
    <t xml:space="preserve">P-01 [A]</t>
  </si>
  <si>
    <t xml:space="preserve">Khối lượng cơ cấu nâng hạ m_nh</t>
  </si>
  <si>
    <t xml:space="preserve">P-02 [A]</t>
  </si>
  <si>
    <t xml:space="preserve">Khối lượng xe con m_xc</t>
  </si>
  <si>
    <t xml:space="preserve">P-03 [C] — chưa có catalogue</t>
  </si>
  <si>
    <t xml:space="preserve">Chiều cao nâng h</t>
  </si>
  <si>
    <t xml:space="preserve">m</t>
  </si>
  <si>
    <t xml:space="preserve">P-06 [A]</t>
  </si>
  <si>
    <t xml:space="preserve">Vận tốc tối đa v_max</t>
  </si>
  <si>
    <t xml:space="preserve">m/s</t>
  </si>
  <si>
    <t xml:space="preserve">P-09 [A]</t>
  </si>
  <si>
    <t xml:space="preserve">Gia tốc cực đại a_max</t>
  </si>
  <si>
    <t xml:space="preserve">m/s²</t>
  </si>
  <si>
    <t xml:space="preserve">P-10 [A]</t>
  </si>
  <si>
    <t xml:space="preserve">Độ giật cực đại ρ_max</t>
  </si>
  <si>
    <t xml:space="preserve">m/s³</t>
  </si>
  <si>
    <t xml:space="preserve">P-11 [A]</t>
  </si>
  <si>
    <t xml:space="preserve">Chế độ làm việc</t>
  </si>
  <si>
    <t xml:space="preserve">-</t>
  </si>
  <si>
    <t xml:space="preserve">P-17</t>
  </si>
  <si>
    <t xml:space="preserve">2. CẤU HÌNH THIẾT BỊ ĐÃ CHỐT (QĐ-04, sel = 1)</t>
  </si>
  <si>
    <t xml:space="preserve">Hạng mục</t>
  </si>
  <si>
    <t xml:space="preserve">Thiết bị / mã</t>
  </si>
  <si>
    <t xml:space="preserve">Thông số chính</t>
  </si>
  <si>
    <t xml:space="preserve">Động cơ</t>
  </si>
  <si>
    <t xml:space="preserve">[W-01], [W-02]</t>
  </si>
  <si>
    <t xml:space="preserve">Hộp số</t>
  </si>
  <si>
    <t xml:space="preserve">SEW R87 (trụ đồng trục)</t>
  </si>
  <si>
    <t xml:space="preserve">[W-06]</t>
  </si>
  <si>
    <t xml:space="preserve">Phanh</t>
  </si>
  <si>
    <t xml:space="preserve">[W-07]</t>
  </si>
  <si>
    <t xml:space="preserve">Encoder</t>
  </si>
  <si>
    <t xml:space="preserve">SEW ES7C</t>
  </si>
  <si>
    <t xml:space="preserve">[W-04]</t>
  </si>
  <si>
    <t xml:space="preserve">Biến tần</t>
  </si>
  <si>
    <t xml:space="preserve">[W-05] tr.12</t>
  </si>
  <si>
    <t xml:space="preserve">Điện trở hãm</t>
  </si>
  <si>
    <t xml:space="preserve">Danotherm CBH 360 C T 406 210R</t>
  </si>
  <si>
    <t xml:space="preserve">[W-05] tr.24, [W-09]</t>
  </si>
  <si>
    <t xml:space="preserve">Bảo vệ / đóng cắt</t>
  </si>
  <si>
    <t xml:space="preserve">Cầu chì gG 6 A OFAF000H6 · Contactor ABB AF09-30-10-13</t>
  </si>
  <si>
    <t xml:space="preserve">[W-08], [W-10]</t>
  </si>
  <si>
    <t xml:space="preserve">Điều khiển</t>
  </si>
  <si>
    <t xml:space="preserve">RFOC + S-curve 7 đoạn + FSM</t>
  </si>
  <si>
    <t xml:space="preserve">SDD Khối 3</t>
  </si>
  <si>
    <t xml:space="preserve">3. KẾT QUẢ CHÍNH</t>
  </si>
  <si>
    <t xml:space="preserve">Ngưỡng / so sánh</t>
  </si>
  <si>
    <t xml:space="preserve">Mã KT</t>
  </si>
  <si>
    <t xml:space="preserve">Lực cản tĩnh đầy tải F_c</t>
  </si>
  <si>
    <t xml:space="preserve">N</t>
  </si>
  <si>
    <t xml:space="preserve">KT-01</t>
  </si>
  <si>
    <t xml:space="preserve">Lực kéo cực đại F_max</t>
  </si>
  <si>
    <t xml:space="preserve">Downstream #6</t>
  </si>
  <si>
    <t xml:space="preserve">KT-06</t>
  </si>
  <si>
    <t xml:space="preserve">Công suất tĩnh / công suất đỉnh</t>
  </si>
  <si>
    <t xml:space="preserve">W</t>
  </si>
  <si>
    <t xml:space="preserve">Tỷ số truyền yêu cầu / thực</t>
  </si>
  <si>
    <t xml:space="preserve">KT-31</t>
  </si>
  <si>
    <t xml:space="preserve">Quán tính tổng đầy / không tải</t>
  </si>
  <si>
    <t xml:space="preserve">kg·m²</t>
  </si>
  <si>
    <t xml:space="preserve">Mô-men cực đại M_max (a_max)</t>
  </si>
  <si>
    <t xml:space="preserve">N·m</t>
  </si>
  <si>
    <t xml:space="preserve">λ khả dụng ở lưới −10% (quy về 400 V)</t>
  </si>
  <si>
    <t xml:space="preserve">KT-05</t>
  </si>
  <si>
    <t xml:space="preserve">Mô-men đẳng trị M_đt</t>
  </si>
  <si>
    <t xml:space="preserve">Hệ số dự trữ nhiệt k_dt</t>
  </si>
  <si>
    <t xml:space="preserve">KT-07</t>
  </si>
  <si>
    <t xml:space="preserve">Hệ số bám đầy / không tải</t>
  </si>
  <si>
    <t xml:space="preserve">KT-02, 03</t>
  </si>
  <si>
    <t xml:space="preserve">Dòng đỉnh khi tăng tốc</t>
  </si>
  <si>
    <t xml:space="preserve">A</t>
  </si>
  <si>
    <t xml:space="preserve">KT-11</t>
  </si>
  <si>
    <t xml:space="preserve">Công suất hãm đỉnh về DC-link</t>
  </si>
  <si>
    <t xml:space="preserve">KT-15</t>
  </si>
  <si>
    <t xml:space="preserve">  … kể δ và J_B (tham khảo, khối S)</t>
  </si>
  <si>
    <t xml:space="preserve">—</t>
  </si>
  <si>
    <t xml:space="preserve">Cửa sổ R_h</t>
  </si>
  <si>
    <t xml:space="preserve">Ω</t>
  </si>
  <si>
    <t xml:space="preserve">KT-13, 14</t>
  </si>
  <si>
    <t xml:space="preserve">Năng lượng vào R_h mỗi lần dừng</t>
  </si>
  <si>
    <t xml:space="preserve">J</t>
  </si>
  <si>
    <t xml:space="preserve">KT-39</t>
  </si>
  <si>
    <t xml:space="preserve">Cửa sổ mô-men phanh</t>
  </si>
  <si>
    <t xml:space="preserve">KT-27, 28</t>
  </si>
  <si>
    <t xml:space="preserve">S-curve: T_j / T_a / t_acc</t>
  </si>
  <si>
    <t xml:space="preserve">s</t>
  </si>
  <si>
    <t xml:space="preserve">KT-18..20</t>
  </si>
  <si>
    <t xml:space="preserve">PI dòng K_p,I / T_i,I</t>
  </si>
  <si>
    <t xml:space="preserve">KT-22</t>
  </si>
  <si>
    <t xml:space="preserve">PI tốc độ K_p,ω / T_i,ω</t>
  </si>
  <si>
    <t xml:space="preserve">KT-23, 24</t>
  </si>
  <si>
    <t xml:space="preserve">Tỷ số từ thông tại v_max (lưới danh định)</t>
  </si>
  <si>
    <t xml:space="preserve">KT-37, 38</t>
  </si>
  <si>
    <t xml:space="preserve">4. KẾT LUẬN</t>
  </si>
  <si>
    <t xml:space="preserve">Kiểm tra Đạt</t>
  </si>
  <si>
    <t xml:space="preserve">Không áp dụng (CR-01, CR-10, QĐ-07)</t>
  </si>
  <si>
    <t xml:space="preserve">TBD (mô phỏng Khối 4–5)</t>
  </si>
  <si>
    <t xml:space="preserve">Không đạt</t>
  </si>
  <si>
    <t xml:space="preserve">Kịch bản WCCA Đạt</t>
  </si>
  <si>
    <t xml:space="preserve">Biên quá tải nhỏ nhất (WCCA)</t>
  </si>
  <si>
    <t xml:space="preserve">Kết luận cấu hình</t>
  </si>
  <si>
    <t xml:space="preserve">Giới hạn còn mở: m_xc = 1,800 kg là giả định [C]; tham số mạch thay thế ĐC ước lượng từ bảng tên (cần ID-run); ngưỡng chopper ACS380 và C_dc chưa đối chiếu firmware/catalogue; tổ hợp R87 + khung DRN80 cần SEW xác nhận khi đặt hàng.</t>
  </si>
  <si>
    <t xml:space="preserve">Phạm vi: vận hành lý tưởng (QĐ-07) — không xét mất điện, dừng khẩn, sự cố thiết bị.</t>
  </si>
  <si>
    <t xml:space="preserve">Mã P-xx</t>
  </si>
  <si>
    <t xml:space="preserve">Ký hiệu</t>
  </si>
  <si>
    <t xml:space="preserve">Loại [A/B/C]</t>
  </si>
  <si>
    <t xml:space="preserve">ID yêu cầu</t>
  </si>
  <si>
    <t xml:space="preserve">Tên thông số (tham khảo)</t>
  </si>
  <si>
    <t xml:space="preserve">P-01</t>
  </si>
  <si>
    <t xml:space="preserve">Q</t>
  </si>
  <si>
    <t xml:space="preserve">[A]</t>
  </si>
  <si>
    <t xml:space="preserve">SRS-PERM-01</t>
  </si>
  <si>
    <t xml:space="preserve">Đề bài x = 2 (SSoT v1.2)</t>
  </si>
  <si>
    <t xml:space="preserve">Tải trọng nâng định mức</t>
  </si>
  <si>
    <t xml:space="preserve">P-02</t>
  </si>
  <si>
    <t xml:space="preserve">m_nh</t>
  </si>
  <si>
    <t xml:space="preserve">Đề bài x = 2</t>
  </si>
  <si>
    <t xml:space="preserve">Khối lượng cơ cấu nâng hạ</t>
  </si>
  <si>
    <t xml:space="preserve">P-03</t>
  </si>
  <si>
    <t xml:space="preserve">m_xc</t>
  </si>
  <si>
    <t xml:space="preserve">[C]</t>
  </si>
  <si>
    <t xml:space="preserve">Giả định ~15% Q; kiểm tra lại Khối 2 (chưa có catalogue)</t>
  </si>
  <si>
    <t xml:space="preserve">Khối lượng bản thân xe con</t>
  </si>
  <si>
    <t xml:space="preserve">P-04</t>
  </si>
  <si>
    <t xml:space="preserve">M_Σ</t>
  </si>
  <si>
    <t xml:space="preserve">[B]</t>
  </si>
  <si>
    <t xml:space="preserve">P-01+P-02+P-03</t>
  </si>
  <si>
    <t xml:space="preserve">Tổng khối lượng đầy tải</t>
  </si>
  <si>
    <t xml:space="preserve">P-05</t>
  </si>
  <si>
    <t xml:space="preserve">m_tĩnh</t>
  </si>
  <si>
    <t xml:space="preserve">P-02+P-03</t>
  </si>
  <si>
    <t xml:space="preserve">Tổng khối lượng không tải</t>
  </si>
  <si>
    <t xml:space="preserve">P-06</t>
  </si>
  <si>
    <t xml:space="preserve">h</t>
  </si>
  <si>
    <t xml:space="preserve">SRS-PERM-03</t>
  </si>
  <si>
    <t xml:space="preserve">Chiều cao nâng (dài cáp)</t>
  </si>
  <si>
    <t xml:space="preserve">P-07</t>
  </si>
  <si>
    <t xml:space="preserve">ω_p</t>
  </si>
  <si>
    <t xml:space="preserve">rad/s</t>
  </si>
  <si>
    <t xml:space="preserve">√(g/h)</t>
  </si>
  <si>
    <t xml:space="preserve">Tần số góc con lắc</t>
  </si>
  <si>
    <t xml:space="preserve">P-08</t>
  </si>
  <si>
    <t xml:space="preserve">T_p</t>
  </si>
  <si>
    <t xml:space="preserve">2π/ω_p</t>
  </si>
  <si>
    <t xml:space="preserve">Chu kỳ con lắc</t>
  </si>
  <si>
    <t xml:space="preserve">P-09</t>
  </si>
  <si>
    <t xml:space="preserve">v_max</t>
  </si>
  <si>
    <t xml:space="preserve">SRS-PERM-02</t>
  </si>
  <si>
    <t xml:space="preserve">Vận tốc di chuyển lớn nhất</t>
  </si>
  <si>
    <t xml:space="preserve">P-10</t>
  </si>
  <si>
    <t xml:space="preserve">a_max</t>
  </si>
  <si>
    <t xml:space="preserve">SRS-FUNC-03, SRS-PERM-03</t>
  </si>
  <si>
    <t xml:space="preserve">Đề bài</t>
  </si>
  <si>
    <t xml:space="preserve">Gia tốc cực đại cho phép</t>
  </si>
  <si>
    <t xml:space="preserve">P-11</t>
  </si>
  <si>
    <t xml:space="preserve">ρ_max</t>
  </si>
  <si>
    <t xml:space="preserve">Độ giật cực đại cho phép</t>
  </si>
  <si>
    <t xml:space="preserve">P-12</t>
  </si>
  <si>
    <t xml:space="preserve">D_bx</t>
  </si>
  <si>
    <t xml:space="preserve">SRS-PERM-01, SRS-PERM-02</t>
  </si>
  <si>
    <t xml:space="preserve">Giả định SSoT (nguồn DIN 536 chưa có trong kho)</t>
  </si>
  <si>
    <t xml:space="preserve">Đường kính bánh xe</t>
  </si>
  <si>
    <t xml:space="preserve">P-13</t>
  </si>
  <si>
    <t xml:space="preserve">w_0</t>
  </si>
  <si>
    <t xml:space="preserve">Giả định SSoT (P-13)</t>
  </si>
  <si>
    <t xml:space="preserve">Suất cản lăn riêng</t>
  </si>
  <si>
    <t xml:space="preserve">P-14</t>
  </si>
  <si>
    <t xml:space="preserve">φ</t>
  </si>
  <si>
    <t xml:space="preserve">Giả định SSoT (Bài 4 slide 43: truyền lực ma sát)</t>
  </si>
  <si>
    <t xml:space="preserve">Hệ số bám bánh thép-ray</t>
  </si>
  <si>
    <t xml:space="preserve">P-15</t>
  </si>
  <si>
    <t xml:space="preserve">η</t>
  </si>
  <si>
    <t xml:space="preserve">Giả định SSoT (bảo thủ cho geared motor)</t>
  </si>
  <si>
    <t xml:space="preserve">Hiệu suất cơ khí</t>
  </si>
  <si>
    <t xml:space="preserve">P-16</t>
  </si>
  <si>
    <t xml:space="preserve">i</t>
  </si>
  <si>
    <t xml:space="preserve">Giả định SSoT; Khối 3 dùng i_thực (SRS-D03)</t>
  </si>
  <si>
    <t xml:space="preserve">Tỷ số truyền sơ bộ</t>
  </si>
  <si>
    <t xml:space="preserve">Chế độ</t>
  </si>
  <si>
    <t xml:space="preserve">S3 - 40%</t>
  </si>
  <si>
    <t xml:space="preserve">SRS-PERM-04</t>
  </si>
  <si>
    <t xml:space="preserve">IEC 60034-1 ([R4] tr.23)</t>
  </si>
  <si>
    <t xml:space="preserve">Chế độ làm việc định mức</t>
  </si>
  <si>
    <t xml:space="preserve">P-18</t>
  </si>
  <si>
    <t xml:space="preserve">g</t>
  </si>
  <si>
    <t xml:space="preserve">SRS-PERM-01, SRS-PERM-03</t>
  </si>
  <si>
    <t xml:space="preserve">Hằng số</t>
  </si>
  <si>
    <t xml:space="preserve">Gia tốc trọng trường</t>
  </si>
  <si>
    <t xml:space="preserve">P-19</t>
  </si>
  <si>
    <t xml:space="preserve">U_lưới</t>
  </si>
  <si>
    <t xml:space="preserve">V (±10%, 50 Hz)</t>
  </si>
  <si>
    <t xml:space="preserve">Lưới hạ thế VN</t>
  </si>
  <si>
    <t xml:space="preserve">Nguồn điện lưới</t>
  </si>
  <si>
    <t xml:space="preserve">P-20</t>
  </si>
  <si>
    <t xml:space="preserve">F_c.đầy</t>
  </si>
  <si>
    <t xml:space="preserve">M_Σ·g·w_0</t>
  </si>
  <si>
    <t xml:space="preserve">Lực cản tĩnh đầy tải</t>
  </si>
  <si>
    <t xml:space="preserve">Mã</t>
  </si>
  <si>
    <t xml:space="preserve">Công thức / Ghi chú</t>
  </si>
  <si>
    <t xml:space="preserve">Nguồn công thức</t>
  </si>
  <si>
    <t xml:space="preserve">Phân giải số của P-17 và P-19 (không phải số mới)</t>
  </si>
  <si>
    <t xml:space="preserve">CD</t>
  </si>
  <si>
    <t xml:space="preserve">Hệ số đóng điện tương đối của S3</t>
  </si>
  <si>
    <t xml:space="preserve">Từ P-17 'S3 - 40%'</t>
  </si>
  <si>
    <t xml:space="preserve">P-17; IEC 60034-1 [R4] tr.23</t>
  </si>
  <si>
    <t xml:space="preserve">Tck</t>
  </si>
  <si>
    <t xml:space="preserve">Chu kỳ chuẩn S3</t>
  </si>
  <si>
    <t xml:space="preserve">T_ck</t>
  </si>
  <si>
    <t xml:space="preserve">10 phút (SRS-PERM-04)</t>
  </si>
  <si>
    <t xml:space="preserve">dU</t>
  </si>
  <si>
    <t xml:space="preserve">Dung sai điện áp lưới</t>
  </si>
  <si>
    <t xml:space="preserve">ΔU</t>
  </si>
  <si>
    <t xml:space="preserve">±10% (P-19)</t>
  </si>
  <si>
    <t xml:space="preserve">f_grid</t>
  </si>
  <si>
    <t xml:space="preserve">Tần số lưới</t>
  </si>
  <si>
    <t xml:space="preserve">f</t>
  </si>
  <si>
    <t xml:space="preserve">Hz</t>
  </si>
  <si>
    <t xml:space="preserve">Giả định thiết kế [C] phát sinh ở Khối 3 (mỗi dòng: lý do + mốc kiểm tra)</t>
  </si>
  <si>
    <t xml:space="preserve">delta</t>
  </si>
  <si>
    <t xml:space="preserve">Hệ số kể đến quán tính chi tiết quay hộp số/khớp nối</t>
  </si>
  <si>
    <t xml:space="preserve">δ</t>
  </si>
  <si>
    <t xml:space="preserve">Giữa dải 1.1-1.2 (WORKFLOW §4.2-B4); kiểm tra lại khi có J hộp số SEW</t>
  </si>
  <si>
    <t xml:space="preserve">WORKFLOW_RULES §4.2-B4</t>
  </si>
  <si>
    <t xml:space="preserve">k_dan</t>
  </si>
  <si>
    <t xml:space="preserve">Tỷ lệ trọng lượng bám trên bánh dẫn</t>
  </si>
  <si>
    <t xml:space="preserve">k_dẫn</t>
  </si>
  <si>
    <t xml:space="preserve">2/4 bánh dẫn (SAD TO-02 phương án A)</t>
  </si>
  <si>
    <t xml:space="preserve">WORKFLOW §4.2-B3; SAD §3.2</t>
  </si>
  <si>
    <t xml:space="preserve">n_trip</t>
  </si>
  <si>
    <t xml:space="preserve">Số hành trình trong một chu kỳ S3</t>
  </si>
  <si>
    <t xml:space="preserve">n_ht</t>
  </si>
  <si>
    <t xml:space="preserve">1 hành trình đầy tải (Tiến) + 1 hành trình không tải (Lùi); chiều dài hành trình suy ra để CD đúng 40%</t>
  </si>
  <si>
    <t xml:space="preserve">Giả định chu trình [C]</t>
  </si>
  <si>
    <t xml:space="preserve">a_set</t>
  </si>
  <si>
    <t xml:space="preserve">Gia tốc đặt S-curve</t>
  </si>
  <si>
    <t xml:space="preserve">a*</t>
  </si>
  <si>
    <t xml:space="preserve">Dự trữ 10% dưới cận trên P-10 (CR-09: chỉ giữ cận trên)</t>
  </si>
  <si>
    <t xml:space="preserve">SRS-FUNC-03; SOW QCD-Q03</t>
  </si>
  <si>
    <t xml:space="preserve">rho_set</t>
  </si>
  <si>
    <t xml:space="preserve">Độ giật đặt S-curve</t>
  </si>
  <si>
    <t xml:space="preserve">ρ*</t>
  </si>
  <si>
    <t xml:space="preserve">Dự trữ 10% dưới cận trên P-11 (CR-09: chỉ giữ cận trên)</t>
  </si>
  <si>
    <t xml:space="preserve">eta_inv</t>
  </si>
  <si>
    <t xml:space="preserve">Hiệu suất biến tần</t>
  </si>
  <si>
    <t xml:space="preserve">η_inv</t>
  </si>
  <si>
    <t xml:space="preserve">Giá trị điển hình, chưa xác minh catalogue</t>
  </si>
  <si>
    <t xml:space="preserve">Giả định [C]</t>
  </si>
  <si>
    <t xml:space="preserve">U_chop</t>
  </si>
  <si>
    <t xml:space="preserve">Ngưỡng mở Chopper (thiết kế mô hình)</t>
  </si>
  <si>
    <t xml:space="preserve">V</t>
  </si>
  <si>
    <t xml:space="preserve">Downstream #3: tham số mô hình 700 V, không gán dung sai (CR-17); ngưỡng thật ACS380 chưa xác minh</t>
  </si>
  <si>
    <t xml:space="preserve">SRS Baseline A §4 #3</t>
  </si>
  <si>
    <t xml:space="preserve">U_dcmax</t>
  </si>
  <si>
    <t xml:space="preserve">Giới hạn điện áp DC-link</t>
  </si>
  <si>
    <t xml:space="preserve">U_dc,max</t>
  </si>
  <si>
    <t xml:space="preserve">Downstream #3</t>
  </si>
  <si>
    <t xml:space="preserve">U_trip</t>
  </si>
  <si>
    <t xml:space="preserve">Ngưỡng ngắt quá áp (mô hình)</t>
  </si>
  <si>
    <t xml:space="preserve">Downstream #3 (tham số mô hình, CR-17)</t>
  </si>
  <si>
    <t xml:space="preserve">kp_brake</t>
  </si>
  <si>
    <t xml:space="preserve">Hệ số an toàn phanh giữ</t>
  </si>
  <si>
    <t xml:space="preserve">k_p</t>
  </si>
  <si>
    <t xml:space="preserve">Cận trên dải 1.1-1.25 (TCVN 4244 §1.5.3.3 theo Baseline, chưa đối chiếu bản scan)</t>
  </si>
  <si>
    <t xml:space="preserve">[R1] qua WORKFLOW §4.2-C3</t>
  </si>
  <si>
    <t xml:space="preserve">k_hold</t>
  </si>
  <si>
    <t xml:space="preserve">Mô-men giữ thử trước khi nhả phanh (bội số M_N)</t>
  </si>
  <si>
    <t xml:space="preserve">M_hold/M_N</t>
  </si>
  <si>
    <t xml:space="preserve">Cận dưới dải [100%; 150%] (Downstream #5)</t>
  </si>
  <si>
    <t xml:space="preserve">SRS Baseline A §4 #5</t>
  </si>
  <si>
    <t xml:space="preserve">k_test</t>
  </si>
  <si>
    <t xml:space="preserve">Hệ số dự trữ phanh khi thử mô-men giữ</t>
  </si>
  <si>
    <t xml:space="preserve">k_thử</t>
  </si>
  <si>
    <t xml:space="preserve">Phanh phải giữ được M_hold khi thử (SDD §5)</t>
  </si>
  <si>
    <t xml:space="preserve">MB_set</t>
  </si>
  <si>
    <t xml:space="preserve">Mô-men phanh đặt (cấp phanh)</t>
  </si>
  <si>
    <t xml:space="preserve">M_B</t>
  </si>
  <si>
    <t xml:space="preserve">Cấp 7 N·m của BE1 (4 lò xo thường + 2 lò xo xanh; các cấp 10/7/5 N·m) — đã xác minh</t>
  </si>
  <si>
    <t xml:space="preserve">[W-07] SEW B-107-04; QĐ-05</t>
  </si>
  <si>
    <t xml:space="preserve">t_close</t>
  </si>
  <si>
    <t xml:space="preserve">Thời gian kẹp phanh (từ lúc cắt điện)</t>
  </si>
  <si>
    <t xml:space="preserve">t_kẹp</t>
  </si>
  <si>
    <t xml:space="preserve">Giả định, chưa xác minh catalogue BE</t>
  </si>
  <si>
    <t xml:space="preserve">f_sw</t>
  </si>
  <si>
    <t xml:space="preserve">Tần số băm PWM</t>
  </si>
  <si>
    <t xml:space="preserve">Mặc định ACS380</t>
  </si>
  <si>
    <t xml:space="preserve">[W-05] tr.10</t>
  </si>
  <si>
    <t xml:space="preserve">k_Tmu</t>
  </si>
  <si>
    <t xml:space="preserve">Hệ số trễ nhỏ không bù vòng dòng (T_μi = k/f_sw)</t>
  </si>
  <si>
    <t xml:space="preserve">k_μ</t>
  </si>
  <si>
    <t xml:space="preserve">Trễ tính toán 1 chu kỳ + 0.5 chu kỳ PWM</t>
  </si>
  <si>
    <t xml:space="preserve">Giả định [C] (Bài 2.1 slide 26)</t>
  </si>
  <si>
    <t xml:space="preserve">Tf_w</t>
  </si>
  <si>
    <t xml:space="preserve">Hằng số thời gian lọc đo tốc độ</t>
  </si>
  <si>
    <t xml:space="preserve">T_fω</t>
  </si>
  <si>
    <t xml:space="preserve">Lọc đo encoder</t>
  </si>
  <si>
    <t xml:space="preserve">Ts_w</t>
  </si>
  <si>
    <t xml:space="preserve">Chu kỳ đo tốc độ encoder</t>
  </si>
  <si>
    <t xml:space="preserve">T_s,ω</t>
  </si>
  <si>
    <t xml:space="preserve">Đếm sườn trong 1 ms</t>
  </si>
  <si>
    <t xml:space="preserve">k_fe</t>
  </si>
  <si>
    <t xml:space="preserve">Tỷ lệ tổn hao sắt + cơ + phụ trong tổng tổn hao</t>
  </si>
  <si>
    <t xml:space="preserve">k_Fe</t>
  </si>
  <si>
    <t xml:space="preserve">Dùng để tách R_s; kiểm tra lại bằng ID-run</t>
  </si>
  <si>
    <t xml:space="preserve">k_sig</t>
  </si>
  <si>
    <t xml:space="preserve">Tỷ lệ chia điện kháng tản cho stator</t>
  </si>
  <si>
    <t xml:space="preserve">k_σ</t>
  </si>
  <si>
    <t xml:space="preserve">L_σs = L_σr = L_k/2 (thông lệ)</t>
  </si>
  <si>
    <t xml:space="preserve">pp</t>
  </si>
  <si>
    <t xml:space="preserve">Số đôi cực</t>
  </si>
  <si>
    <t xml:space="preserve">p</t>
  </si>
  <si>
    <t xml:space="preserve">Động cơ 4 cực</t>
  </si>
  <si>
    <t xml:space="preserve">[W-01]</t>
  </si>
  <si>
    <t xml:space="preserve">U_N</t>
  </si>
  <si>
    <t xml:space="preserve">Điện áp định mức động cơ (dây)</t>
  </si>
  <si>
    <t xml:space="preserve">DRN 400 V/50 Hz</t>
  </si>
  <si>
    <t xml:space="preserve">r_creep</t>
  </si>
  <si>
    <t xml:space="preserve">Tỷ lệ tốc độ bò</t>
  </si>
  <si>
    <t xml:space="preserve">r_bò</t>
  </si>
  <si>
    <t xml:space="preserve">Giữa dải 25-30% (Downstream #8)</t>
  </si>
  <si>
    <t xml:space="preserve">SRS Baseline A §4 #8</t>
  </si>
  <si>
    <t xml:space="preserve">v_stop</t>
  </si>
  <si>
    <t xml:space="preserve">Ngưỡng đóng phanh</t>
  </si>
  <si>
    <t xml:space="preserve">|v|_đóng</t>
  </si>
  <si>
    <t xml:space="preserve">Downstream #5</t>
  </si>
  <si>
    <t xml:space="preserve">v_rev</t>
  </si>
  <si>
    <t xml:space="preserve">Ngưỡng cấm đảo chiều</t>
  </si>
  <si>
    <t xml:space="preserve">|v|_đảo</t>
  </si>
  <si>
    <t xml:space="preserve">N_enc</t>
  </si>
  <si>
    <t xml:space="preserve">Số chu kỳ encoder / vòng</t>
  </si>
  <si>
    <t xml:space="preserve">xung/vg</t>
  </si>
  <si>
    <t xml:space="preserve">Tf_jerk</t>
  </si>
  <si>
    <t xml:space="preserve">Hằng số lọc đạo hàm đo độ giật</t>
  </si>
  <si>
    <t xml:space="preserve">T_f</t>
  </si>
  <si>
    <t xml:space="preserve">Trong dải 0.005-0.01 s</t>
  </si>
  <si>
    <t xml:space="preserve">SRS chi tiết §5.4</t>
  </si>
  <si>
    <t xml:space="preserve">exl_max</t>
  </si>
  <si>
    <t xml:space="preserve">Sai lệch tốc độ xác lập cho phép</t>
  </si>
  <si>
    <t xml:space="preserve">e_xl,max</t>
  </si>
  <si>
    <t xml:space="preserve">Downstream #2</t>
  </si>
  <si>
    <t xml:space="preserve">SRS Baseline A §4 #2</t>
  </si>
  <si>
    <t xml:space="preserve">PM_min</t>
  </si>
  <si>
    <t xml:space="preserve">Độ dự trữ pha tối thiểu vòng tốc độ</t>
  </si>
  <si>
    <t xml:space="preserve">°</t>
  </si>
  <si>
    <t xml:space="preserve">Thông lệ thiết kế (gián tiếp cho M_p ≤ 10%)</t>
  </si>
  <si>
    <t xml:space="preserve">Ô quyết định của Người dùng (cổng G4)</t>
  </si>
  <si>
    <t xml:space="preserve">sel</t>
  </si>
  <si>
    <t xml:space="preserve">Ứng viên chọn (1 = DRN80M4 + ACS380-03A3-4; 2 = DRN90S4 + ACS380-04A0-4)</t>
  </si>
  <si>
    <t xml:space="preserve">ĐÃ CHỐT = 1 (QĐ-04, 24/10/2026): DRN80M4 + ACS380-03A3-4; biên quá tải ở lưới −10% = 1.14 (WCCA WC-1)</t>
  </si>
  <si>
    <t xml:space="preserve">Người dùng — QĐ-04</t>
  </si>
  <si>
    <t xml:space="preserve">i_in</t>
  </si>
  <si>
    <t xml:space="preserve">Tỷ số truyền thực tế của hộp số SEW R87</t>
  </si>
  <si>
    <t xml:space="preserve">i_thực</t>
  </si>
  <si>
    <t xml:space="preserve">R87, tỷ số tổng 155.34 — SEW Drive Selection (ứng dụng xe con, 25/10/2026)</t>
  </si>
  <si>
    <t xml:space="preserve">Ma_max</t>
  </si>
  <si>
    <t xml:space="preserve">Mô-men ra cho phép lớn nhất của hộp số R87</t>
  </si>
  <si>
    <t xml:space="preserve">M_a,max</t>
  </si>
  <si>
    <t xml:space="preserve">SEW Drive Selection: R87, i = 155.34</t>
  </si>
  <si>
    <t xml:space="preserve">FRa</t>
  </si>
  <si>
    <t xml:space="preserve">Tải hướng kính cho phép trên trục ra (n = 1400)</t>
  </si>
  <si>
    <t xml:space="preserve">F_Ra</t>
  </si>
  <si>
    <t xml:space="preserve">SEW Drive Selection: R87</t>
  </si>
  <si>
    <t xml:space="preserve">Rh_set</t>
  </si>
  <si>
    <t xml:space="preserve">Điện trở xả hãm chọn</t>
  </si>
  <si>
    <t xml:space="preserve">R_h</t>
  </si>
  <si>
    <t xml:space="preserve">Danotherm CBH 360 C T 406 210R: 210 Ω ±10%, 200 W (40 °C), công tắc nhiệt — điện trở mẫu ABB cho ACS380-01A8…05A6-4</t>
  </si>
  <si>
    <t xml:space="preserve">[W-05] tr.24; [W-09]</t>
  </si>
  <si>
    <t xml:space="preserve">Giả định mô phỏng [C] — Khối 4, nhóm C (26/10/2026): mô hình 2 khối lượng, giới hạn điện áp, biến tần trung bình, kịch bản rút gọn</t>
  </si>
  <si>
    <t xml:space="preserve">k_u</t>
  </si>
  <si>
    <t xml:space="preserve">Hệ số dự trữ điện áp điều chế (để vòng dòng còn biên)</t>
  </si>
  <si>
    <t xml:space="preserve">U_1 ≤ k_u·U_dc/√2 (SVPWM tuyến tính); 5% dành cho điều chỉnh dòng</t>
  </si>
  <si>
    <t xml:space="preserve">zeta</t>
  </si>
  <si>
    <t xml:space="preserve">Hệ số tắt dần con lắc</t>
  </si>
  <si>
    <t xml:space="preserve">ζ</t>
  </si>
  <si>
    <t xml:space="preserve">Bảo thủ: không tắt dần (SDD §3.4)</t>
  </si>
  <si>
    <t xml:space="preserve">C_dc</t>
  </si>
  <si>
    <t xml:space="preserve">Điện dung tụ DC-link (mô hình)</t>
  </si>
  <si>
    <t xml:space="preserve">F</t>
  </si>
  <si>
    <t xml:space="preserve">Chưa có trong catalogue ACS380-03A3-4 — chưa xác minh. C lớn hơn ⇒ chopper ít tác động hơn (xem KT-39)</t>
  </si>
  <si>
    <t xml:space="preserve">dU_hys</t>
  </si>
  <si>
    <t xml:space="preserve">Độ trễ đóng/cắt chopper</t>
  </si>
  <si>
    <t xml:space="preserve">ΔU_hys</t>
  </si>
  <si>
    <t xml:space="preserve">Chopper ON tại U_chop, OFF tại U_chop − ΔU_hys</t>
  </si>
  <si>
    <t xml:space="preserve">Ts_sim</t>
  </si>
  <si>
    <t xml:space="preserve">Bước giải cố định Simulink</t>
  </si>
  <si>
    <t xml:space="preserve">T_s</t>
  </si>
  <si>
    <t xml:space="preserve">≤ 1e-4 s; Ts_I = 250 µs và Ts_w = 1 ms là bội nguyên (KT-40)</t>
  </si>
  <si>
    <t xml:space="preserve">DVP v1.2 §3.4; ICD §4</t>
  </si>
  <si>
    <t xml:space="preserve">enc_mod</t>
  </si>
  <si>
    <t xml:space="preserve">Mô hình đo tốc độ trong mô phỏng</t>
  </si>
  <si>
    <t xml:space="preserve">enc_model</t>
  </si>
  <si>
    <t xml:space="preserve">0 = tốc độ lý tưởng + lọc T_fω (mặc định); 1 = lượng tử 4·N_enc sườn / Ts_w (chỉ khảo sát nhiễu: Δω·K_p,ω ≈ 0.45 A dao động i_sq)</t>
  </si>
  <si>
    <t xml:space="preserve">t_mag</t>
  </si>
  <si>
    <t xml:space="preserve">Thời gian từ hóa trước khi nhả phanh</t>
  </si>
  <si>
    <t xml:space="preserve">≥ 3T_r</t>
  </si>
  <si>
    <t xml:space="preserve">SDD §5.1 [C]</t>
  </si>
  <si>
    <t xml:space="preserve">t_test</t>
  </si>
  <si>
    <t xml:space="preserve">Thời gian thử mô-men giữ (phanh còn kẹp)</t>
  </si>
  <si>
    <t xml:space="preserve">Tăng dốc 0.05 s, giữ 0.1 s, giảm dốc 0.05 s</t>
  </si>
  <si>
    <t xml:space="preserve">t_open</t>
  </si>
  <si>
    <t xml:space="preserve">Thời gian chờ nhả phanh</t>
  </si>
  <si>
    <t xml:space="preserve">Chưa xác minh BE1</t>
  </si>
  <si>
    <t xml:space="preserve">t_hx</t>
  </si>
  <si>
    <t xml:space="preserve">Thời gian ĐC giữ ω* = 0 thêm sau khi phanh kẹp</t>
  </si>
  <si>
    <t xml:space="preserve">S6 kéo dài t_close + t_hx</t>
  </si>
  <si>
    <t xml:space="preserve">t_cmd</t>
  </si>
  <si>
    <t xml:space="preserve">Thời điểm nhấn lệnh chạy (tính từ READY)</t>
  </si>
  <si>
    <t xml:space="preserve">Kịch bản rút gọn TS-01/TS-02</t>
  </si>
  <si>
    <t xml:space="preserve">T_run</t>
  </si>
  <si>
    <t xml:space="preserve">Thời gian chạy đều mỗi hành trình (rút gọn)</t>
  </si>
  <si>
    <t xml:space="preserve">≥ T_p để thấy dao động lắc khi chạy đều; thay cho 119 s của chu trình nhiệt (khối F vẫn dùng cho k_dt)</t>
  </si>
  <si>
    <t xml:space="preserve">T_dwell</t>
  </si>
  <si>
    <t xml:space="preserve">Thời gian quan sát sau khi dừng</t>
  </si>
  <si>
    <t xml:space="preserve">Lắc dư sau dừng, U_dc sau hãm</t>
  </si>
  <si>
    <t xml:space="preserve">t_rev</t>
  </si>
  <si>
    <t xml:space="preserve">TS-02: nhấn REV sau khi bắt đầu chạy đều</t>
  </si>
  <si>
    <t xml:space="preserve">Kiểm khóa chéo khi v = v_max</t>
  </si>
  <si>
    <t xml:space="preserve">mech_mod</t>
  </si>
  <si>
    <t xml:space="preserve">Mô hình cơ khí trong mô phỏng</t>
  </si>
  <si>
    <t xml:space="preserve">mech_model</t>
  </si>
  <si>
    <t xml:space="preserve">0 = 2 khối lượng (mặc định, DV-01..07); 1 = khối cứng như Excel (tải gắn cứng, bỏ F_lắc) — chạy thêm cho DV-04 vì với 2 khối năng lượng hãm mỗi lần dừng chỉ ≈ 0–28 J, tùy pha lắc</t>
  </si>
  <si>
    <t xml:space="preserve">Bổ sung v1.4 (27/10/2026) — số catalogue đã có trong mô tả R_h, tách thành ô nhập để kiểm tra KT-42</t>
  </si>
  <si>
    <t xml:space="preserve">P_Rh</t>
  </si>
  <si>
    <t xml:space="preserve">Công suất định mức điện trở hãm (40 °C)</t>
  </si>
  <si>
    <t xml:space="preserve">Danotherm CBH 360 C T 406 210R: 200 W @40 °C (cùng nguồn với ô D42)</t>
  </si>
  <si>
    <t xml:space="preserve">[W-09]</t>
  </si>
  <si>
    <t xml:space="preserve">k_Tw</t>
  </si>
  <si>
    <t xml:space="preserve">Hệ số trễ do vòng tốc độ rời rạc (T_trễ = k·T_s,ω)</t>
  </si>
  <si>
    <t xml:space="preserve">k_Tω</t>
  </si>
  <si>
    <t xml:space="preserve">Giữ mẫu ½ chu kỳ + trễ tính toán 1 chu kỳ của vòng tốc độ 1 ms</t>
  </si>
  <si>
    <t xml:space="preserve">Thông số</t>
  </si>
  <si>
    <t xml:space="preserve">Ứng viên 1</t>
  </si>
  <si>
    <t xml:space="preserve">Ứng viên 2</t>
  </si>
  <si>
    <t xml:space="preserve">Đang chọn</t>
  </si>
  <si>
    <t xml:space="preserve">Nguồn (trang/bảng)</t>
  </si>
  <si>
    <t xml:space="preserve">Động cơ SEW DRN.. IE3, 400 V, 50 Hz, 4 cực, S1</t>
  </si>
  <si>
    <t xml:space="preserve">mot_name</t>
  </si>
  <si>
    <t xml:space="preserve">Mã động cơ</t>
  </si>
  <si>
    <t xml:space="preserve">DRN80M4</t>
  </si>
  <si>
    <t xml:space="preserve">DRN90S4</t>
  </si>
  <si>
    <t xml:space="preserve">[W-01] tr.866</t>
  </si>
  <si>
    <t xml:space="preserve">P_N</t>
  </si>
  <si>
    <t xml:space="preserve">Công suất định mức (S1)</t>
  </si>
  <si>
    <t xml:space="preserve">kW</t>
  </si>
  <si>
    <t xml:space="preserve">M_N</t>
  </si>
  <si>
    <t xml:space="preserve">Mô-men định mức</t>
  </si>
  <si>
    <t xml:space="preserve">n_N</t>
  </si>
  <si>
    <t xml:space="preserve">Tốc độ định mức</t>
  </si>
  <si>
    <t xml:space="preserve">vg/ph</t>
  </si>
  <si>
    <t xml:space="preserve">I_N</t>
  </si>
  <si>
    <t xml:space="preserve">Dòng định mức (400 V)</t>
  </si>
  <si>
    <t xml:space="preserve">cosN</t>
  </si>
  <si>
    <t xml:space="preserve">Hệ số công suất</t>
  </si>
  <si>
    <t xml:space="preserve">cosφ_N</t>
  </si>
  <si>
    <t xml:space="preserve">effN</t>
  </si>
  <si>
    <t xml:space="preserve">Hiệu suất 100% tải</t>
  </si>
  <si>
    <t xml:space="preserve">η_đc</t>
  </si>
  <si>
    <t xml:space="preserve">IA</t>
  </si>
  <si>
    <t xml:space="preserve">Bội số dòng khởi động</t>
  </si>
  <si>
    <t xml:space="preserve">I_A/I_N</t>
  </si>
  <si>
    <t xml:space="preserve">MA</t>
  </si>
  <si>
    <t xml:space="preserve">Bội số mô-men khởi động</t>
  </si>
  <si>
    <t xml:space="preserve">M_A/M_N</t>
  </si>
  <si>
    <t xml:space="preserve">lamK</t>
  </si>
  <si>
    <t xml:space="preserve">Bội số mô-men tới hạn</t>
  </si>
  <si>
    <t xml:space="preserve">λ_K = M_K/M_N</t>
  </si>
  <si>
    <t xml:space="preserve">MH</t>
  </si>
  <si>
    <t xml:space="preserve">Bội số mô-men cực tiểu (saddle)</t>
  </si>
  <si>
    <t xml:space="preserve">M_H/M_N</t>
  </si>
  <si>
    <t xml:space="preserve">J_mot</t>
  </si>
  <si>
    <t xml:space="preserve">Quán tính rotor</t>
  </si>
  <si>
    <t xml:space="preserve">J_Mot</t>
  </si>
  <si>
    <t xml:space="preserve">[W-02] tr.24 (24.7 / 54 ×10⁻⁴)</t>
  </si>
  <si>
    <t xml:space="preserve">J_B</t>
  </si>
  <si>
    <t xml:space="preserve">Quán tính rotor kèm phanh</t>
  </si>
  <si>
    <t xml:space="preserve">J_BMot</t>
  </si>
  <si>
    <t xml:space="preserve">[W-02] tr.24 (26.2 / 58.7 ×10⁻⁴)</t>
  </si>
  <si>
    <t xml:space="preserve">brake</t>
  </si>
  <si>
    <t xml:space="preserve">Loại phanh tiêu chuẩn</t>
  </si>
  <si>
    <t xml:space="preserve">BE..</t>
  </si>
  <si>
    <t xml:space="preserve">BE1</t>
  </si>
  <si>
    <t xml:space="preserve">BE2</t>
  </si>
  <si>
    <t xml:space="preserve">[W-02] tr.24; cấp BE2 = 14/20 N·m [W-03] tr.24-25</t>
  </si>
  <si>
    <t xml:space="preserve">Biến tần ABB ACS380 (3 pha 400 V)</t>
  </si>
  <si>
    <t xml:space="preserve">inv_name</t>
  </si>
  <si>
    <t xml:space="preserve">Mã biến tần</t>
  </si>
  <si>
    <t xml:space="preserve">ACS380-04xS-03A3-4</t>
  </si>
  <si>
    <t xml:space="preserve">ACS380-04xS-04A0-4</t>
  </si>
  <si>
    <t xml:space="preserve">Iinv_N</t>
  </si>
  <si>
    <t xml:space="preserve">Dòng định mức</t>
  </si>
  <si>
    <t xml:space="preserve">I_N,inv</t>
  </si>
  <si>
    <t xml:space="preserve">[W-05] tr.12 (đã đối chiếu ảnh trang gốc)</t>
  </si>
  <si>
    <t xml:space="preserve">Pinv_N</t>
  </si>
  <si>
    <t xml:space="preserve">Công suất danh định</t>
  </si>
  <si>
    <t xml:space="preserve">P_N,inv</t>
  </si>
  <si>
    <t xml:space="preserve">I_Hd</t>
  </si>
  <si>
    <t xml:space="preserve">Dòng heavy-duty (cho phép 150% I_Hd 1 phút/10 phút)</t>
  </si>
  <si>
    <t xml:space="preserve">P_Hd</t>
  </si>
  <si>
    <t xml:space="preserve">Công suất heavy-duty</t>
  </si>
  <si>
    <t xml:space="preserve">I_max</t>
  </si>
  <si>
    <t xml:space="preserve">Dòng ra cực đại (2 s khi khởi động)</t>
  </si>
  <si>
    <t xml:space="preserve">R_min</t>
  </si>
  <si>
    <t xml:space="preserve">Điện trở hãm tối thiểu</t>
  </si>
  <si>
    <t xml:space="preserve">[W-05] tr.24</t>
  </si>
  <si>
    <t xml:space="preserve">R_max</t>
  </si>
  <si>
    <t xml:space="preserve">Điện trở hãm tối đa cho P_BRcont</t>
  </si>
  <si>
    <t xml:space="preserve">PBRc</t>
  </si>
  <si>
    <t xml:space="preserve">Công suất hãm liên tục</t>
  </si>
  <si>
    <t xml:space="preserve">P_BRcont</t>
  </si>
  <si>
    <t xml:space="preserve">PBRm</t>
  </si>
  <si>
    <t xml:space="preserve">Công suất hãm cực đại (xung ≤ 1 phút/10 phút)</t>
  </si>
  <si>
    <t xml:space="preserve">P_BRmax</t>
  </si>
  <si>
    <t xml:space="preserve">trise</t>
  </si>
  <si>
    <t xml:space="preserve">Thời gian tăng mô-men (bước định mức)</t>
  </si>
  <si>
    <t xml:space="preserve">t_rise,cat</t>
  </si>
  <si>
    <t xml:space="preserve">[W-05] tr.10: '&lt; 10 ms'</t>
  </si>
  <si>
    <t xml:space="preserve">A. Động học &amp; phụ tải tĩnh — [R1 §2.4.7.2.2 qua Baseline], Bài 3 (Tải của TĐĐ) slide 4</t>
  </si>
  <si>
    <t xml:space="preserve">w_bx</t>
  </si>
  <si>
    <t xml:space="preserve">Tốc độ góc trục bánh xe</t>
  </si>
  <si>
    <t xml:space="preserve">ω_bx</t>
  </si>
  <si>
    <t xml:space="preserve">2·v_max/D_bx</t>
  </si>
  <si>
    <t xml:space="preserve">WORKFLOW §4.2-A2</t>
  </si>
  <si>
    <t xml:space="preserve">n_bx</t>
  </si>
  <si>
    <t xml:space="preserve">Tốc độ quay bánh xe</t>
  </si>
  <si>
    <t xml:space="preserve">60·ω_bx/2π</t>
  </si>
  <si>
    <t xml:space="preserve">Fc_chk</t>
  </si>
  <si>
    <t xml:space="preserve">Lực cản tĩnh đầy tải (tính lại)</t>
  </si>
  <si>
    <t xml:space="preserve">M_Σ·g·w_0 (phải = P-20)</t>
  </si>
  <si>
    <t xml:space="preserve">WORKFLOW §4.2-A3</t>
  </si>
  <si>
    <t xml:space="preserve">Fc0</t>
  </si>
  <si>
    <t xml:space="preserve">Lực cản tĩnh không tải</t>
  </si>
  <si>
    <t xml:space="preserve">F_c.không</t>
  </si>
  <si>
    <t xml:space="preserve">m_tĩnh·g·w_0</t>
  </si>
  <si>
    <t xml:space="preserve">P_t</t>
  </si>
  <si>
    <t xml:space="preserve">Công suất cản tĩnh trên trục ĐC</t>
  </si>
  <si>
    <t xml:space="preserve">P_tĩnh</t>
  </si>
  <si>
    <t xml:space="preserve">F_c·v/η</t>
  </si>
  <si>
    <t xml:space="preserve">WORKFLOW §4.2-A4</t>
  </si>
  <si>
    <t xml:space="preserve">B. Động lực học, lực kéo cực đại &amp; bám ray — Bài 4 slide 43; WORKFLOW §4.2-B</t>
  </si>
  <si>
    <t xml:space="preserve">Fqt</t>
  </si>
  <si>
    <t xml:space="preserve">Lực quán tính cực đại (a_max)</t>
  </si>
  <si>
    <t xml:space="preserve">F_qt</t>
  </si>
  <si>
    <t xml:space="preserve">M_Σ·a_max</t>
  </si>
  <si>
    <t xml:space="preserve">WORKFLOW §4.2-B1</t>
  </si>
  <si>
    <t xml:space="preserve">Fmax</t>
  </si>
  <si>
    <t xml:space="preserve">Lực kéo cực đại khi tăng tốc</t>
  </si>
  <si>
    <t xml:space="preserve">F_max</t>
  </si>
  <si>
    <t xml:space="preserve">F_c + F_qt (Downstream #6)</t>
  </si>
  <si>
    <t xml:space="preserve">Pmax</t>
  </si>
  <si>
    <t xml:space="preserve">Công suất đỉnh</t>
  </si>
  <si>
    <t xml:space="preserve">P_max</t>
  </si>
  <si>
    <t xml:space="preserve">F_max·v/η</t>
  </si>
  <si>
    <t xml:space="preserve">WORKFLOW §4.2-B2</t>
  </si>
  <si>
    <t xml:space="preserve">Fbam</t>
  </si>
  <si>
    <t xml:space="preserve">Lực bám bánh dẫn đầy tải</t>
  </si>
  <si>
    <t xml:space="preserve">F_bám</t>
  </si>
  <si>
    <t xml:space="preserve">φ·k_dẫn·M_Σ·g</t>
  </si>
  <si>
    <t xml:space="preserve">WORKFLOW §4.2-B3</t>
  </si>
  <si>
    <t xml:space="preserve">kbam</t>
  </si>
  <si>
    <t xml:space="preserve">Hệ số an toàn bám đầy tải</t>
  </si>
  <si>
    <t xml:space="preserve">k_bám</t>
  </si>
  <si>
    <t xml:space="preserve">F_bám/F_max</t>
  </si>
  <si>
    <t xml:space="preserve">Fbam0</t>
  </si>
  <si>
    <t xml:space="preserve">Lực bám bánh dẫn không tải</t>
  </si>
  <si>
    <t xml:space="preserve">F_bám,0</t>
  </si>
  <si>
    <t xml:space="preserve">φ·k_dẫn·m_tĩnh·g</t>
  </si>
  <si>
    <t xml:space="preserve">Fmax0</t>
  </si>
  <si>
    <t xml:space="preserve">Lực kéo cực đại không tải</t>
  </si>
  <si>
    <t xml:space="preserve">F_max,0</t>
  </si>
  <si>
    <t xml:space="preserve">F_c,0 + m_tĩnh·a_max</t>
  </si>
  <si>
    <t xml:space="preserve">kbam0</t>
  </si>
  <si>
    <t xml:space="preserve">Hệ số an toàn bám không tải</t>
  </si>
  <si>
    <t xml:space="preserve">k_bám,0</t>
  </si>
  <si>
    <t xml:space="preserve">C. Quy đổi về trục động cơ — Bài 3 slide 4-5; WORKFLOW §4.2-B4</t>
  </si>
  <si>
    <t xml:space="preserve">wN</t>
  </si>
  <si>
    <t xml:space="preserve">Tốc độ góc định mức ĐC</t>
  </si>
  <si>
    <t xml:space="preserve">ω_N</t>
  </si>
  <si>
    <t xml:space="preserve">n_N·2π/60</t>
  </si>
  <si>
    <t xml:space="preserve">i_yc</t>
  </si>
  <si>
    <t xml:space="preserve">Tỷ số truyền yêu cầu</t>
  </si>
  <si>
    <t xml:space="preserve">ω_N/ω_bx (để v = v_max ở 50 Hz)</t>
  </si>
  <si>
    <t xml:space="preserve">Bài 3 slide 4</t>
  </si>
  <si>
    <t xml:space="preserve">i_tt</t>
  </si>
  <si>
    <t xml:space="preserve">Tỷ số truyền dùng tính toán</t>
  </si>
  <si>
    <t xml:space="preserve">Bằng i_thực nhập; nếu trống dùng i_yc (TBD)</t>
  </si>
  <si>
    <t xml:space="preserve">SRS-D03</t>
  </si>
  <si>
    <t xml:space="preserve">dv_i</t>
  </si>
  <si>
    <t xml:space="preserve">Sai lệch v ở 50 Hz nếu dùng i_thực</t>
  </si>
  <si>
    <t xml:space="preserve">Δv/v</t>
  </si>
  <si>
    <t xml:space="preserve">Biến tần bù bằng tần số; ghi nhận</t>
  </si>
  <si>
    <t xml:space="preserve">dv_150</t>
  </si>
  <si>
    <t xml:space="preserve">Sai lệch v ở 50 Hz nếu dùng i = 150 (P-16)</t>
  </si>
  <si>
    <t xml:space="preserve">Δv/v (i=150)</t>
  </si>
  <si>
    <t xml:space="preserve">So với SRS-PERM-02 ±5% (biến tần bù được)</t>
  </si>
  <si>
    <t xml:space="preserve">k_qd</t>
  </si>
  <si>
    <t xml:space="preserve">Hệ số quy đổi tịnh tiến–quay</t>
  </si>
  <si>
    <t xml:space="preserve">k_qđ</t>
  </si>
  <si>
    <t xml:space="preserve">m/rad</t>
  </si>
  <si>
    <t xml:space="preserve">D_bx/(2·i)</t>
  </si>
  <si>
    <t xml:space="preserve">WORKFLOW §4.2-B4</t>
  </si>
  <si>
    <t xml:space="preserve">eps_s</t>
  </si>
  <si>
    <t xml:space="preserve">Gia tốc góc ĐC ứng với a*</t>
  </si>
  <si>
    <t xml:space="preserve">ε*</t>
  </si>
  <si>
    <t xml:space="preserve">rad/s²</t>
  </si>
  <si>
    <t xml:space="preserve">a*/k_qđ</t>
  </si>
  <si>
    <t xml:space="preserve">Bài 3</t>
  </si>
  <si>
    <t xml:space="preserve">Mc</t>
  </si>
  <si>
    <t xml:space="preserve">Mô-men cản kéo đầy tải</t>
  </si>
  <si>
    <t xml:space="preserve">M_c,kéo</t>
  </si>
  <si>
    <t xml:space="preserve">F_c·D/(2iη) (góc I, III)</t>
  </si>
  <si>
    <t xml:space="preserve">Mc0</t>
  </si>
  <si>
    <t xml:space="preserve">Mô-men cản kéo không tải</t>
  </si>
  <si>
    <t xml:space="preserve">M_c,kéo,0</t>
  </si>
  <si>
    <t xml:space="preserve">Mch</t>
  </si>
  <si>
    <t xml:space="preserve">Mô-men cản khi hãm đầy tải</t>
  </si>
  <si>
    <t xml:space="preserve">M_c,hãm</t>
  </si>
  <si>
    <t xml:space="preserve">F_c·D·η/(2i) (góc II, IV)</t>
  </si>
  <si>
    <t xml:space="preserve">Jl</t>
  </si>
  <si>
    <t xml:space="preserve">Quán tính tải quy đổi đầy tải</t>
  </si>
  <si>
    <t xml:space="preserve">J_tải</t>
  </si>
  <si>
    <t xml:space="preserve">δ·M_Σ·k_qđ²</t>
  </si>
  <si>
    <t xml:space="preserve">Jl0</t>
  </si>
  <si>
    <t xml:space="preserve">Quán tính tải quy đổi không tải</t>
  </si>
  <si>
    <t xml:space="preserve">J_tải,0</t>
  </si>
  <si>
    <t xml:space="preserve">δ·m_tĩnh·k_qđ²</t>
  </si>
  <si>
    <t xml:space="preserve">JS</t>
  </si>
  <si>
    <t xml:space="preserve">Quán tính tổng đầy tải</t>
  </si>
  <si>
    <t xml:space="preserve">J_Σ</t>
  </si>
  <si>
    <t xml:space="preserve">J_BMot + J_tải</t>
  </si>
  <si>
    <t xml:space="preserve">JS0</t>
  </si>
  <si>
    <t xml:space="preserve">Quán tính tổng không tải</t>
  </si>
  <si>
    <t xml:space="preserve">J_Σ,0</t>
  </si>
  <si>
    <t xml:space="preserve">D. Mô-men cực đại &amp; kiểm tra quá tải (λ) — WORKFLOW §4.2-C2; Bài 4 slide 12</t>
  </si>
  <si>
    <t xml:space="preserve">Mpk</t>
  </si>
  <si>
    <t xml:space="preserve">Mô-men ĐC cực đại khi tăng tốc đầy tải với a_max</t>
  </si>
  <si>
    <t xml:space="preserve">M_max</t>
  </si>
  <si>
    <t xml:space="preserve">(F_c+δM_Σa_max)k/η + J_B·a_max/k</t>
  </si>
  <si>
    <t xml:space="preserve">WORKFLOW §4.2-B4, C2</t>
  </si>
  <si>
    <t xml:space="preserve">Mpk0</t>
  </si>
  <si>
    <t xml:space="preserve">Mô-men ĐC cực đại không tải với a_max</t>
  </si>
  <si>
    <t xml:space="preserve">M_max,0</t>
  </si>
  <si>
    <t xml:space="preserve">lam_req</t>
  </si>
  <si>
    <t xml:space="preserve">Bội số mô-men yêu cầu</t>
  </si>
  <si>
    <t xml:space="preserve">M_max/M_N</t>
  </si>
  <si>
    <t xml:space="preserve">WORKFLOW §4.2-C2</t>
  </si>
  <si>
    <t xml:space="preserve">lam_avl</t>
  </si>
  <si>
    <t xml:space="preserve">Bội số khả dụng khi sụt áp -10% (quy về U_N động cơ)</t>
  </si>
  <si>
    <t xml:space="preserve">λ_K·(U_min/U_N)²</t>
  </si>
  <si>
    <t xml:space="preserve">M_K ∝ U²; U_min = 342 V so với U_N = 400 V (Checker K6-2)</t>
  </si>
  <si>
    <t xml:space="preserve">Fk_cap</t>
  </si>
  <si>
    <t xml:space="preserve">Lực kéo tối đa ĐC tạo được ở -10% áp (trừ quán tính rotor ở a_max)</t>
  </si>
  <si>
    <t xml:space="preserve">F_k,max</t>
  </si>
  <si>
    <t xml:space="preserve">Dùng để kiểm Downstream #6</t>
  </si>
  <si>
    <t xml:space="preserve">Tự dẫn</t>
  </si>
  <si>
    <t xml:space="preserve">E. Quỹ đạo S-curve 7 đoạn — [R9-11] Tho et al. 2020; WORKFLOW §4.2-D1</t>
  </si>
  <si>
    <t xml:space="preserve">Tj</t>
  </si>
  <si>
    <t xml:space="preserve">Thời gian tăng/giảm độ giật</t>
  </si>
  <si>
    <t xml:space="preserve">T_j</t>
  </si>
  <si>
    <t xml:space="preserve">a*/ρ*</t>
  </si>
  <si>
    <t xml:space="preserve">WORKFLOW §4.2-D1</t>
  </si>
  <si>
    <t xml:space="preserve">Ta</t>
  </si>
  <si>
    <t xml:space="preserve">Thời gian gia tốc không đổi</t>
  </si>
  <si>
    <t xml:space="preserve">T_a</t>
  </si>
  <si>
    <t xml:space="preserve">v_max/a* − T_j (&gt;0 ⇒ đủ 3 đoạn)</t>
  </si>
  <si>
    <t xml:space="preserve">tacc</t>
  </si>
  <si>
    <t xml:space="preserve">Thời gian tăng tốc</t>
  </si>
  <si>
    <t xml:space="preserve">t_acc</t>
  </si>
  <si>
    <t xml:space="preserve">2T_j + T_a</t>
  </si>
  <si>
    <t xml:space="preserve">sacc</t>
  </si>
  <si>
    <t xml:space="preserve">Quãng đường tăng tốc</t>
  </si>
  <si>
    <t xml:space="preserve">s_acc</t>
  </si>
  <si>
    <t xml:space="preserve">Đối xứng</t>
  </si>
  <si>
    <t xml:space="preserve">Tích phân v(t)</t>
  </si>
  <si>
    <t xml:space="preserve">vlim</t>
  </si>
  <si>
    <t xml:space="preserve">Vận tốc ngưỡng 3 đoạn</t>
  </si>
  <si>
    <t xml:space="preserve">a*²/ρ*</t>
  </si>
  <si>
    <t xml:space="preserve">Phải &lt; v_max</t>
  </si>
  <si>
    <t xml:space="preserve">f1</t>
  </si>
  <si>
    <t xml:space="preserve">Hệ số trung bình a(t)/a*</t>
  </si>
  <si>
    <t xml:space="preserve">f₁</t>
  </si>
  <si>
    <t xml:space="preserve">Cho tính M_đt</t>
  </si>
  <si>
    <t xml:space="preserve">Tích phân hình thang</t>
  </si>
  <si>
    <t xml:space="preserve">f2</t>
  </si>
  <si>
    <t xml:space="preserve">Hệ số trung bình a²(t)/a*²</t>
  </si>
  <si>
    <t xml:space="preserve">f₂</t>
  </si>
  <si>
    <t xml:space="preserve">th_res</t>
  </si>
  <si>
    <t xml:space="preserve">Góc lắc dư lớn nhất sau khi dừng</t>
  </si>
  <si>
    <t xml:space="preserve">θ_dư</t>
  </si>
  <si>
    <t xml:space="preserve">2·v·ω_p/g: hai xung vận tốc (tăng tốc, giảm tốc) cùng pha; quan sát, không nghiệm thu (CR-10)</t>
  </si>
  <si>
    <t xml:space="preserve">[R9-01] mô hình con lắc</t>
  </si>
  <si>
    <t xml:space="preserve">th0</t>
  </si>
  <si>
    <t xml:space="preserve">Góc lệch tĩnh ứng a_max</t>
  </si>
  <si>
    <t xml:space="preserve">θ_0</t>
  </si>
  <si>
    <t xml:space="preserve">atan(a_max/g)</t>
  </si>
  <si>
    <t xml:space="preserve">SSoT P2 dòng 38</t>
  </si>
  <si>
    <t xml:space="preserve">F. Chu trình S3-40% &amp; phát nhiệt — Bài 4 slide 7, 10; WORKFLOW §4.2-C1</t>
  </si>
  <si>
    <t xml:space="preserve">t_lv</t>
  </si>
  <si>
    <t xml:space="preserve">Tổng thời gian đóng điện</t>
  </si>
  <si>
    <t xml:space="preserve">Σt_lv</t>
  </si>
  <si>
    <t xml:space="preserve">CD·T_ck</t>
  </si>
  <si>
    <t xml:space="preserve">IEC 60034-1 [R4] tr.23</t>
  </si>
  <si>
    <t xml:space="preserve">t_0</t>
  </si>
  <si>
    <t xml:space="preserve">Tổng thời gian nghỉ</t>
  </si>
  <si>
    <t xml:space="preserve">Σt_0</t>
  </si>
  <si>
    <t xml:space="preserve">t_trip</t>
  </si>
  <si>
    <t xml:space="preserve">Thời gian một hành trình</t>
  </si>
  <si>
    <t xml:space="preserve">t_ht</t>
  </si>
  <si>
    <t xml:space="preserve">Giả định chu trình</t>
  </si>
  <si>
    <t xml:space="preserve">t_c</t>
  </si>
  <si>
    <t xml:space="preserve">Thời gian chạy đều mỗi hành trình</t>
  </si>
  <si>
    <t xml:space="preserve">t_đều</t>
  </si>
  <si>
    <t xml:space="preserve">L_trip</t>
  </si>
  <si>
    <t xml:space="preserve">Chiều dài hành trình suy ra</t>
  </si>
  <si>
    <t xml:space="preserve">L_ht</t>
  </si>
  <si>
    <t xml:space="preserve">v·t_đều + 2·s_acc</t>
  </si>
  <si>
    <t xml:space="preserve">Kiểm tra hợp lý với khẩu độ cầu</t>
  </si>
  <si>
    <t xml:space="preserve">Mdyn</t>
  </si>
  <si>
    <t xml:space="preserve">Mô-men động đầy tải tại a*</t>
  </si>
  <si>
    <t xml:space="preserve">M_đg</t>
  </si>
  <si>
    <t xml:space="preserve">δM_Σa*k/η + J_B ε*</t>
  </si>
  <si>
    <t xml:space="preserve">Bài 4 slide 7</t>
  </si>
  <si>
    <t xml:space="preserve">Mdyn0</t>
  </si>
  <si>
    <t xml:space="preserve">Mô-men động không tải tại a*</t>
  </si>
  <si>
    <t xml:space="preserve">M_đg,0</t>
  </si>
  <si>
    <t xml:space="preserve">Sq1</t>
  </si>
  <si>
    <t xml:space="preserve">Σ M²t hành trình đầy tải</t>
  </si>
  <si>
    <t xml:space="preserve">ΣM²t (đầy)</t>
  </si>
  <si>
    <t xml:space="preserve">N²m²s</t>
  </si>
  <si>
    <t xml:space="preserve">Tăng tốc + đều + giảm tốc (số hạng chéo triệt tiêu)</t>
  </si>
  <si>
    <t xml:space="preserve">Tự dẫn từ Bài 4 slide 10</t>
  </si>
  <si>
    <t xml:space="preserve">Sq0</t>
  </si>
  <si>
    <t xml:space="preserve">Σ M²t hành trình không tải</t>
  </si>
  <si>
    <t xml:space="preserve">ΣM²t (không)</t>
  </si>
  <si>
    <t xml:space="preserve">Mdt</t>
  </si>
  <si>
    <t xml:space="preserve">Mô-men đẳng trị nhiệt</t>
  </si>
  <si>
    <t xml:space="preserve">M_đt</t>
  </si>
  <si>
    <t xml:space="preserve">√(ΣM²t/Σt_lv)</t>
  </si>
  <si>
    <t xml:space="preserve">WORKFLOW §4.2-C1</t>
  </si>
  <si>
    <t xml:space="preserve">Pdt</t>
  </si>
  <si>
    <t xml:space="preserve">Công suất đẳng trị</t>
  </si>
  <si>
    <t xml:space="preserve">P_đt</t>
  </si>
  <si>
    <t xml:space="preserve">M_đt·ω_N</t>
  </si>
  <si>
    <t xml:space="preserve">kdt</t>
  </si>
  <si>
    <t xml:space="preserve">Hệ số dự trữ phát nhiệt</t>
  </si>
  <si>
    <t xml:space="preserve">k_dt</t>
  </si>
  <si>
    <t xml:space="preserve">P_đm/P_đt (P_đm theo S1 — bảo thủ)</t>
  </si>
  <si>
    <t xml:space="preserve">Pdt_S1</t>
  </si>
  <si>
    <t xml:space="preserve">Công suất tương đương liên tục S1 (tham khảo)</t>
  </si>
  <si>
    <t xml:space="preserve">P_đt·√CD</t>
  </si>
  <si>
    <t xml:space="preserve">Quy đổi gần đúng ε → S1</t>
  </si>
  <si>
    <t xml:space="preserve">Bài giảng TĐĐ (gần đúng)</t>
  </si>
  <si>
    <t xml:space="preserve">Mtop1</t>
  </si>
  <si>
    <t xml:space="preserve">Mô-men pha tăng tốc đầy tải (đỉnh, a*)</t>
  </si>
  <si>
    <t xml:space="preserve">M_kđ</t>
  </si>
  <si>
    <t xml:space="preserve">Biểu đồ phụ tải</t>
  </si>
  <si>
    <t xml:space="preserve">Mtop2</t>
  </si>
  <si>
    <t xml:space="preserve">Mô-men pha giảm tốc đầy tải (đỉnh, a*)</t>
  </si>
  <si>
    <t xml:space="preserve">M_h</t>
  </si>
  <si>
    <t xml:space="preserve">Âm ⇒ hãm tái sinh (góc II)</t>
  </si>
  <si>
    <t xml:space="preserve">Mtop3</t>
  </si>
  <si>
    <t xml:space="preserve">Mô-men pha tăng tốc không tải</t>
  </si>
  <si>
    <t xml:space="preserve">M_kđ,0</t>
  </si>
  <si>
    <t xml:space="preserve">Mtop4</t>
  </si>
  <si>
    <t xml:space="preserve">Mô-men pha giảm tốc không tải</t>
  </si>
  <si>
    <t xml:space="preserve">M_h,0</t>
  </si>
  <si>
    <t xml:space="preserve">Góc IV (chạy Lùi)</t>
  </si>
  <si>
    <t xml:space="preserve">G. Dòng điện &amp; chọn biến tần — Bài 4 slide 20</t>
  </si>
  <si>
    <t xml:space="preserve">phiN</t>
  </si>
  <si>
    <t xml:space="preserve">Góc pha định mức</t>
  </si>
  <si>
    <t xml:space="preserve">φ_N</t>
  </si>
  <si>
    <t xml:space="preserve">rad</t>
  </si>
  <si>
    <t xml:space="preserve">b_c</t>
  </si>
  <si>
    <t xml:space="preserve">Hệ số vòng tròn</t>
  </si>
  <si>
    <t xml:space="preserve">b</t>
  </si>
  <si>
    <t xml:space="preserve">r/X_k = λ_K + √(λ_K²−1)</t>
  </si>
  <si>
    <t xml:space="preserve">Sơ đồ vòng tròn (R_s≈0)</t>
  </si>
  <si>
    <t xml:space="preserve">I0</t>
  </si>
  <si>
    <t xml:space="preserve">Dòng từ hóa (hiệu dụng)</t>
  </si>
  <si>
    <t xml:space="preserve">I_0</t>
  </si>
  <si>
    <t xml:space="preserve">I_N(sinφ − cosφ/b)</t>
  </si>
  <si>
    <t xml:space="preserve">Sơ đồ vòng tròn</t>
  </si>
  <si>
    <t xml:space="preserve">IqN</t>
  </si>
  <si>
    <t xml:space="preserve">Thành phần dòng mô-men định mức (hiệu dụng)</t>
  </si>
  <si>
    <t xml:space="preserve">I_q,N</t>
  </si>
  <si>
    <t xml:space="preserve">Ipk</t>
  </si>
  <si>
    <t xml:space="preserve">Dòng đỉnh khi tăng tốc đầy tải (hiệu dụng)</t>
  </si>
  <si>
    <t xml:space="preserve">I_đỉnh</t>
  </si>
  <si>
    <t xml:space="preserve">Gần đúng I_q tỷ lệ mô-men</t>
  </si>
  <si>
    <t xml:space="preserve">Bài 4 slide 20</t>
  </si>
  <si>
    <t xml:space="preserve">I_ol</t>
  </si>
  <si>
    <t xml:space="preserve">Dòng quá tải cho phép của biến tần</t>
  </si>
  <si>
    <t xml:space="preserve">1.5·I_Hd</t>
  </si>
  <si>
    <t xml:space="preserve">150% I_Hd trong 1 phút/10 phút</t>
  </si>
  <si>
    <t xml:space="preserve">H. Hãm tái sinh, Chopper &amp; R_h — Bài 2.3 slide 56-59; WORKFLOW §4.2-C4</t>
  </si>
  <si>
    <t xml:space="preserve">Fh</t>
  </si>
  <si>
    <t xml:space="preserve">Lực hãm cực đại (a_max, đầy tải)</t>
  </si>
  <si>
    <t xml:space="preserve">F_hãm,max</t>
  </si>
  <si>
    <t xml:space="preserve">M_Σ·a_max − F_c</t>
  </si>
  <si>
    <t xml:space="preserve">WORKFLOW §4.2-C4</t>
  </si>
  <si>
    <t xml:space="preserve">P_dc</t>
  </si>
  <si>
    <t xml:space="preserve">P_dc,hãm</t>
  </si>
  <si>
    <t xml:space="preserve">F_h·v·η·η_đc·η_inv</t>
  </si>
  <si>
    <t xml:space="preserve">R_up</t>
  </si>
  <si>
    <t xml:space="preserve">Cận trên R_h theo công suất</t>
  </si>
  <si>
    <t xml:space="preserve">U_chop²/P</t>
  </si>
  <si>
    <t xml:space="preserve">R_hi</t>
  </si>
  <si>
    <t xml:space="preserve">Cận trên R_h hiệu dụng</t>
  </si>
  <si>
    <t xml:space="preserve">R_h,max</t>
  </si>
  <si>
    <t xml:space="preserve">min(U²/P, R_max biến tần)</t>
  </si>
  <si>
    <t xml:space="preserve">R_lo</t>
  </si>
  <si>
    <t xml:space="preserve">Cận dưới R_h</t>
  </si>
  <si>
    <t xml:space="preserve">R_h,min</t>
  </si>
  <si>
    <t xml:space="preserve">R_min chopper (thay U/I_chop,max)</t>
  </si>
  <si>
    <t xml:space="preserve">I_ch</t>
  </si>
  <si>
    <t xml:space="preserve">Dòng chopper khi dẫn tại U_chop</t>
  </si>
  <si>
    <t xml:space="preserve">I_chop</t>
  </si>
  <si>
    <t xml:space="preserve">P_ch</t>
  </si>
  <si>
    <t xml:space="preserve">Công suất tức thời trên R_h khi chopper dẫn</t>
  </si>
  <si>
    <t xml:space="preserve">U²/R_h</t>
  </si>
  <si>
    <t xml:space="preserve">Phải ≥ P_dc,hãm (đủ khả năng hấp thụ)</t>
  </si>
  <si>
    <t xml:space="preserve">E_kin</t>
  </si>
  <si>
    <t xml:space="preserve">Động năng hệ đầy tải ở v_max</t>
  </si>
  <si>
    <t xml:space="preserve">E_đ</t>
  </si>
  <si>
    <t xml:space="preserve">½δM_Σv² + ½J_B·ω_m² — ω_m tại v_max (D191); v1.3 dùng ω_N (sửa v1.4)</t>
  </si>
  <si>
    <t xml:space="preserve">Bài 2.3 slide 58</t>
  </si>
  <si>
    <t xml:space="preserve">E_rh</t>
  </si>
  <si>
    <t xml:space="preserve">Năng lượng vào R_h mỗi lần dừng đầy tải</t>
  </si>
  <si>
    <t xml:space="preserve">E_Rh</t>
  </si>
  <si>
    <t xml:space="preserve">(E_đ − F_c·s_acc)·η·η_đc·η_inv — gần đúng (Checker K6-2, Người dùng giữ 27/10/2026): phần ½J_B·ω_m² thực ra không qua η hộp số; tách riêng thì E_Rh ≈ 61.8 J (+4%). Thiên về an toàn cho KT-39 (E_Rh &gt; E_C); KT-42 biên ≈ 1000 lần nên không ảnh hưởng</t>
  </si>
  <si>
    <t xml:space="preserve">P_rh_avg</t>
  </si>
  <si>
    <t xml:space="preserve">Công suất trung bình trên R_h trong chu kỳ (bảo thủ: mọi lần dừng như đầy tải)</t>
  </si>
  <si>
    <t xml:space="preserve">P_Rh,tb</t>
  </si>
  <si>
    <t xml:space="preserve">Udc0</t>
  </si>
  <si>
    <t xml:space="preserve">Điện áp DC-link không tải lớn nhất (lưới +10%)</t>
  </si>
  <si>
    <t xml:space="preserve">U_dc0,max</t>
  </si>
  <si>
    <t xml:space="preserve">Quy ước: không tải √2·U; có tải ≈ 1.35·U</t>
  </si>
  <si>
    <t xml:space="preserve">ICD IF-05</t>
  </si>
  <si>
    <t xml:space="preserve">Udc_ld</t>
  </si>
  <si>
    <t xml:space="preserve">Điện áp DC-link có tải, lưới danh định</t>
  </si>
  <si>
    <t xml:space="preserve">U_dc,tải</t>
  </si>
  <si>
    <t xml:space="preserve">1.35·U (chỉnh lưu cầu 6 xung)</t>
  </si>
  <si>
    <t xml:space="preserve">I. Phanh cơ điện từ — WORKFLOW §4.2-C3; SAD RA-01</t>
  </si>
  <si>
    <t xml:space="preserve">M_hold</t>
  </si>
  <si>
    <t xml:space="preserve">Mô-men giữ thử trước khi nhả phanh</t>
  </si>
  <si>
    <t xml:space="preserve">SRS-D10</t>
  </si>
  <si>
    <t xml:space="preserve">MB_lo</t>
  </si>
  <si>
    <t xml:space="preserve">Mô-men phanh tối thiểu</t>
  </si>
  <si>
    <t xml:space="preserve">max(k_p·M_c; k_thử·M_hold)</t>
  </si>
  <si>
    <t xml:space="preserve">Giữ xe + chịu được mô-men thử khi phanh còn kẹp</t>
  </si>
  <si>
    <t xml:space="preserve">WORKFLOW §4.2-C3; SDD §5</t>
  </si>
  <si>
    <t xml:space="preserve">MB_hi</t>
  </si>
  <si>
    <t xml:space="preserve">Mô-men phanh tối đa không trượt (đầy tải)</t>
  </si>
  <si>
    <t xml:space="preserve">M_B,max</t>
  </si>
  <si>
    <t xml:space="preserve">F_B = M_B/(kη) ≤ F_bám</t>
  </si>
  <si>
    <t xml:space="preserve">MB_hi0</t>
  </si>
  <si>
    <t xml:space="preserve">Mô-men phanh tối đa không trượt (không tải)</t>
  </si>
  <si>
    <t xml:space="preserve">M_B,max,0</t>
  </si>
  <si>
    <t xml:space="preserve">Thường &lt; M_B,min ⇒ trượt khi phanh khẩn không tải</t>
  </si>
  <si>
    <t xml:space="preserve">aB</t>
  </si>
  <si>
    <t xml:space="preserve">Gia tốc dừng bằng phanh cơ, đầy tải (kể δ và J_B)</t>
  </si>
  <si>
    <t xml:space="preserve">a_B</t>
  </si>
  <si>
    <t xml:space="preserve">aB0</t>
  </si>
  <si>
    <t xml:space="preserve">Gia tốc dừng bằng phanh cơ, không tải (giới hạn bám)</t>
  </si>
  <si>
    <t xml:space="preserve">a_B,0</t>
  </si>
  <si>
    <t xml:space="preserve">sB</t>
  </si>
  <si>
    <t xml:space="preserve">Quãng dừng khẩn từ v_max, đầy tải</t>
  </si>
  <si>
    <t xml:space="preserve">s_B</t>
  </si>
  <si>
    <t xml:space="preserve">ds</t>
  </si>
  <si>
    <t xml:space="preserve">Độ trôi tối đa sau lệnh đóng phanh (ĐC đã thôi giữ)</t>
  </si>
  <si>
    <t xml:space="preserve">Δs_max</t>
  </si>
  <si>
    <t xml:space="preserve">mm</t>
  </si>
  <si>
    <t xml:space="preserve">v_đóng·t_kẹp (FSM giữ mô-men đến khi kẹp ⇒ danh định 0)</t>
  </si>
  <si>
    <t xml:space="preserve">SRS-FUNC-02</t>
  </si>
  <si>
    <t xml:space="preserve">J. Tham số mạch thay thế ĐC (ước lượng từ bảng tên) — [R9-06] Shevchenko §2.3; Bài 2.3</t>
  </si>
  <si>
    <t xml:space="preserve">ns</t>
  </si>
  <si>
    <t xml:space="preserve">Tốc độ đồng bộ</t>
  </si>
  <si>
    <t xml:space="preserve">n_s</t>
  </si>
  <si>
    <t xml:space="preserve">sN</t>
  </si>
  <si>
    <t xml:space="preserve">Hệ số trượt định mức</t>
  </si>
  <si>
    <t xml:space="preserve">s_N</t>
  </si>
  <si>
    <t xml:space="preserve">Uph</t>
  </si>
  <si>
    <t xml:space="preserve">Điện áp pha</t>
  </si>
  <si>
    <t xml:space="preserve">U_f</t>
  </si>
  <si>
    <t xml:space="preserve">Đấu Y</t>
  </si>
  <si>
    <t xml:space="preserve">ws</t>
  </si>
  <si>
    <t xml:space="preserve">Tần số góc nguồn</t>
  </si>
  <si>
    <t xml:space="preserve">ω_s</t>
  </si>
  <si>
    <t xml:space="preserve">Xm</t>
  </si>
  <si>
    <t xml:space="preserve">Điện kháng từ hóa</t>
  </si>
  <si>
    <t xml:space="preserve">X_m</t>
  </si>
  <si>
    <t xml:space="preserve">Sơ đồ Γ</t>
  </si>
  <si>
    <t xml:space="preserve">cos_r</t>
  </si>
  <si>
    <t xml:space="preserve">cosφ nhánh rotor</t>
  </si>
  <si>
    <t xml:space="preserve">cosφ_r</t>
  </si>
  <si>
    <t xml:space="preserve">Ir</t>
  </si>
  <si>
    <t xml:space="preserve">Dòng rotor quy đổi định mức</t>
  </si>
  <si>
    <t xml:space="preserve">I_r'</t>
  </si>
  <si>
    <t xml:space="preserve">Zr</t>
  </si>
  <si>
    <t xml:space="preserve">Tổng trở nhánh rotor</t>
  </si>
  <si>
    <t xml:space="preserve">Z_r</t>
  </si>
  <si>
    <t xml:space="preserve">Rr</t>
  </si>
  <si>
    <t xml:space="preserve">Điện trở rotor quy đổi</t>
  </si>
  <si>
    <t xml:space="preserve">R_r'</t>
  </si>
  <si>
    <t xml:space="preserve">Lấy từ UocLuong_TS (sel_mot); vòng tròn: Z_r·cosφ_r·s_N</t>
  </si>
  <si>
    <t xml:space="preserve">Xk</t>
  </si>
  <si>
    <t xml:space="preserve">Điện kháng tản tổng</t>
  </si>
  <si>
    <t xml:space="preserve">X_k</t>
  </si>
  <si>
    <t xml:space="preserve">Ploss</t>
  </si>
  <si>
    <t xml:space="preserve">Tổng tổn hao định mức</t>
  </si>
  <si>
    <t xml:space="preserve">ΣΔP</t>
  </si>
  <si>
    <t xml:space="preserve">Pcu2</t>
  </si>
  <si>
    <t xml:space="preserve">Tổn hao đồng rotor</t>
  </si>
  <si>
    <t xml:space="preserve">ΔP_Cu2</t>
  </si>
  <si>
    <t xml:space="preserve">Pcu1</t>
  </si>
  <si>
    <t xml:space="preserve">Tổn hao đồng stator</t>
  </si>
  <si>
    <t xml:space="preserve">ΔP_Cu1</t>
  </si>
  <si>
    <t xml:space="preserve">Rs</t>
  </si>
  <si>
    <t xml:space="preserve">Điện trở stator</t>
  </si>
  <si>
    <t xml:space="preserve">R_s</t>
  </si>
  <si>
    <t xml:space="preserve">Lm</t>
  </si>
  <si>
    <t xml:space="preserve">Hỗ cảm</t>
  </si>
  <si>
    <t xml:space="preserve">L_m</t>
  </si>
  <si>
    <t xml:space="preserve">H</t>
  </si>
  <si>
    <t xml:space="preserve">Lấy từ UocLuong_TS (sel_mot)</t>
  </si>
  <si>
    <t xml:space="preserve">Lss</t>
  </si>
  <si>
    <t xml:space="preserve">Điện cảm tản stator</t>
  </si>
  <si>
    <t xml:space="preserve">L_σs</t>
  </si>
  <si>
    <t xml:space="preserve">Lsr</t>
  </si>
  <si>
    <t xml:space="preserve">Điện cảm tản rotor</t>
  </si>
  <si>
    <t xml:space="preserve">L_σr</t>
  </si>
  <si>
    <t xml:space="preserve">Ls</t>
  </si>
  <si>
    <t xml:space="preserve">Điện cảm stator</t>
  </si>
  <si>
    <t xml:space="preserve">L_s</t>
  </si>
  <si>
    <t xml:space="preserve">Lr</t>
  </si>
  <si>
    <t xml:space="preserve">Điện cảm rotor</t>
  </si>
  <si>
    <t xml:space="preserve">L_r</t>
  </si>
  <si>
    <t xml:space="preserve">sig</t>
  </si>
  <si>
    <t xml:space="preserve">Hệ số tản</t>
  </si>
  <si>
    <t xml:space="preserve">σ</t>
  </si>
  <si>
    <t xml:space="preserve">Tr</t>
  </si>
  <si>
    <t xml:space="preserve">Hằng số thời gian rotor</t>
  </si>
  <si>
    <t xml:space="preserve">T_r</t>
  </si>
  <si>
    <t xml:space="preserve">Bài 2.3 slide 33</t>
  </si>
  <si>
    <t xml:space="preserve">kr</t>
  </si>
  <si>
    <t xml:space="preserve">Hệ số ghép rotor</t>
  </si>
  <si>
    <t xml:space="preserve">k_r</t>
  </si>
  <si>
    <t xml:space="preserve">Re</t>
  </si>
  <si>
    <t xml:space="preserve">Điện trở tương đương mạch dòng</t>
  </si>
  <si>
    <t xml:space="preserve">R_e</t>
  </si>
  <si>
    <t xml:space="preserve">R_s + k_r²R_r</t>
  </si>
  <si>
    <t xml:space="preserve">Bài 2.3 slide 34</t>
  </si>
  <si>
    <t xml:space="preserve">Lsig</t>
  </si>
  <si>
    <t xml:space="preserve">Điện cảm tản tương đương</t>
  </si>
  <si>
    <t xml:space="preserve">L_σ = σL_s</t>
  </si>
  <si>
    <t xml:space="preserve">Te</t>
  </si>
  <si>
    <t xml:space="preserve">Hằng số thời gian điện từ</t>
  </si>
  <si>
    <t xml:space="preserve">T_e = T_σ</t>
  </si>
  <si>
    <t xml:space="preserve">isdN</t>
  </si>
  <si>
    <t xml:space="preserve">Dòng từ hóa định mức (biên độ dq)</t>
  </si>
  <si>
    <t xml:space="preserve">i_sd,N</t>
  </si>
  <si>
    <t xml:space="preserve">Lấy từ UocLuong_TS: ψ_r,mh/L_m (sel_mot = 3)</t>
  </si>
  <si>
    <t xml:space="preserve">psir</t>
  </si>
  <si>
    <t xml:space="preserve">Từ thông rotor định mức</t>
  </si>
  <si>
    <t xml:space="preserve">ψ_r</t>
  </si>
  <si>
    <t xml:space="preserve">Wb</t>
  </si>
  <si>
    <t xml:space="preserve">kM</t>
  </si>
  <si>
    <t xml:space="preserve">Hệ số mô-men</t>
  </si>
  <si>
    <t xml:space="preserve">k_M</t>
  </si>
  <si>
    <t xml:space="preserve">N·m/A</t>
  </si>
  <si>
    <t xml:space="preserve">M_e = k_M·i_sq</t>
  </si>
  <si>
    <t xml:space="preserve">WORKFLOW §4.2-D2</t>
  </si>
  <si>
    <t xml:space="preserve">isqN</t>
  </si>
  <si>
    <t xml:space="preserve">Dòng mô-men định mức (biên độ)</t>
  </si>
  <si>
    <t xml:space="preserve">i_sq,N</t>
  </si>
  <si>
    <t xml:space="preserve">isqmax</t>
  </si>
  <si>
    <t xml:space="preserve">Dòng mô-men giới hạn chống trượt</t>
  </si>
  <si>
    <t xml:space="preserve">i_sq,lim</t>
  </si>
  <si>
    <t xml:space="preserve">F_k ≤ F_bám/1.2 (chưa kể quán tính rotor)</t>
  </si>
  <si>
    <t xml:space="preserve">K. PI dòng điện — Tối ưu Module (Bài 2.1 slide 26-27; WORKFLOW §4.2-D2)</t>
  </si>
  <si>
    <t xml:space="preserve">Tmu</t>
  </si>
  <si>
    <t xml:space="preserve">Hằng số thời gian nhỏ không bù</t>
  </si>
  <si>
    <t xml:space="preserve">T_μi</t>
  </si>
  <si>
    <t xml:space="preserve">Kpi</t>
  </si>
  <si>
    <t xml:space="preserve">Hệ số khuếch đại PI dòng</t>
  </si>
  <si>
    <t xml:space="preserve">K_p,I</t>
  </si>
  <si>
    <t xml:space="preserve">V/A</t>
  </si>
  <si>
    <t xml:space="preserve">L_σ/(2T_μi)</t>
  </si>
  <si>
    <t xml:space="preserve">Tii</t>
  </si>
  <si>
    <t xml:space="preserve">Hằng số tích phân PI dòng</t>
  </si>
  <si>
    <t xml:space="preserve">T_i,I</t>
  </si>
  <si>
    <t xml:space="preserve">Bằng T_σ (bù hằng số thời gian lớn)</t>
  </si>
  <si>
    <t xml:space="preserve">Kii</t>
  </si>
  <si>
    <t xml:space="preserve">Hệ số tích phân</t>
  </si>
  <si>
    <t xml:space="preserve">K_i,I = K_p/T_i</t>
  </si>
  <si>
    <t xml:space="preserve">V/(A·s)</t>
  </si>
  <si>
    <t xml:space="preserve">t_tq</t>
  </si>
  <si>
    <t xml:space="preserve">Thời gian tăng mô-men (MO, ≈ 4.7·T_μi)</t>
  </si>
  <si>
    <t xml:space="preserve">Δt_torque</t>
  </si>
  <si>
    <t xml:space="preserve">Đáp ứng bậc 2 tối ưu module</t>
  </si>
  <si>
    <t xml:space="preserve">Bài 2.1</t>
  </si>
  <si>
    <t xml:space="preserve">L. PI tốc độ — Tối ưu Đối xứng (Bài 2.1 slide 28-30; WORKFLOW §4.2-D2)</t>
  </si>
  <si>
    <t xml:space="preserve">TSw</t>
  </si>
  <si>
    <t xml:space="preserve">Tổng hằng số thời gian nhỏ vòng tốc độ</t>
  </si>
  <si>
    <t xml:space="preserve">T_Σω</t>
  </si>
  <si>
    <t xml:space="preserve">2T_μi + T_fω + k_Tω·T_s,ω (vòng dòng kín, lọc đo, trễ vòng tốc độ rời rạc)</t>
  </si>
  <si>
    <t xml:space="preserve">Jt</t>
  </si>
  <si>
    <t xml:space="preserve">Quán tính chỉnh định</t>
  </si>
  <si>
    <t xml:space="preserve">J_tune</t>
  </si>
  <si>
    <t xml:space="preserve">J_rig: vòng tốc độ (ω_c ≫ ω_r) chỉ thấy quán tính khối cứng ở cả hai trạng thái tải (khối O)</t>
  </si>
  <si>
    <t xml:space="preserve">SDD §4.3</t>
  </si>
  <si>
    <t xml:space="preserve">Kpw</t>
  </si>
  <si>
    <t xml:space="preserve">Hệ số khuếch đại PI tốc độ</t>
  </si>
  <si>
    <t xml:space="preserve">K_p,ω</t>
  </si>
  <si>
    <t xml:space="preserve">A·s/rad</t>
  </si>
  <si>
    <t xml:space="preserve">J/(2k_M T_Σω)</t>
  </si>
  <si>
    <t xml:space="preserve">Tiw</t>
  </si>
  <si>
    <t xml:space="preserve">Hằng số tích phân PI tốc độ</t>
  </si>
  <si>
    <t xml:space="preserve">T_i,ω</t>
  </si>
  <si>
    <t xml:space="preserve">4T_Σω</t>
  </si>
  <si>
    <t xml:space="preserve">Tpre</t>
  </si>
  <si>
    <t xml:space="preserve">Hằng số lọc lượng đặt (tùy chọn)</t>
  </si>
  <si>
    <t xml:space="preserve">T_pre</t>
  </si>
  <si>
    <t xml:space="preserve">Khử điểm không của SO</t>
  </si>
  <si>
    <t xml:space="preserve">Bài 2.1 slide 28</t>
  </si>
  <si>
    <t xml:space="preserve">kap1</t>
  </si>
  <si>
    <t xml:space="preserve">Hệ số lệch khuếch đại vòng (đầy tải)</t>
  </si>
  <si>
    <t xml:space="preserve">κ</t>
  </si>
  <si>
    <t xml:space="preserve">kap0</t>
  </si>
  <si>
    <t xml:space="preserve">Hệ số lệch khuếch đại vòng (không tải)</t>
  </si>
  <si>
    <t xml:space="preserve">κ₀</t>
  </si>
  <si>
    <t xml:space="preserve">y1_1</t>
  </si>
  <si>
    <t xml:space="preserve">Lặp Newton 1 — điểm cắt (y = (T_Σω·ω_c)²), đầy tải</t>
  </si>
  <si>
    <t xml:space="preserve">y</t>
  </si>
  <si>
    <t xml:space="preserve">Giải |L(jω)| = 1</t>
  </si>
  <si>
    <t xml:space="preserve">y1_2</t>
  </si>
  <si>
    <t xml:space="preserve">Lặp Newton 2 — điểm cắt (y = (T_Σω·ω_c)²), đầy tải</t>
  </si>
  <si>
    <t xml:space="preserve">y1_3</t>
  </si>
  <si>
    <t xml:space="preserve">Lặp Newton 3 — điểm cắt (y = (T_Σω·ω_c)²), đầy tải</t>
  </si>
  <si>
    <t xml:space="preserve">y1_4</t>
  </si>
  <si>
    <t xml:space="preserve">Lặp Newton 4 — điểm cắt (y = (T_Σω·ω_c)²), đầy tải</t>
  </si>
  <si>
    <t xml:space="preserve">y1_5</t>
  </si>
  <si>
    <t xml:space="preserve">Lặp Newton 5 — điểm cắt (y = (T_Σω·ω_c)²), đầy tải</t>
  </si>
  <si>
    <t xml:space="preserve">y1_6</t>
  </si>
  <si>
    <t xml:space="preserve">Lặp Newton 6 — điểm cắt (y = (T_Σω·ω_c)²), đầy tải</t>
  </si>
  <si>
    <t xml:space="preserve">y1_7</t>
  </si>
  <si>
    <t xml:space="preserve">Lặp Newton 7 — điểm cắt (y = (T_Σω·ω_c)²), đầy tải</t>
  </si>
  <si>
    <t xml:space="preserve">y1_8</t>
  </si>
  <si>
    <t xml:space="preserve">Lặp Newton 8 — điểm cắt (y = (T_Σω·ω_c)²), đầy tải</t>
  </si>
  <si>
    <t xml:space="preserve">y1_9</t>
  </si>
  <si>
    <t xml:space="preserve">Lặp Newton 9 — điểm cắt (y = (T_Σω·ω_c)²), đầy tải</t>
  </si>
  <si>
    <t xml:space="preserve">y1_10</t>
  </si>
  <si>
    <t xml:space="preserve">Lặp Newton 10 — điểm cắt (y = (T_Σω·ω_c)²), đầy tải</t>
  </si>
  <si>
    <t xml:space="preserve">y1_11</t>
  </si>
  <si>
    <t xml:space="preserve">Lặp Newton 11 — điểm cắt (y = (T_Σω·ω_c)²), đầy tải</t>
  </si>
  <si>
    <t xml:space="preserve">y1_12</t>
  </si>
  <si>
    <t xml:space="preserve">Lặp Newton 12 — điểm cắt (y = (T_Σω·ω_c)²), đầy tải</t>
  </si>
  <si>
    <t xml:space="preserve">PM1</t>
  </si>
  <si>
    <t xml:space="preserve">Độ dự trữ pha vòng tốc độ (đầy tải)</t>
  </si>
  <si>
    <t xml:space="preserve">PM</t>
  </si>
  <si>
    <t xml:space="preserve">atan(4x) − atan(x), x = T_Σω·ω_c</t>
  </si>
  <si>
    <t xml:space="preserve">Tự dẫn từ hàm truyền SO</t>
  </si>
  <si>
    <t xml:space="preserve">wc1</t>
  </si>
  <si>
    <t xml:space="preserve">Tần số cắt (đầy tải)</t>
  </si>
  <si>
    <t xml:space="preserve">ω_c</t>
  </si>
  <si>
    <t xml:space="preserve">y0_1</t>
  </si>
  <si>
    <t xml:space="preserve">Lặp Newton 1 — điểm cắt (y = (T_Σω·ω_c)²), không tải</t>
  </si>
  <si>
    <t xml:space="preserve">y0_2</t>
  </si>
  <si>
    <t xml:space="preserve">Lặp Newton 2 — điểm cắt (y = (T_Σω·ω_c)²), không tải</t>
  </si>
  <si>
    <t xml:space="preserve">y0_3</t>
  </si>
  <si>
    <t xml:space="preserve">Lặp Newton 3 — điểm cắt (y = (T_Σω·ω_c)²), không tải</t>
  </si>
  <si>
    <t xml:space="preserve">y0_4</t>
  </si>
  <si>
    <t xml:space="preserve">Lặp Newton 4 — điểm cắt (y = (T_Σω·ω_c)²), không tải</t>
  </si>
  <si>
    <t xml:space="preserve">y0_5</t>
  </si>
  <si>
    <t xml:space="preserve">Lặp Newton 5 — điểm cắt (y = (T_Σω·ω_c)²), không tải</t>
  </si>
  <si>
    <t xml:space="preserve">y0_6</t>
  </si>
  <si>
    <t xml:space="preserve">Lặp Newton 6 — điểm cắt (y = (T_Σω·ω_c)²), không tải</t>
  </si>
  <si>
    <t xml:space="preserve">y0_7</t>
  </si>
  <si>
    <t xml:space="preserve">Lặp Newton 7 — điểm cắt (y = (T_Σω·ω_c)²), không tải</t>
  </si>
  <si>
    <t xml:space="preserve">y0_8</t>
  </si>
  <si>
    <t xml:space="preserve">Lặp Newton 8 — điểm cắt (y = (T_Σω·ω_c)²), không tải</t>
  </si>
  <si>
    <t xml:space="preserve">y0_9</t>
  </si>
  <si>
    <t xml:space="preserve">Lặp Newton 9 — điểm cắt (y = (T_Σω·ω_c)²), không tải</t>
  </si>
  <si>
    <t xml:space="preserve">y0_10</t>
  </si>
  <si>
    <t xml:space="preserve">Lặp Newton 10 — điểm cắt (y = (T_Σω·ω_c)²), không tải</t>
  </si>
  <si>
    <t xml:space="preserve">y0_11</t>
  </si>
  <si>
    <t xml:space="preserve">Lặp Newton 11 — điểm cắt (y = (T_Σω·ω_c)²), không tải</t>
  </si>
  <si>
    <t xml:space="preserve">y0_12</t>
  </si>
  <si>
    <t xml:space="preserve">Lặp Newton 12 — điểm cắt (y = (T_Σω·ω_c)²), không tải</t>
  </si>
  <si>
    <t xml:space="preserve">PM0</t>
  </si>
  <si>
    <t xml:space="preserve">Độ dự trữ pha vòng tốc độ (không tải)</t>
  </si>
  <si>
    <t xml:space="preserve">wc0</t>
  </si>
  <si>
    <t xml:space="preserve">Tần số cắt (không tải)</t>
  </si>
  <si>
    <t xml:space="preserve">M. Encoder &amp; ngưỡng logic</t>
  </si>
  <si>
    <t xml:space="preserve">dw_enc</t>
  </si>
  <si>
    <t xml:space="preserve">Phân giải tốc độ ĐC</t>
  </si>
  <si>
    <t xml:space="preserve">Δω</t>
  </si>
  <si>
    <t xml:space="preserve">Đếm 4 sườn trong T_s,ω</t>
  </si>
  <si>
    <t xml:space="preserve">dv_enc</t>
  </si>
  <si>
    <t xml:space="preserve">Phân giải vận tốc dài</t>
  </si>
  <si>
    <t xml:space="preserve">Δv</t>
  </si>
  <si>
    <t xml:space="preserve">N. Tốc độ bò</t>
  </si>
  <si>
    <t xml:space="preserve">v_creep</t>
  </si>
  <si>
    <t xml:space="preserve">Tốc độ bò</t>
  </si>
  <si>
    <t xml:space="preserve">v_bò</t>
  </si>
  <si>
    <t xml:space="preserve">Downstream #8</t>
  </si>
  <si>
    <t xml:space="preserve">w_creep</t>
  </si>
  <si>
    <t xml:space="preserve">Tốc độ ĐC khi bò</t>
  </si>
  <si>
    <t xml:space="preserve">ω_bò</t>
  </si>
  <si>
    <t xml:space="preserve">O. Mô hình 2 khối lượng (xe con cứng + con lắc tải) cho mô phỏng — SDD §2, §3.4 (v1.3); WORKFLOW §4.2-D3</t>
  </si>
  <si>
    <t xml:space="preserve">m_rig</t>
  </si>
  <si>
    <t xml:space="preserve">Khối lượng tịnh tiến cứng trong mô phỏng (khung xe con)</t>
  </si>
  <si>
    <t xml:space="preserve">Không gồm tải treo: tải chỉ tác dụng lên xe qua cáp (F_lắc)</t>
  </si>
  <si>
    <t xml:space="preserve">m_p</t>
  </si>
  <si>
    <t xml:space="preserve">Khối lượng con lắc, đầy tải</t>
  </si>
  <si>
    <t xml:space="preserve">m_pend</t>
  </si>
  <si>
    <t xml:space="preserve">Q + m_nh</t>
  </si>
  <si>
    <t xml:space="preserve">P-01, P-02</t>
  </si>
  <si>
    <t xml:space="preserve">m_p0</t>
  </si>
  <si>
    <t xml:space="preserve">Khối lượng con lắc, không tải</t>
  </si>
  <si>
    <t xml:space="preserve">m_pend,0</t>
  </si>
  <si>
    <t xml:space="preserve">Chỉ cụm móc</t>
  </si>
  <si>
    <t xml:space="preserve">Jgear</t>
  </si>
  <si>
    <t xml:space="preserve">Quán tính chi tiết quay hộp số/khớp nối (cố định)</t>
  </si>
  <si>
    <t xml:space="preserve">J_gear</t>
  </si>
  <si>
    <t xml:space="preserve">(δ−1)·M_Σ·k² — giữ phần δ của khối C, không đổi theo tải</t>
  </si>
  <si>
    <t xml:space="preserve">WORKFLOW §4.2-B4 [C]</t>
  </si>
  <si>
    <t xml:space="preserve">Jrig</t>
  </si>
  <si>
    <t xml:space="preserve">Quán tính cứng quy về trục ĐC (dùng chung đầy/không tải)</t>
  </si>
  <si>
    <t xml:space="preserve">J_rig</t>
  </si>
  <si>
    <t xml:space="preserve">J_BMot + J_gear + m_xc·k²</t>
  </si>
  <si>
    <t xml:space="preserve">Fc_2m</t>
  </si>
  <si>
    <t xml:space="preserve">Lực cản lăn đầy tải trong mô hình 2 khối</t>
  </si>
  <si>
    <t xml:space="preserve">F_c</t>
  </si>
  <si>
    <t xml:space="preserve">(m_xc + m_pend)·g·w0 — trọng lượng tải vẫn đè lên bánh (phải = P-20, KT-34)</t>
  </si>
  <si>
    <t xml:space="preserve">Fc0_2m</t>
  </si>
  <si>
    <t xml:space="preserve">Lực cản lăn không tải trong mô hình 2 khối</t>
  </si>
  <si>
    <t xml:space="preserve">F_c,0</t>
  </si>
  <si>
    <t xml:space="preserve">k_pend</t>
  </si>
  <si>
    <t xml:space="preserve">Độ cứng tương đương con lắc</t>
  </si>
  <si>
    <t xml:space="preserve">N/m</t>
  </si>
  <si>
    <t xml:space="preserve">m_pend·g/h</t>
  </si>
  <si>
    <t xml:space="preserve">w_res</t>
  </si>
  <si>
    <t xml:space="preserve">Tần số cộng hưởng xe – tải treo</t>
  </si>
  <si>
    <t xml:space="preserve">ω_r</t>
  </si>
  <si>
    <t xml:space="preserve">√(k_p·(1/m_eq + 1/m_pend)), m_eq = J_rig/k²</t>
  </si>
  <si>
    <t xml:space="preserve">th_amp</t>
  </si>
  <si>
    <t xml:space="preserve">Biên độ lắc khi chạy đều sau tăng tốc</t>
  </si>
  <si>
    <t xml:space="preserve">θ_a</t>
  </si>
  <si>
    <t xml:space="preserve">v·ω_p/g (= khối E, D46, theo rad)</t>
  </si>
  <si>
    <t xml:space="preserve">[R9-01]</t>
  </si>
  <si>
    <t xml:space="preserve">Fsw</t>
  </si>
  <si>
    <t xml:space="preserve">Biên độ phản lực cáp khi chạy đều</t>
  </si>
  <si>
    <t xml:space="preserve">F_lắc,max</t>
  </si>
  <si>
    <t xml:space="preserve">m_pend·g·θ_a</t>
  </si>
  <si>
    <t xml:space="preserve">IF-10</t>
  </si>
  <si>
    <t xml:space="preserve">Mpk_2m</t>
  </si>
  <si>
    <t xml:space="preserve">Mô-men ĐC đỉnh khi tăng tốc tại a* (mô hình 2 khối)</t>
  </si>
  <si>
    <t xml:space="preserve">M_max,2m</t>
  </si>
  <si>
    <t xml:space="preserve">J_rig·ε* + M_c: cáp chưa kịp lệch vì t_acc ≪ T_p</t>
  </si>
  <si>
    <t xml:space="preserve">Mrun_2m</t>
  </si>
  <si>
    <t xml:space="preserve">Mô-men ĐC lớn nhất khi chạy đều (mô hình 2 khối)</t>
  </si>
  <si>
    <t xml:space="preserve">M_đều,max</t>
  </si>
  <si>
    <t xml:space="preserve">M_c + F_lắc,max·k/η</t>
  </si>
  <si>
    <t xml:space="preserve">r_2m</t>
  </si>
  <si>
    <t xml:space="preserve">Tỷ số mô-men đỉnh: mô hình 2 khối / khối cứng (khối F)</t>
  </si>
  <si>
    <t xml:space="preserve">Simulink sẽ cho mô-men nhỏ hơn Excel — không phải lỗi; Excel (khối cứng) là cận trên</t>
  </si>
  <si>
    <t xml:space="preserve">kap2m</t>
  </si>
  <si>
    <t xml:space="preserve">Hệ số lệch khuếch đại vòng tốc độ với mô hình 2 khối</t>
  </si>
  <si>
    <t xml:space="preserve">κ_2m</t>
  </si>
  <si>
    <t xml:space="preserve">ω_c ≫ ω_r: vòng tốc độ chỉ thấy J_rig ở cả hai trạng thái tải</t>
  </si>
  <si>
    <t xml:space="preserve">P. Giới hạn điện áp &amp; giảm từ thông (ĐC 400 V trên lưới 380 V) — IF-04, SDD §4.1 (v1.3)</t>
  </si>
  <si>
    <t xml:space="preserve">wm_v</t>
  </si>
  <si>
    <t xml:space="preserve">Tốc độ ĐC tại v_max</t>
  </si>
  <si>
    <t xml:space="preserve">ω_m,vmax</t>
  </si>
  <si>
    <t xml:space="preserve">wsl_c</t>
  </si>
  <si>
    <t xml:space="preserve">Tần số trượt khi chạy đều đầy tải</t>
  </si>
  <si>
    <t xml:space="preserve">ω_sl</t>
  </si>
  <si>
    <t xml:space="preserve">s_N·ω_s·M_c/M_N (tuyến tính)</t>
  </si>
  <si>
    <t xml:space="preserve">f1_v</t>
  </si>
  <si>
    <t xml:space="preserve">Tần số stator tại v_max</t>
  </si>
  <si>
    <t xml:space="preserve">f_1</t>
  </si>
  <si>
    <t xml:space="preserve">U_req</t>
  </si>
  <si>
    <t xml:space="preserve">Điện áp dây cần ở từ thông định mức</t>
  </si>
  <si>
    <t xml:space="preserve">U_1,req</t>
  </si>
  <si>
    <t xml:space="preserve">U_N·f_1/f_N (bỏ qua sụt áp R_s)</t>
  </si>
  <si>
    <t xml:space="preserve">U1_n</t>
  </si>
  <si>
    <t xml:space="preserve">U_1 tối đa nghịch lưu tạo được, lưới danh định</t>
  </si>
  <si>
    <t xml:space="preserve">U_1,lim</t>
  </si>
  <si>
    <t xml:space="preserve">k_u·U_dc/√2</t>
  </si>
  <si>
    <t xml:space="preserve">SDD §4.2</t>
  </si>
  <si>
    <t xml:space="preserve">kpsi_n</t>
  </si>
  <si>
    <t xml:space="preserve">Tỷ số từ thông tại v_max, lưới danh định</t>
  </si>
  <si>
    <t xml:space="preserve">k_ψ</t>
  </si>
  <si>
    <t xml:space="preserve">ψ_r*/ψ_rN</t>
  </si>
  <si>
    <t xml:space="preserve">wfw_n</t>
  </si>
  <si>
    <t xml:space="preserve">Tốc độ ĐC bắt đầu giảm từ thông, lưới danh định</t>
  </si>
  <si>
    <t xml:space="preserve">ω_fw</t>
  </si>
  <si>
    <t xml:space="preserve">ψ_r* = ψ_rN·min(1, ω_fw/|ω_m|) (SRS-D15)</t>
  </si>
  <si>
    <t xml:space="preserve">v2_end</t>
  </si>
  <si>
    <t xml:space="preserve">Vận tốc đặt cuối đoạn gia tốc hằng</t>
  </si>
  <si>
    <t xml:space="preserve">v_2</t>
  </si>
  <si>
    <t xml:space="preserve">v_1 + a*·T_a</t>
  </si>
  <si>
    <t xml:space="preserve">Khối E</t>
  </si>
  <si>
    <t xml:space="preserve">vfw_n</t>
  </si>
  <si>
    <t xml:space="preserve">Vận tốc bắt đầu giảm từ thông, lưới danh định</t>
  </si>
  <si>
    <t xml:space="preserve">v_fw</t>
  </si>
  <si>
    <t xml:space="preserve">Lưới −10%: chỉ kiểm quá tải mô-men (KT-05), không tính giảm từ thông (CR-15)</t>
  </si>
  <si>
    <t xml:space="preserve">afw_n</t>
  </si>
  <si>
    <t xml:space="preserve">Gia tốc đặt tại v_fw (lưới danh định)</t>
  </si>
  <si>
    <t xml:space="preserve">a_fw</t>
  </si>
  <si>
    <t xml:space="preserve">Đoạn 3 S-curve: a = √(2ρ*(v_max − v))</t>
  </si>
  <si>
    <t xml:space="preserve">Mfw_n</t>
  </si>
  <si>
    <t xml:space="preserve">Mô-men cần tại v_fw (khối cứng, bảo thủ)</t>
  </si>
  <si>
    <t xml:space="preserve">M_fw</t>
  </si>
  <si>
    <t xml:space="preserve">M_c + δM_Σa_fw·k/η + J_B·a_fw/k</t>
  </si>
  <si>
    <t xml:space="preserve">Khối D</t>
  </si>
  <si>
    <t xml:space="preserve">isq_fw</t>
  </si>
  <si>
    <t xml:space="preserve">i_sq cần khi giảm từ thông (M_fw ở từ thông tại v_max)</t>
  </si>
  <si>
    <t xml:space="preserve">i_sq,fw</t>
  </si>
  <si>
    <t xml:space="preserve">So với i_sq,lim (KT-37)</t>
  </si>
  <si>
    <t xml:space="preserve">isd_fw</t>
  </si>
  <si>
    <t xml:space="preserve">i_sd tại v_max, lưới danh định</t>
  </si>
  <si>
    <t xml:space="preserve">i_sd,fw</t>
  </si>
  <si>
    <t xml:space="preserve">k_ψ·i_sd,N</t>
  </si>
  <si>
    <t xml:space="preserve">Is_fw</t>
  </si>
  <si>
    <t xml:space="preserve">Dòng stator hiệu dụng khi giảm từ thông (lưới danh định)</t>
  </si>
  <si>
    <t xml:space="preserve">I_s,fw</t>
  </si>
  <si>
    <t xml:space="preserve">So với 1.5·I_Hd (KT-38)</t>
  </si>
  <si>
    <t xml:space="preserve">Q. Mô hình biến tần trung bình &amp; DC-link — IF-05, SDD §7 (v1.3)</t>
  </si>
  <si>
    <t xml:space="preserve">Udc0_n</t>
  </si>
  <si>
    <t xml:space="preserve">U_dc không tải, lưới danh định</t>
  </si>
  <si>
    <t xml:space="preserve">U_dc0</t>
  </si>
  <si>
    <t xml:space="preserve">√2·U</t>
  </si>
  <si>
    <t xml:space="preserve">Idc_N</t>
  </si>
  <si>
    <t xml:space="preserve">Dòng DC khi ĐC chạy định mức</t>
  </si>
  <si>
    <t xml:space="preserve">I_dc,N</t>
  </si>
  <si>
    <t xml:space="preserve">P_N/(η_đc·η_inv·U_dc)</t>
  </si>
  <si>
    <t xml:space="preserve">R_src</t>
  </si>
  <si>
    <t xml:space="preserve">Điện trở nguồn tương đương của chỉnh lưu (mô hình trung bình)</t>
  </si>
  <si>
    <t xml:space="preserve">Chỉnh lưu diode 1 chiều sau R_src: U_dc = U_dc0 khi không tải, ≈ 1.35U ở tải định mức</t>
  </si>
  <si>
    <t xml:space="preserve">Giả định mô hình [C]</t>
  </si>
  <si>
    <t xml:space="preserve">E_cap</t>
  </si>
  <si>
    <t xml:space="preserve">Năng lượng tụ hấp thụ từ U_dc0,max đến U_chop</t>
  </si>
  <si>
    <t xml:space="preserve">E_C</t>
  </si>
  <si>
    <t xml:space="preserve">Bảo thủ: lưới +10%</t>
  </si>
  <si>
    <t xml:space="preserve">chop_q</t>
  </si>
  <si>
    <t xml:space="preserve">Chopper có tác động khi dừng đầy tải?</t>
  </si>
  <si>
    <t xml:space="preserve">So E_Rh (khối H) với E_C</t>
  </si>
  <si>
    <t xml:space="preserve">U_off</t>
  </si>
  <si>
    <t xml:space="preserve">Ngưỡng cắt chopper</t>
  </si>
  <si>
    <t xml:space="preserve">U_chop,off</t>
  </si>
  <si>
    <t xml:space="preserve">n_I</t>
  </si>
  <si>
    <t xml:space="preserve">Số bước giải trong 1 chu kỳ vòng dòng Ts_I</t>
  </si>
  <si>
    <t xml:space="preserve">Phải nguyên (KT-40)</t>
  </si>
  <si>
    <t xml:space="preserve">n_w</t>
  </si>
  <si>
    <t xml:space="preserve">Số bước giải trong 1 chu kỳ vòng tốc độ Ts_w</t>
  </si>
  <si>
    <t xml:space="preserve">R. Kịch bản mô phỏng rút gọn TS-01 / TS-02 — DVP v1.2 §3.2 (rút gọn thời gian, v1.3)</t>
  </si>
  <si>
    <t xml:space="preserve">t_go1</t>
  </si>
  <si>
    <t xml:space="preserve">TS-01: xe bắt đầu chạy Tiến, đầy tải</t>
  </si>
  <si>
    <t xml:space="preserve">t_cmd + t_mag + t_test + t_open (S2 → S3 → S3B)</t>
  </si>
  <si>
    <t xml:space="preserve">t_cr1</t>
  </si>
  <si>
    <t xml:space="preserve">TS-01: bắt đầu chạy đều</t>
  </si>
  <si>
    <t xml:space="preserve">t_dec1</t>
  </si>
  <si>
    <t xml:space="preserve">TS-01: nhả FWD — bắt đầu giảm tốc</t>
  </si>
  <si>
    <t xml:space="preserve">t_st1</t>
  </si>
  <si>
    <t xml:space="preserve">TS-01: dừng (v = 0)</t>
  </si>
  <si>
    <t xml:space="preserve">t_unl</t>
  </si>
  <si>
    <t xml:space="preserve">TS-01: dỡ tải (m_pend → m_pend,0; reset θ, θ̇ = 0)</t>
  </si>
  <si>
    <t xml:space="preserve">Sau S6 và thời gian quan sát</t>
  </si>
  <si>
    <t xml:space="preserve">t_cmd2</t>
  </si>
  <si>
    <t xml:space="preserve">TS-01: nhấn REV</t>
  </si>
  <si>
    <t xml:space="preserve">t_go2</t>
  </si>
  <si>
    <t xml:space="preserve">TS-01: xe bắt đầu chạy Lùi, không tải</t>
  </si>
  <si>
    <t xml:space="preserve">t_st2</t>
  </si>
  <si>
    <t xml:space="preserve">TS-01: dừng (Lùi)</t>
  </si>
  <si>
    <t xml:space="preserve">T_end</t>
  </si>
  <si>
    <t xml:space="preserve">TS-01: thời gian mô phỏng</t>
  </si>
  <si>
    <t xml:space="preserve">s_run</t>
  </si>
  <si>
    <t xml:space="preserve">Quãng đường mỗi hành trình</t>
  </si>
  <si>
    <t xml:space="preserve">s_ht</t>
  </si>
  <si>
    <t xml:space="preserve">N_step</t>
  </si>
  <si>
    <t xml:space="preserve">Số bước giải TS-01</t>
  </si>
  <si>
    <t xml:space="preserve">t_rev2</t>
  </si>
  <si>
    <t xml:space="preserve">TS-02: nhấn REV khi đang chạy đều Tiến</t>
  </si>
  <si>
    <t xml:space="preserve">Kỳ vọng: không đổi chiều, chỉ S5 → S6 → S1</t>
  </si>
  <si>
    <t xml:space="preserve">T_end2</t>
  </si>
  <si>
    <t xml:space="preserve">TS-02: thời gian mô phỏng</t>
  </si>
  <si>
    <t xml:space="preserve">S. Bổ sung v1.4 (27/10/2026) — kiểm tra bổ sung &amp; công suất hãm kể quán tính quay (tham khảo) — WORKFLOW §4.2-B4 (δ, J_B) + §4.2-C4</t>
  </si>
  <si>
    <t xml:space="preserve">Fh_d</t>
  </si>
  <si>
    <t xml:space="preserve">Lực hãm cực đại kể hệ số quán tính quay δ</t>
  </si>
  <si>
    <t xml:space="preserve">F_hãm,δ</t>
  </si>
  <si>
    <t xml:space="preserve">δ·M_Σ·a_max − F_c (D74 không kể δ theo WORKFLOW §4.2-C4)</t>
  </si>
  <si>
    <t xml:space="preserve">WORKFLOW §4.2-B4 (δ, J_B) + §4.2-C4</t>
  </si>
  <si>
    <t xml:space="preserve">P_dc_d</t>
  </si>
  <si>
    <t xml:space="preserve">Công suất hãm đỉnh về DC-link kể δ và J_B (tham khảo)</t>
  </si>
  <si>
    <t xml:space="preserve">P_dc,hãm,δ</t>
  </si>
  <si>
    <t xml:space="preserve">(F_hãm,δ·v·η + J_B·ε_max·ω_m)·η_đc·η_inv — bảo thủ: a_max đúng lúc v_max</t>
  </si>
  <si>
    <t xml:space="preserve">r_Pdc</t>
  </si>
  <si>
    <t xml:space="preserve">Biên P_BR,max biến tần so với P_dc,hãm,δ</t>
  </si>
  <si>
    <t xml:space="preserve">P_BR,max/P_dc,δ</t>
  </si>
  <si>
    <t xml:space="preserve">Chỉ tham khảo: KT-15 vẫn dùng D75 (công thức khóa); biên này ≥ 1 thì kết luận chọn R_h/biến tần không đổi</t>
  </si>
  <si>
    <t xml:space="preserve">r_Pch</t>
  </si>
  <si>
    <t xml:space="preserve">Biên công suất tức thời R_h so với P_dc,hãm,δ</t>
  </si>
  <si>
    <t xml:space="preserve">(U²/R_h)/P_dc,δ</t>
  </si>
  <si>
    <t xml:space="preserve">Tham khảo cho KT-14</t>
  </si>
  <si>
    <t xml:space="preserve">T. Bổ sung v1.5 (28/10/2026) — lắc dư theo kịch bản rút gọn (quan sát, CR-10)</t>
  </si>
  <si>
    <t xml:space="preserve">th_TS01</t>
  </si>
  <si>
    <t xml:space="preserve">Góc lắc dư sau khi dừng ở TS-01 (T_run)</t>
  </si>
  <si>
    <t xml:space="preserve">θ_dư,TS</t>
  </si>
  <si>
    <t xml:space="preserve">2θ_a·|sin(ω_p(t_acc + T_run)/2)|</t>
  </si>
  <si>
    <t xml:space="preserve">Trun0</t>
  </si>
  <si>
    <t xml:space="preserve">T_run cho lắc dư bằng 0 (gần nhất, n = 2)</t>
  </si>
  <si>
    <t xml:space="preserve">T_run,0</t>
  </si>
  <si>
    <t xml:space="preserve">2·T_p − t_acc: hai xung cách nhau đúng 2 chu kỳ lắc</t>
  </si>
  <si>
    <t xml:space="preserve">Nội dung kiểm tra</t>
  </si>
  <si>
    <t xml:space="preserve">Giá trị tính</t>
  </si>
  <si>
    <t xml:space="preserve">Ngưỡng</t>
  </si>
  <si>
    <t xml:space="preserve">Kết quả</t>
  </si>
  <si>
    <t xml:space="preserve">Yêu cầu nguồn</t>
  </si>
  <si>
    <t xml:space="preserve">Ghi chú</t>
  </si>
  <si>
    <t xml:space="preserve">Lực cản tĩnh tính lại khớp P-20 (sai lệch &lt; 1 N)</t>
  </si>
  <si>
    <t xml:space="preserve">P-20, K6</t>
  </si>
  <si>
    <t xml:space="preserve">KT-02</t>
  </si>
  <si>
    <t xml:space="preserve">Hệ số bám đầy tải k_bám ≥ 1.20</t>
  </si>
  <si>
    <t xml:space="preserve">KT-03</t>
  </si>
  <si>
    <t xml:space="preserve">Hệ số bám không tải k_bám,0 ≥ 1.20</t>
  </si>
  <si>
    <t xml:space="preserve">KT-04</t>
  </si>
  <si>
    <t xml:space="preserve">Bội số mô-men catalogue λ_K ≥ 2.0</t>
  </si>
  <si>
    <t xml:space="preserve">Downstream #7</t>
  </si>
  <si>
    <t xml:space="preserve">Quá tải ở sụt áp -10%: λ_K·(342/400)² ≥ M_max/M_N</t>
  </si>
  <si>
    <t xml:space="preserve">Downstream #7, SRS-PERM-01</t>
  </si>
  <si>
    <t xml:space="preserve">Lực kéo ĐC tạo được ≥ F_max = 9,218 N (giá trị tính, CR-16)</t>
  </si>
  <si>
    <t xml:space="preserve">k_dt ≥ 1.20 (SRS Baseline A.1 — có hiệu lực 24/10/2026)</t>
  </si>
  <si>
    <t xml:space="preserve">SRS-PERM-04 (A.1)</t>
  </si>
  <si>
    <t xml:space="preserve">KT-08</t>
  </si>
  <si>
    <t xml:space="preserve">k_dt ≤ 1.50 (cận trên SRS v1.2 — đã bỏ trong SRS Baseline A.1, ký 24/10/2026)</t>
  </si>
  <si>
    <t xml:space="preserve">SRS-PERM-04 (v1.2 → A.1)</t>
  </si>
  <si>
    <t xml:space="preserve">Giữ để truy vết xung đột QĐ-02</t>
  </si>
  <si>
    <t xml:space="preserve">KT-09</t>
  </si>
  <si>
    <t xml:space="preserve">P_đm ≤ min(2.2 kW; 1.5·P_max) — QCD-C01, cách hiểu QĐ-08 (so với P_max)</t>
  </si>
  <si>
    <t xml:space="preserve">SOW QCD-C01 (QĐ-08)</t>
  </si>
  <si>
    <t xml:space="preserve">Trần = MIN(2.2; 1.5·P_max/1000)</t>
  </si>
  <si>
    <t xml:space="preserve">KT-10</t>
  </si>
  <si>
    <t xml:space="preserve">Biến tần: I_Hd ≥ I_N động cơ</t>
  </si>
  <si>
    <t xml:space="preserve">Biến tần: 1.5·I_Hd ≥ I_đỉnh tăng tốc</t>
  </si>
  <si>
    <t xml:space="preserve">KT-12</t>
  </si>
  <si>
    <t xml:space="preserve">Biến tần: I_max ≥ I_đỉnh</t>
  </si>
  <si>
    <t xml:space="preserve">KT-13</t>
  </si>
  <si>
    <t xml:space="preserve">R_h ≥ R_min chopper</t>
  </si>
  <si>
    <t xml:space="preserve">SRS-FUNC-04</t>
  </si>
  <si>
    <t xml:space="preserve">KT-14</t>
  </si>
  <si>
    <t xml:space="preserve">R_h ≤ min(U_chop²/P_hãm; R_max)</t>
  </si>
  <si>
    <t xml:space="preserve">SRS-FUNC-04, Downstream #3</t>
  </si>
  <si>
    <t xml:space="preserve">P_BRmax biến tần ≥ P_hãm đỉnh</t>
  </si>
  <si>
    <t xml:space="preserve">đơn vị kW</t>
  </si>
  <si>
    <t xml:space="preserve">KT-16</t>
  </si>
  <si>
    <t xml:space="preserve">U_dc không tải (lưới +10%) &lt; ngưỡng chopper dưới (U_chop − 20 V)</t>
  </si>
  <si>
    <t xml:space="preserve">Chopper không băm khi đứng yên</t>
  </si>
  <si>
    <t xml:space="preserve">KT-17</t>
  </si>
  <si>
    <t xml:space="preserve">Ngưỡng chopper &lt; U_dc,max &lt; ngưỡng trip</t>
  </si>
  <si>
    <t xml:space="preserve">Kiểm chứng U_dc(t) ở DV-04 (S)</t>
  </si>
  <si>
    <t xml:space="preserve">KT-18</t>
  </si>
  <si>
    <t xml:space="preserve">S-curve: a* ≤ a_max</t>
  </si>
  <si>
    <t xml:space="preserve">SRS-FUNC-03</t>
  </si>
  <si>
    <t xml:space="preserve">KT-19</t>
  </si>
  <si>
    <t xml:space="preserve">S-curve: ρ* ≤ ρ_max</t>
  </si>
  <si>
    <t xml:space="preserve">KT-20</t>
  </si>
  <si>
    <t xml:space="preserve">S-curve đủ 3 đoạn: a*²/ρ* &lt; v_max</t>
  </si>
  <si>
    <t xml:space="preserve">KT-21</t>
  </si>
  <si>
    <t xml:space="preserve">Góc lắc dư lớn nhất sau khi dừng (so θ_0 = 2.92°, tham khảo)</t>
  </si>
  <si>
    <t xml:space="preserve">SRS-PERM-03 (tham khảo)</t>
  </si>
  <si>
    <t xml:space="preserve">Kiểm chứng S ở DV-07: chỉ báo cáo θ(t)</t>
  </si>
  <si>
    <t xml:space="preserve">Δt_torque (MO) ≤ 10 ms</t>
  </si>
  <si>
    <t xml:space="preserve">Downstream #4</t>
  </si>
  <si>
    <t xml:space="preserve">Catalogue ACS380 &lt; 10 ms [W-05]</t>
  </si>
  <si>
    <t xml:space="preserve">KT-23</t>
  </si>
  <si>
    <t xml:space="preserve">PM vòng tốc độ đầy tải ≥ PM_min</t>
  </si>
  <si>
    <t xml:space="preserve">Downstream #1 (gián tiếp)</t>
  </si>
  <si>
    <t xml:space="preserve">M_p kiểm chứng S ở DV-06</t>
  </si>
  <si>
    <t xml:space="preserve">KT-24</t>
  </si>
  <si>
    <t xml:space="preserve">PM vòng tốc độ không tải ≥ PM_min</t>
  </si>
  <si>
    <t xml:space="preserve">KT-25</t>
  </si>
  <si>
    <t xml:space="preserve">Phân giải encoder Δv ≤ ngưỡng cấm đảo chiều 0.002 m/s</t>
  </si>
  <si>
    <t xml:space="preserve">KT-26</t>
  </si>
  <si>
    <t xml:space="preserve">Tốc độ bò trong [0.030; 0.036] m/s</t>
  </si>
  <si>
    <t xml:space="preserve">KT-27</t>
  </si>
  <si>
    <t xml:space="preserve">M_B ≥ max(k_p·M_c; 1.2·M_hold) (giữ xe &amp; chịu mô-men thử)</t>
  </si>
  <si>
    <t xml:space="preserve">[R1] qua Baseline</t>
  </si>
  <si>
    <t xml:space="preserve">KT-28</t>
  </si>
  <si>
    <t xml:space="preserve">M_B ≤ giới hạn không trượt đầy tải</t>
  </si>
  <si>
    <t xml:space="preserve">KT-29</t>
  </si>
  <si>
    <t xml:space="preserve">M_B ≤ giới hạn không trượt không tải (chỉ khi phanh khẩn lúc đang chạy)</t>
  </si>
  <si>
    <t xml:space="preserve">DFMEA FM-07 — Không áp dụng</t>
  </si>
  <si>
    <t xml:space="preserve">KT-30</t>
  </si>
  <si>
    <t xml:space="preserve">Độ trôi danh nghĩa Δs ≤ 10 mm</t>
  </si>
  <si>
    <t xml:space="preserve">Kiểm chứng S ở DV-02</t>
  </si>
  <si>
    <t xml:space="preserve">Vận tốc định mức: |Δv/v| khi dùng i_thực ≤ 5% (hoặc biến tần bù tần số)</t>
  </si>
  <si>
    <t xml:space="preserve">KT-33</t>
  </si>
  <si>
    <t xml:space="preserve">Hộp số R87: mô-men ra đỉnh (F_c + δ·M_Σ·a_max)·D/2 ≤ M_a,max</t>
  </si>
  <si>
    <t xml:space="preserve">KT-32</t>
  </si>
  <si>
    <t xml:space="preserve">Kết quả mô phỏng DV-01..07</t>
  </si>
  <si>
    <t xml:space="preserve">DVP v1.2</t>
  </si>
  <si>
    <t xml:space="preserve">WORKFLOW §7.5</t>
  </si>
  <si>
    <t xml:space="preserve">KT-34</t>
  </si>
  <si>
    <t xml:space="preserve">Mô hình 2 khối: (m_xc + m_pend)·g·w0 khớp P-20 (sai lệch &lt; 1 N)</t>
  </si>
  <si>
    <t xml:space="preserve">Trọng lượng tải vẫn đè lên bánh</t>
  </si>
  <si>
    <t xml:space="preserve">KT-35</t>
  </si>
  <si>
    <t xml:space="preserve">Cộng hưởng xe–tải ω_r ≪ tần số cắt vòng tốc độ (ω_c/ω_r ≥ 10)</t>
  </si>
  <si>
    <t xml:space="preserve">Vòng tốc độ chỉ thấy J_rig</t>
  </si>
  <si>
    <t xml:space="preserve">KT-36</t>
  </si>
  <si>
    <t xml:space="preserve">κ_2m = J_tune/J_rig nằm trong [κ_đầy; κ_không] ⇒ PM ≥ min(KT-23, KT-24)</t>
  </si>
  <si>
    <t xml:space="preserve">PM của SO nhỏ nhất ở hai biên κ</t>
  </si>
  <si>
    <t xml:space="preserve">KT-37</t>
  </si>
  <si>
    <t xml:space="preserve">Giảm từ thông (lưới danh định): i_sq cần ≤ i_sq,lim</t>
  </si>
  <si>
    <t xml:space="preserve">SRS-PERM-01, IF-04</t>
  </si>
  <si>
    <t xml:space="preserve">Bảo thủ (khối cứng)</t>
  </si>
  <si>
    <t xml:space="preserve">KT-38</t>
  </si>
  <si>
    <t xml:space="preserve">Giảm từ thông (lưới danh định): dòng stator hiệu dụng ≤ 1.5·I_Hd</t>
  </si>
  <si>
    <t xml:space="preserve">DC-link: với mô hình khối cứng (mech_model = 1), chopper tác động khi dừng đầy tải (E_Rh &gt; E_C) ⇒ DV-04 quan sát được</t>
  </si>
  <si>
    <t xml:space="preserve">Phụ thuộc C_dc [C] chưa xác minh; mô hình 2 khối cho E ≈ 0–28 J nên có thể không đóng chopper</t>
  </si>
  <si>
    <t xml:space="preserve">KT-40</t>
  </si>
  <si>
    <t xml:space="preserve">Bước giải T_s ≤ 1e-4 s; Ts_I và Ts_w là bội nguyên của T_s</t>
  </si>
  <si>
    <t xml:space="preserve">DVP v1.2 §3.4</t>
  </si>
  <si>
    <t xml:space="preserve">KT-41</t>
  </si>
  <si>
    <t xml:space="preserve">Kịch bản rút gọn: T_run ≥ T_p (thấy ≥ 1 chu kỳ lắc khi chạy đều)</t>
  </si>
  <si>
    <t xml:space="preserve">SRS-PERM-03 (DV-07)</t>
  </si>
  <si>
    <t xml:space="preserve">KT-42</t>
  </si>
  <si>
    <t xml:space="preserve">Công suất định mức R_h ≥ công suất trung bình chu kỳ (W)</t>
  </si>
  <si>
    <t xml:space="preserve">[W-09]; bổ sung v1.4 (góp ý đồng nghiệp). Xung cho phép [W-09]: 2.6 kW trong 10 s mỗi 120 s ≈ 26 kJ ≫ E_Rh ≈ 59 J (Tính chọn D82)</t>
  </si>
  <si>
    <t xml:space="preserve">KT-43</t>
  </si>
  <si>
    <t xml:space="preserve">Mô-men cản chạy đều đầy tải M_c ≤ M_N (N·m)</t>
  </si>
  <si>
    <t xml:space="preserve">Phát nhiệt khi chạy đều; bổ sung v1.4 (góp ý đồng nghiệp)</t>
  </si>
  <si>
    <t xml:space="preserve">KT-44</t>
  </si>
  <si>
    <t xml:space="preserve">Bộ tham số mạch thay thế tái tạo catalogue (I_N, cosφ_N, M_N, λ_K): sai số lớn nhất ≤ 5%</t>
  </si>
  <si>
    <t xml:space="preserve">SDD §2; Báo cáo chuyên đề §1.6</t>
  </si>
  <si>
    <t xml:space="preserve">Bổ sung v1.5 (28/10/2026)</t>
  </si>
  <si>
    <t xml:space="preserve">Mã SRS-Dxx</t>
  </si>
  <si>
    <t xml:space="preserve">Ràng buộc thiết kế dẫn xuất</t>
  </si>
  <si>
    <t xml:space="preserve">Yêu cầu cha</t>
  </si>
  <si>
    <t xml:space="preserve">Bước tính sinh ra (sheet/khối)</t>
  </si>
  <si>
    <t xml:space="preserve">Phương pháp KC</t>
  </si>
  <si>
    <t xml:space="preserve">DV</t>
  </si>
  <si>
    <t xml:space="preserve">SRS-D01</t>
  </si>
  <si>
    <t xml:space="preserve">Lực kéo cực đại khi tăng tốc đầy tải; giới hạn i_sq chống trượt</t>
  </si>
  <si>
    <t xml:space="preserve">Tính chọn B, J (isqmax)</t>
  </si>
  <si>
    <t xml:space="preserve">DV-05</t>
  </si>
  <si>
    <t xml:space="preserve">SRS-D02</t>
  </si>
  <si>
    <t xml:space="preserve">Bội số mô-men yêu cầu M_max/M_N (≤ λ_K·(342/400)²)</t>
  </si>
  <si>
    <t xml:space="preserve">SRS-PERM-01, SRS-PERM-04</t>
  </si>
  <si>
    <t xml:space="preserve">Tính chọn D</t>
  </si>
  <si>
    <t xml:space="preserve">A / I</t>
  </si>
  <si>
    <t xml:space="preserve">DV-08</t>
  </si>
  <si>
    <t xml:space="preserve">Tỷ số truyền dùng cho quy đổi (i_thực; TBD → i_yc)</t>
  </si>
  <si>
    <t xml:space="preserve">Tính chọn C</t>
  </si>
  <si>
    <t xml:space="preserve">I</t>
  </si>
  <si>
    <t xml:space="preserve">DV-06</t>
  </si>
  <si>
    <t xml:space="preserve">SRS-D04a</t>
  </si>
  <si>
    <t xml:space="preserve">Công suất định mức động cơ chọn</t>
  </si>
  <si>
    <t xml:space="preserve">Catalogue + Tính chọn F</t>
  </si>
  <si>
    <t xml:space="preserve">SRS-D04b</t>
  </si>
  <si>
    <t xml:space="preserve">Dòng heavy-duty biến tần chọn</t>
  </si>
  <si>
    <t xml:space="preserve">Catalogue + Tính chọn G</t>
  </si>
  <si>
    <t xml:space="preserve">SRS-D05a</t>
  </si>
  <si>
    <t xml:space="preserve">Điện trở xả hãm R_h</t>
  </si>
  <si>
    <t xml:space="preserve">Tính chọn H</t>
  </si>
  <si>
    <t xml:space="preserve">A / S</t>
  </si>
  <si>
    <t xml:space="preserve">DV-04</t>
  </si>
  <si>
    <t xml:space="preserve">SRS-D05b</t>
  </si>
  <si>
    <t xml:space="preserve">Công suất hãm đỉnh cần hấp thụ</t>
  </si>
  <si>
    <t xml:space="preserve">SRS-D05c</t>
  </si>
  <si>
    <t xml:space="preserve">Ngưỡng mở chopper (mô hình)</t>
  </si>
  <si>
    <t xml:space="preserve">S</t>
  </si>
  <si>
    <t xml:space="preserve">SRS-D06a</t>
  </si>
  <si>
    <t xml:space="preserve">Gia tốc đặt S-curve a*</t>
  </si>
  <si>
    <t xml:space="preserve">Tính chọn E</t>
  </si>
  <si>
    <t xml:space="preserve">DV-03, DV-07</t>
  </si>
  <si>
    <t xml:space="preserve">SRS-D06b</t>
  </si>
  <si>
    <t xml:space="preserve">Độ giật đặt S-curve ρ*</t>
  </si>
  <si>
    <t xml:space="preserve">SRS-D07a</t>
  </si>
  <si>
    <t xml:space="preserve">Hệ số K_p,ω PI tốc độ (SO tại J_tune)</t>
  </si>
  <si>
    <t xml:space="preserve">SRS-PERM-02 (Downstream #1)</t>
  </si>
  <si>
    <t xml:space="preserve">Tính chọn L</t>
  </si>
  <si>
    <t xml:space="preserve">SRS-D07b</t>
  </si>
  <si>
    <t xml:space="preserve">Hằng số T_i,ω PI tốc độ</t>
  </si>
  <si>
    <t xml:space="preserve">SRS-D08</t>
  </si>
  <si>
    <t xml:space="preserve">Sai lệch xác lập e_xl (khâu I ⇒ 0) — ngưỡng</t>
  </si>
  <si>
    <t xml:space="preserve">SRS-PERM-02 (Downstream #2)</t>
  </si>
  <si>
    <t xml:space="preserve">SDD §4</t>
  </si>
  <si>
    <t xml:space="preserve">SRS-D09a</t>
  </si>
  <si>
    <t xml:space="preserve">Hệ số K_p,I PI dòng (MO)</t>
  </si>
  <si>
    <t xml:space="preserve">SRS-FUNC-01 (Downstream #4)</t>
  </si>
  <si>
    <t xml:space="preserve">Tính chọn K</t>
  </si>
  <si>
    <t xml:space="preserve">DV-01</t>
  </si>
  <si>
    <t xml:space="preserve">SRS-D09b</t>
  </si>
  <si>
    <t xml:space="preserve">Hằng số T_i,I PI dòng</t>
  </si>
  <si>
    <t xml:space="preserve">Mô-men giữ thử (phanh còn kẹp) trước khi nhả phanh (100% M_N, trong [100; 150]%)</t>
  </si>
  <si>
    <t xml:space="preserve">SRS-FUNC-02 (Downstream #5)</t>
  </si>
  <si>
    <t xml:space="preserve">SDD §5 (FSM)</t>
  </si>
  <si>
    <t xml:space="preserve">DV-02</t>
  </si>
  <si>
    <t xml:space="preserve">SRS-D11a</t>
  </si>
  <si>
    <t xml:space="preserve">Ngưỡng đóng phanh |v|</t>
  </si>
  <si>
    <t xml:space="preserve">SDD §5</t>
  </si>
  <si>
    <t xml:space="preserve">SRS-D11b</t>
  </si>
  <si>
    <t xml:space="preserve">Ngưỡng cấm đảo chiều |v|</t>
  </si>
  <si>
    <t xml:space="preserve">SRS-D12</t>
  </si>
  <si>
    <t xml:space="preserve">Tốc độ bò v_creep</t>
  </si>
  <si>
    <t xml:space="preserve">SRS-FUNC-03 (Downstream #8)</t>
  </si>
  <si>
    <t xml:space="preserve">Tính chọn N</t>
  </si>
  <si>
    <t xml:space="preserve">SRS-D13</t>
  </si>
  <si>
    <t xml:space="preserve">Mô-men phanh đặt M_B (cửa sổ [max(k_p M_c; 1.2 M_hold); M_B,max])</t>
  </si>
  <si>
    <t xml:space="preserve">Tính chọn I</t>
  </si>
  <si>
    <t xml:space="preserve">SRS-D14</t>
  </si>
  <si>
    <t xml:space="preserve">Tỷ số từ thông ψ_r*/ψ_rN tại v_max, lưới danh định (giảm từ thông theo giới hạn điện áp nghịch lưu)</t>
  </si>
  <si>
    <t xml:space="preserve">Tính chọn P</t>
  </si>
  <si>
    <t xml:space="preserve">SRS-D15</t>
  </si>
  <si>
    <t xml:space="preserve">Tốc độ ĐC bắt đầu giảm từ thông ω_fw (lưới danh định; mô phỏng tính trực tuyến theo U_dc đo)</t>
  </si>
  <si>
    <t xml:space="preserve">SRS-D05d</t>
  </si>
  <si>
    <t xml:space="preserve">Công suất định mức điện trở hãm P_Rh (40 °C) ≥ công suất trung bình chu kỳ; năng lượng xung cho phép [W-09] ≫ E_Rh mỗi lần dừng</t>
  </si>
  <si>
    <t xml:space="preserve">GiaDinh_K3 D60; Tính chọn H (D82, D83); KT-42</t>
  </si>
  <si>
    <t xml:space="preserve">I / A</t>
  </si>
  <si>
    <t xml:space="preserve">Nhóm</t>
  </si>
  <si>
    <t xml:space="preserve">Tên biến (ICD v1.2 §4.1)</t>
  </si>
  <si>
    <t xml:space="preserve">Ô nguồn</t>
  </si>
  <si>
    <t xml:space="preserve">% Dòng lệnh MATLAB (v1.4) — chép G2:G76 vào init_params.m</t>
  </si>
  <si>
    <t xml:space="preserve">Cơ</t>
  </si>
  <si>
    <t xml:space="preserve">M_full</t>
  </si>
  <si>
    <t xml:space="preserve">Params!C5</t>
  </si>
  <si>
    <t xml:space="preserve">Chỉ dùng cho tính lực cản F_c</t>
  </si>
  <si>
    <t xml:space="preserve">M_empty</t>
  </si>
  <si>
    <t xml:space="preserve">Params!C6</t>
  </si>
  <si>
    <t xml:space="preserve">Chỉ dùng cho tính lực cản F_c,0</t>
  </si>
  <si>
    <t xml:space="preserve">m_trolley</t>
  </si>
  <si>
    <t xml:space="preserve">Tính chọn O</t>
  </si>
  <si>
    <t xml:space="preserve">Khối lượng cứng của mô hình 2 khối</t>
  </si>
  <si>
    <t xml:space="preserve">m_pend_full</t>
  </si>
  <si>
    <t xml:space="preserve">m_pend_empty</t>
  </si>
  <si>
    <t xml:space="preserve">Params!C13</t>
  </si>
  <si>
    <t xml:space="preserve">w0</t>
  </si>
  <si>
    <t xml:space="preserve">Params!C14</t>
  </si>
  <si>
    <t xml:space="preserve">phi</t>
  </si>
  <si>
    <t xml:space="preserve">Params!C15</t>
  </si>
  <si>
    <t xml:space="preserve">eta</t>
  </si>
  <si>
    <t xml:space="preserve">Params!C16</t>
  </si>
  <si>
    <t xml:space="preserve">Params!C19</t>
  </si>
  <si>
    <t xml:space="preserve">Params!C7</t>
  </si>
  <si>
    <t xml:space="preserve">i_gear</t>
  </si>
  <si>
    <t xml:space="preserve">SEW R87</t>
  </si>
  <si>
    <t xml:space="preserve">GiaDinh_K3</t>
  </si>
  <si>
    <t xml:space="preserve">Chỉ cho tính khối cứng (Excel)</t>
  </si>
  <si>
    <t xml:space="preserve">(δ−1)·M_Σ·k²</t>
  </si>
  <si>
    <t xml:space="preserve">Quán tính cứng trên trục ĐC</t>
  </si>
  <si>
    <t xml:space="preserve">0 = 2 khối lượng; 1 = khối cứng (DV-04 bảo thủ)</t>
  </si>
  <si>
    <t xml:space="preserve">Tính chọn J</t>
  </si>
  <si>
    <t xml:space="preserve">Lls</t>
  </si>
  <si>
    <t xml:space="preserve">Llr</t>
  </si>
  <si>
    <t xml:space="preserve">J_Bmot</t>
  </si>
  <si>
    <t xml:space="preserve">Catalogue</t>
  </si>
  <si>
    <t xml:space="preserve">Rotor kèm phanh</t>
  </si>
  <si>
    <t xml:space="preserve">psi_rN</t>
  </si>
  <si>
    <t xml:space="preserve">f_N</t>
  </si>
  <si>
    <t xml:space="preserve">U_grid</t>
  </si>
  <si>
    <t xml:space="preserve">Params!C20</t>
  </si>
  <si>
    <t xml:space="preserve">Chạy thêm U_grid·(1 ± dU_grid)</t>
  </si>
  <si>
    <t xml:space="preserve">dU_grid</t>
  </si>
  <si>
    <t xml:space="preserve">Chỉ để tính Ts_I (mô hình trung bình)</t>
  </si>
  <si>
    <t xml:space="preserve">|u_s| ≤ k_u·U_dc/√3 (biên độ pha)</t>
  </si>
  <si>
    <t xml:space="preserve">Chưa xác minh</t>
  </si>
  <si>
    <t xml:space="preserve">Tính chọn Q</t>
  </si>
  <si>
    <t xml:space="preserve">Udc_chop_on</t>
  </si>
  <si>
    <t xml:space="preserve">Udc_chop_off</t>
  </si>
  <si>
    <t xml:space="preserve">Udc_max</t>
  </si>
  <si>
    <t xml:space="preserve">Udc_trip</t>
  </si>
  <si>
    <t xml:space="preserve">Rh</t>
  </si>
  <si>
    <t xml:space="preserve">Từ thông</t>
  </si>
  <si>
    <t xml:space="preserve">w_fw</t>
  </si>
  <si>
    <t xml:space="preserve">Lưới danh định (tham khảo; mô phỏng tính trực tuyến)</t>
  </si>
  <si>
    <t xml:space="preserve">S-curve</t>
  </si>
  <si>
    <t xml:space="preserve">Params!C10</t>
  </si>
  <si>
    <t xml:space="preserve">PI</t>
  </si>
  <si>
    <t xml:space="preserve">Kp_i</t>
  </si>
  <si>
    <t xml:space="preserve">Ti_i</t>
  </si>
  <si>
    <t xml:space="preserve">Kp_w</t>
  </si>
  <si>
    <t xml:space="preserve">Ti_w</t>
  </si>
  <si>
    <t xml:space="preserve">isq_lim</t>
  </si>
  <si>
    <t xml:space="preserve">FSM</t>
  </si>
  <si>
    <t xml:space="preserve">Đo / mô phỏng</t>
  </si>
  <si>
    <t xml:space="preserve">Ts_I</t>
  </si>
  <si>
    <t xml:space="preserve">1/f_sw</t>
  </si>
  <si>
    <t xml:space="preserve">Lọc đo tốc độ</t>
  </si>
  <si>
    <t xml:space="preserve">0 = lý tưởng + lọc</t>
  </si>
  <si>
    <t xml:space="preserve">Kịch bản</t>
  </si>
  <si>
    <t xml:space="preserve">Tính chọn R</t>
  </si>
  <si>
    <t xml:space="preserve">TS-01: dỡ tải</t>
  </si>
  <si>
    <t xml:space="preserve">TS-01</t>
  </si>
  <si>
    <t xml:space="preserve">TS-02: nhấn REV khi đang chạy</t>
  </si>
  <si>
    <t xml:space="preserve">TS-02</t>
  </si>
  <si>
    <t xml:space="preserve">WC-0 Danh định</t>
  </si>
  <si>
    <t xml:space="preserve">WC-1 Lưới −10%</t>
  </si>
  <si>
    <t xml:space="preserve">m_xc (kg)</t>
  </si>
  <si>
    <t xml:space="preserve">Biến thiên P-03 [C]</t>
  </si>
  <si>
    <t xml:space="preserve">w_0 (-)</t>
  </si>
  <si>
    <t xml:space="preserve">P-13 [C]</t>
  </si>
  <si>
    <t xml:space="preserve">η (-)</t>
  </si>
  <si>
    <t xml:space="preserve">Biến thiên P-15 [C]</t>
  </si>
  <si>
    <t xml:space="preserve">ΔU lưới (-)</t>
  </si>
  <si>
    <t xml:space="preserve">P-19: ±10%</t>
  </si>
  <si>
    <t xml:space="preserve">φ (-)</t>
  </si>
  <si>
    <t xml:space="preserve">Độ nhạy P-14 [C]</t>
  </si>
  <si>
    <t xml:space="preserve">M_Σ (kg)</t>
  </si>
  <si>
    <t xml:space="preserve">Q + m_nh + m_xc</t>
  </si>
  <si>
    <t xml:space="preserve">F_c (N)</t>
  </si>
  <si>
    <t xml:space="preserve">M_max (N·m) tại a_max</t>
  </si>
  <si>
    <t xml:space="preserve">Như 'Tính chọn' D</t>
  </si>
  <si>
    <t xml:space="preserve">λ khả dụng</t>
  </si>
  <si>
    <t xml:space="preserve">λ_K·(U/U_N)², U_N = 400 V</t>
  </si>
  <si>
    <t xml:space="preserve">Biên quá tải</t>
  </si>
  <si>
    <t xml:space="preserve">Phải ≥ 1</t>
  </si>
  <si>
    <t xml:space="preserve">k_bám tại a_max</t>
  </si>
  <si>
    <t xml:space="preserve">Tham khảo</t>
  </si>
  <si>
    <t xml:space="preserve">k_bám tại a* (quỹ đạo thật)</t>
  </si>
  <si>
    <t xml:space="preserve">Phải ≥ 1.20</t>
  </si>
  <si>
    <t xml:space="preserve">P_dc,hãm (W)</t>
  </si>
  <si>
    <t xml:space="preserve">Phải ≤ P_BRmax</t>
  </si>
  <si>
    <t xml:space="preserve">U_dc0 không tải (V)</t>
  </si>
  <si>
    <t xml:space="preserve">Phải &lt; U_chop − 20 V</t>
  </si>
  <si>
    <t xml:space="preserve">Kết luận</t>
  </si>
  <si>
    <t xml:space="preserve">Tổng hợp (k_dt tính ở lưới danh định — KT-07; CR-13, CR-14)</t>
  </si>
  <si>
    <t xml:space="preserve">QUỸ ĐẠO S-CURVE VÀ BIỂU ĐỒ PHỤ TẢI — MỘT HÀNH TRÌNH (đoạn chạy đều rút gọn)</t>
  </si>
  <si>
    <t xml:space="preserve">Mô hình khối cứng như khối D/F (M_Σ gắn cứng): mô phỏng 2 khối lượng (khối O) cho mô-men đỉnh nhỏ hơn ≈ 0.48 lần — không phải lỗi. Góc I/III chia η; góc II/IV nhân η nên M nhỏ nhất khác D63 (D63 dùng quy ước kéo cho tính nhiệt).</t>
  </si>
  <si>
    <t xml:space="preserve">T_đều hiển thị</t>
  </si>
  <si>
    <t xml:space="preserve">s — tham số hiển thị [C]</t>
  </si>
  <si>
    <t xml:space="preserve">t₁ = T_j</t>
  </si>
  <si>
    <t xml:space="preserve">v lớn nhất (m/s)</t>
  </si>
  <si>
    <t xml:space="preserve">Bước thời gian</t>
  </si>
  <si>
    <t xml:space="preserve">t₂ = T_j + T_a</t>
  </si>
  <si>
    <t xml:space="preserve">|a| lớn nhất (m/s²)</t>
  </si>
  <si>
    <t xml:space="preserve">t₃ = t_acc</t>
  </si>
  <si>
    <t xml:space="preserve">|ρ| lớn nhất (m/s³)</t>
  </si>
  <si>
    <t xml:space="preserve">t₄ = t₃ + T_đều</t>
  </si>
  <si>
    <t xml:space="preserve">M lớn nhất đầy tải (N·m)</t>
  </si>
  <si>
    <t xml:space="preserve">t₅ = t₄ + T_j</t>
  </si>
  <si>
    <t xml:space="preserve">M nhỏ nhất đầy tải (N·m)</t>
  </si>
  <si>
    <t xml:space="preserve">t₆ = t₅ + T_a</t>
  </si>
  <si>
    <t xml:space="preserve">Quãng đường (m)</t>
  </si>
  <si>
    <t xml:space="preserve">t₇ = t₄ + t_acc</t>
  </si>
  <si>
    <t xml:space="preserve">t (s)</t>
  </si>
  <si>
    <t xml:space="preserve">ρ (m/s³)</t>
  </si>
  <si>
    <t xml:space="preserve">a (m/s²)</t>
  </si>
  <si>
    <t xml:space="preserve">v (m/s)</t>
  </si>
  <si>
    <t xml:space="preserve">s (m)</t>
  </si>
  <si>
    <t xml:space="preserve">M đầy tải (N·m)</t>
  </si>
  <si>
    <t xml:space="preserve">M không tải (N·m)</t>
  </si>
  <si>
    <t xml:space="preserve">P đầy tải (W)</t>
  </si>
  <si>
    <t xml:space="preserve">14 công thức (Bài giảng)</t>
  </si>
  <si>
    <t xml:space="preserve">Sơ đồ vòng tròn (v1.4)</t>
  </si>
  <si>
    <t xml:space="preserve">Hiệu chỉnh [B]</t>
  </si>
  <si>
    <t xml:space="preserve">A. Thông số nhãn máy (động cơ đang chọn) — [W-01]</t>
  </si>
  <si>
    <t xml:space="preserve">Điện áp pha (đấu Y)</t>
  </si>
  <si>
    <t xml:space="preserve">U_ph</t>
  </si>
  <si>
    <t xml:space="preserve">Iph</t>
  </si>
  <si>
    <t xml:space="preserve">Dòng pha định mức</t>
  </si>
  <si>
    <t xml:space="preserve">I_ph</t>
  </si>
  <si>
    <t xml:space="preserve">fN</t>
  </si>
  <si>
    <t xml:space="preserve">Tần số định mức</t>
  </si>
  <si>
    <t xml:space="preserve">f_n</t>
  </si>
  <si>
    <t xml:space="preserve">nN</t>
  </si>
  <si>
    <t xml:space="preserve">N_n</t>
  </si>
  <si>
    <t xml:space="preserve">cosφ</t>
  </si>
  <si>
    <t xml:space="preserve">MN</t>
  </si>
  <si>
    <t xml:space="preserve">λ_K</t>
  </si>
  <si>
    <t xml:space="preserve">B. 14 công thức ước lượng — Class_3_AC_Motor_Drive slide 9–11; Báo cáo chuyên đề §1.4</t>
  </si>
  <si>
    <t xml:space="preserve">CT1</t>
  </si>
  <si>
    <t xml:space="preserve">Công suất điện đầu vào</t>
  </si>
  <si>
    <t xml:space="preserve">P_e,n</t>
  </si>
  <si>
    <t xml:space="preserve">3·U_ph·I_ph·cosφ</t>
  </si>
  <si>
    <t xml:space="preserve">CT2</t>
  </si>
  <si>
    <t xml:space="preserve">Tổng trở pha</t>
  </si>
  <si>
    <t xml:space="preserve">Z_ph</t>
  </si>
  <si>
    <t xml:space="preserve">U_ph/I_ph</t>
  </si>
  <si>
    <t xml:space="preserve">CT3</t>
  </si>
  <si>
    <t xml:space="preserve">s_n</t>
  </si>
  <si>
    <t xml:space="preserve">(N_s − N_n)/N_s</t>
  </si>
  <si>
    <t xml:space="preserve">CT4</t>
  </si>
  <si>
    <t xml:space="preserve">Điện trở rotor</t>
  </si>
  <si>
    <t xml:space="preserve">R_r</t>
  </si>
  <si>
    <t xml:space="preserve">s_n·Z_ph</t>
  </si>
  <si>
    <t xml:space="preserve">CT5a</t>
  </si>
  <si>
    <t xml:space="preserve">Dòng trục d định mức</t>
  </si>
  <si>
    <t xml:space="preserve">I_sd,n</t>
  </si>
  <si>
    <t xml:space="preserve">√2·I_ph·√(1−cosφ)</t>
  </si>
  <si>
    <t xml:space="preserve">CT5b</t>
  </si>
  <si>
    <t xml:space="preserve">Dòng trục q định mức</t>
  </si>
  <si>
    <t xml:space="preserve">I_sq,n</t>
  </si>
  <si>
    <t xml:space="preserve">√(2I_ph² − I_sd²)</t>
  </si>
  <si>
    <t xml:space="preserve">CT6</t>
  </si>
  <si>
    <t xml:space="preserve">Tốc độ trượt góc điện</t>
  </si>
  <si>
    <t xml:space="preserve">ω_sl,n</t>
  </si>
  <si>
    <t xml:space="preserve">CT7</t>
  </si>
  <si>
    <t xml:space="preserve">I_sq/(ω_sl·I_sd)</t>
  </si>
  <si>
    <t xml:space="preserve">CT8</t>
  </si>
  <si>
    <t xml:space="preserve">X_σ</t>
  </si>
  <si>
    <t xml:space="preserve">CT9</t>
  </si>
  <si>
    <t xml:space="preserve">Điện kháng stator</t>
  </si>
  <si>
    <t xml:space="preserve">X_s</t>
  </si>
  <si>
    <t xml:space="preserve">CT10</t>
  </si>
  <si>
    <t xml:space="preserve">Giả thiết R_s ≈ R_r; không dùng η_N</t>
  </si>
  <si>
    <t xml:space="preserve">CT11</t>
  </si>
  <si>
    <t xml:space="preserve">X_σ/X_s</t>
  </si>
  <si>
    <t xml:space="preserve">CT12</t>
  </si>
  <si>
    <t xml:space="preserve">Hằng số thời gian stator</t>
  </si>
  <si>
    <t xml:space="preserve">CT13a</t>
  </si>
  <si>
    <t xml:space="preserve">X_s/ω_s</t>
  </si>
  <si>
    <t xml:space="preserve">CT13</t>
  </si>
  <si>
    <t xml:space="preserve">T_r·R_r (khác X_s/ω_s ở dòng 25)</t>
  </si>
  <si>
    <t xml:space="preserve">CT14</t>
  </si>
  <si>
    <t xml:space="preserve">C. So sánh ba bộ tham số mạch thay thế hình T</t>
  </si>
  <si>
    <t xml:space="preserve">Cột F: hiệu chỉnh theo I_N, cosφ_N, M_N, λ_K (R_s giữ theo cân bằng tổn hao)</t>
  </si>
  <si>
    <t xml:space="preserve">D. Kiểm chứng với catalogue tại U_N, f_N, s_n (mạch T, số phức)</t>
  </si>
  <si>
    <t xml:space="preserve">Xls</t>
  </si>
  <si>
    <t xml:space="preserve">Điện kháng tản stator</t>
  </si>
  <si>
    <t xml:space="preserve">X_σs</t>
  </si>
  <si>
    <t xml:space="preserve">Xlr</t>
  </si>
  <si>
    <t xml:space="preserve">Điện kháng tản rotor</t>
  </si>
  <si>
    <t xml:space="preserve">X_σr</t>
  </si>
  <si>
    <t xml:space="preserve">R_r/s + jX_σr</t>
  </si>
  <si>
    <t xml:space="preserve">Ω (phức)</t>
  </si>
  <si>
    <t xml:space="preserve">Zp</t>
  </si>
  <si>
    <t xml:space="preserve">Tổng trở song song nhánh từ hóa ∥ rotor</t>
  </si>
  <si>
    <t xml:space="preserve">Z_p</t>
  </si>
  <si>
    <t xml:space="preserve">Z</t>
  </si>
  <si>
    <t xml:space="preserve">Tổng trở vào</t>
  </si>
  <si>
    <t xml:space="preserve">Is</t>
  </si>
  <si>
    <t xml:space="preserve">Dòng stator</t>
  </si>
  <si>
    <t xml:space="preserve">I_s</t>
  </si>
  <si>
    <t xml:space="preserve">A (phức)</t>
  </si>
  <si>
    <t xml:space="preserve">E</t>
  </si>
  <si>
    <t xml:space="preserve">Sđđ khe hở</t>
  </si>
  <si>
    <t xml:space="preserve">V (phức)</t>
  </si>
  <si>
    <t xml:space="preserve">Irb</t>
  </si>
  <si>
    <t xml:space="preserve">Dòng nhánh rotor</t>
  </si>
  <si>
    <t xml:space="preserve">Im</t>
  </si>
  <si>
    <t xml:space="preserve">Dòng từ hóa</t>
  </si>
  <si>
    <t xml:space="preserve">I_m</t>
  </si>
  <si>
    <t xml:space="preserve">I_mod</t>
  </si>
  <si>
    <t xml:space="preserve">Dòng định mức theo mô hình</t>
  </si>
  <si>
    <t xml:space="preserve">I_N,mh</t>
  </si>
  <si>
    <t xml:space="preserve">cos_mod</t>
  </si>
  <si>
    <t xml:space="preserve">cosφ theo mô hình</t>
  </si>
  <si>
    <t xml:space="preserve">cosφ_mh</t>
  </si>
  <si>
    <t xml:space="preserve">M_mod</t>
  </si>
  <si>
    <t xml:space="preserve">Mô-men tại s_n theo mô hình</t>
  </si>
  <si>
    <t xml:space="preserve">M_mh</t>
  </si>
  <si>
    <t xml:space="preserve">Zth</t>
  </si>
  <si>
    <t xml:space="preserve">Tổng trở Thevenin phía stator</t>
  </si>
  <si>
    <t xml:space="preserve">Z_th</t>
  </si>
  <si>
    <t xml:space="preserve">Uth</t>
  </si>
  <si>
    <t xml:space="preserve">Điện áp Thevenin</t>
  </si>
  <si>
    <t xml:space="preserve">U_th</t>
  </si>
  <si>
    <t xml:space="preserve">lam_mod</t>
  </si>
  <si>
    <t xml:space="preserve">Bội số mô-men tới hạn theo mô hình</t>
  </si>
  <si>
    <t xml:space="preserve">λ_K,mh</t>
  </si>
  <si>
    <t xml:space="preserve">T_K = 3U_th²/(2ω_0(R_th + √(R_th² + (X_th + X_σr)²)))</t>
  </si>
  <si>
    <t xml:space="preserve">eI</t>
  </si>
  <si>
    <t xml:space="preserve">Sai số I_N</t>
  </si>
  <si>
    <t xml:space="preserve">ε_I</t>
  </si>
  <si>
    <t xml:space="preserve">ecos</t>
  </si>
  <si>
    <t xml:space="preserve">Sai số cosφ_N</t>
  </si>
  <si>
    <t xml:space="preserve">ε_cos</t>
  </si>
  <si>
    <t xml:space="preserve">eM</t>
  </si>
  <si>
    <t xml:space="preserve">Sai số M_N</t>
  </si>
  <si>
    <t xml:space="preserve">ε_M</t>
  </si>
  <si>
    <t xml:space="preserve">elam</t>
  </si>
  <si>
    <t xml:space="preserve">Sai số λ_K</t>
  </si>
  <si>
    <t xml:space="preserve">ε_λ</t>
  </si>
  <si>
    <t xml:space="preserve">emax</t>
  </si>
  <si>
    <t xml:space="preserve">Sai số lớn nhất (4 chỉ tiêu)</t>
  </si>
  <si>
    <t xml:space="preserve">ε_max</t>
  </si>
  <si>
    <t xml:space="preserve">Ngưỡng chấp nhận 0.05 (KT-44)</t>
  </si>
  <si>
    <t xml:space="preserve">Từ thông rotor định mức (biên độ) theo mô hình</t>
  </si>
  <si>
    <t xml:space="preserve">ψ_r,mh</t>
  </si>
  <si>
    <t xml:space="preserve">Dòng từ hóa định mức dùng cho FOC</t>
  </si>
  <si>
    <t xml:space="preserve">Cột D, F: ψ_r,mh/L_m; cột E: √2·I_0 như v1.4</t>
  </si>
  <si>
    <t xml:space="preserve">E. Bộ tham số dùng cho thiết kế FOC và mô phỏng</t>
  </si>
  <si>
    <t xml:space="preserve">sel_mot</t>
  </si>
  <si>
    <t xml:space="preserve">Bộ tham số chọn (1 = 14 công thức; 2 = vòng tròn; 3 = hiệu chỉnh)</t>
  </si>
  <si>
    <t xml:space="preserve">Người dùng duyệt 28/10/2026: dùng bộ hiệu chỉnh (Báo cáo chuyên đề §1.6)</t>
  </si>
  <si>
    <t xml:space="preserve">Rs_sel</t>
  </si>
  <si>
    <t xml:space="preserve">→ 'Tính chọn' khối J</t>
  </si>
  <si>
    <t xml:space="preserve">Rr_sel</t>
  </si>
  <si>
    <t xml:space="preserve">Lls_sel</t>
  </si>
  <si>
    <t xml:space="preserve">Llr_sel</t>
  </si>
  <si>
    <t xml:space="preserve">Lm_sel</t>
  </si>
  <si>
    <t xml:space="preserve">isdN_sel</t>
  </si>
  <si>
    <t xml:space="preserve">Dòng từ hóa định mức</t>
  </si>
  <si>
    <t xml:space="preserve">emax_sel</t>
  </si>
  <si>
    <t xml:space="preserve">Sai số lớn nhất của bộ chọn</t>
  </si>
  <si>
    <t xml:space="preserve">→ Kiểm tra KT-44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</si>
</sst>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###"/>
    <numFmt numFmtId="166" formatCode="#,##0.000"/>
    <numFmt numFmtId="167" formatCode="0.000"/>
    <numFmt numFmtId="168" formatCode="0.0000"/>
    <numFmt numFmtId="169" formatCode="0.00E+00"/>
    <numFmt numFmtId="170" formatCode="0.0000E+00"/>
    <numFmt numFmtId="171" formatCode="0.00"/>
    <numFmt numFmtId="172" formatCode="0.0"/>
  </numFmts>
  <fonts count="14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9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9" fillId="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9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5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10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3C992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vi-V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vi-VN" sz="1800" spc="-1" strike="noStrike">
                <a:solidFill>
                  <a:srgbClr val="000000"/>
                </a:solidFill>
                <a:latin typeface="Calibri"/>
              </a:rPr>
              <a:t>Biểu đồ phụ tải trên trục động cơ (mô hình khối cứng)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Quy_dao!$F$13</c:f>
              <c:strCache>
                <c:ptCount val="1"/>
                <c:pt idx="0">
                  <c:v>M đầy tải (N·m)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Quy_dao!$A$14:$A$254</c:f>
              <c:numCache>
                <c:formatCode>0.00</c:formatCode>
                <c:ptCount val="2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</c:numCache>
            </c:numRef>
          </c:xVal>
          <c:yVal>
            <c:numRef>
              <c:f>Quy_dao!$F$14:$F$254</c:f>
              <c:numCache>
                <c:formatCode>0.000</c:formatCode>
                <c:ptCount val="241"/>
                <c:pt idx="0">
                  <c:v>1.87402954808807</c:v>
                </c:pt>
                <c:pt idx="1">
                  <c:v>2.19626117500688</c:v>
                </c:pt>
                <c:pt idx="2">
                  <c:v>2.51849280192569</c:v>
                </c:pt>
                <c:pt idx="3">
                  <c:v>2.8407244288445</c:v>
                </c:pt>
                <c:pt idx="4">
                  <c:v>3.16295605576331</c:v>
                </c:pt>
                <c:pt idx="5">
                  <c:v>3.48518768268212</c:v>
                </c:pt>
                <c:pt idx="6">
                  <c:v>3.80741930960093</c:v>
                </c:pt>
                <c:pt idx="7">
                  <c:v>4.12965093651974</c:v>
                </c:pt>
                <c:pt idx="8">
                  <c:v>4.45188256343855</c:v>
                </c:pt>
                <c:pt idx="9">
                  <c:v>4.77411419035736</c:v>
                </c:pt>
                <c:pt idx="10">
                  <c:v>5.09634581727617</c:v>
                </c:pt>
                <c:pt idx="11">
                  <c:v>5.41857744419498</c:v>
                </c:pt>
                <c:pt idx="12">
                  <c:v>5.74080907111379</c:v>
                </c:pt>
                <c:pt idx="13">
                  <c:v>6.0630406980326</c:v>
                </c:pt>
                <c:pt idx="14">
                  <c:v>6.38527232495141</c:v>
                </c:pt>
                <c:pt idx="15">
                  <c:v>6.70750395187022</c:v>
                </c:pt>
                <c:pt idx="16">
                  <c:v>7.02973557878903</c:v>
                </c:pt>
                <c:pt idx="17">
                  <c:v>7.35196720570784</c:v>
                </c:pt>
                <c:pt idx="18">
                  <c:v>7.67419883262665</c:v>
                </c:pt>
                <c:pt idx="19">
                  <c:v>7.99643045954546</c:v>
                </c:pt>
                <c:pt idx="20">
                  <c:v>8.31866208646427</c:v>
                </c:pt>
                <c:pt idx="21">
                  <c:v>8.64089371338308</c:v>
                </c:pt>
                <c:pt idx="22">
                  <c:v>8.96312534030189</c:v>
                </c:pt>
                <c:pt idx="23">
                  <c:v>9.2853569672207</c:v>
                </c:pt>
                <c:pt idx="24">
                  <c:v>9.60758859413951</c:v>
                </c:pt>
                <c:pt idx="25">
                  <c:v>9.92982022105833</c:v>
                </c:pt>
                <c:pt idx="26">
                  <c:v>9.92982022105833</c:v>
                </c:pt>
                <c:pt idx="27">
                  <c:v>9.82240967875205</c:v>
                </c:pt>
                <c:pt idx="28">
                  <c:v>9.50017805183324</c:v>
                </c:pt>
                <c:pt idx="29">
                  <c:v>9.17794642491443</c:v>
                </c:pt>
                <c:pt idx="30">
                  <c:v>8.85571479799562</c:v>
                </c:pt>
                <c:pt idx="31">
                  <c:v>8.53348317107681</c:v>
                </c:pt>
                <c:pt idx="32">
                  <c:v>8.211251544158</c:v>
                </c:pt>
                <c:pt idx="33">
                  <c:v>7.88901991723919</c:v>
                </c:pt>
                <c:pt idx="34">
                  <c:v>7.56678829032038</c:v>
                </c:pt>
                <c:pt idx="35">
                  <c:v>7.24455666340157</c:v>
                </c:pt>
                <c:pt idx="36">
                  <c:v>6.92232503648276</c:v>
                </c:pt>
                <c:pt idx="37">
                  <c:v>6.60009340956395</c:v>
                </c:pt>
                <c:pt idx="38">
                  <c:v>6.27786178264514</c:v>
                </c:pt>
                <c:pt idx="39">
                  <c:v>5.95563015572633</c:v>
                </c:pt>
                <c:pt idx="40">
                  <c:v>5.63339852880752</c:v>
                </c:pt>
                <c:pt idx="41">
                  <c:v>5.31116690188871</c:v>
                </c:pt>
                <c:pt idx="42">
                  <c:v>4.9889352749699</c:v>
                </c:pt>
                <c:pt idx="43">
                  <c:v>4.66670364805109</c:v>
                </c:pt>
                <c:pt idx="44">
                  <c:v>4.34447202113228</c:v>
                </c:pt>
                <c:pt idx="45">
                  <c:v>4.02224039421347</c:v>
                </c:pt>
                <c:pt idx="46">
                  <c:v>3.70000876729466</c:v>
                </c:pt>
                <c:pt idx="47">
                  <c:v>3.37777714037585</c:v>
                </c:pt>
                <c:pt idx="48">
                  <c:v>3.05554551345704</c:v>
                </c:pt>
                <c:pt idx="49">
                  <c:v>2.73331388653823</c:v>
                </c:pt>
                <c:pt idx="50">
                  <c:v>2.41108225961942</c:v>
                </c:pt>
                <c:pt idx="51">
                  <c:v>2.0888506327006</c:v>
                </c:pt>
                <c:pt idx="52">
                  <c:v>1.87402954808807</c:v>
                </c:pt>
                <c:pt idx="53">
                  <c:v>1.87402954808807</c:v>
                </c:pt>
                <c:pt idx="54">
                  <c:v>1.87402954808807</c:v>
                </c:pt>
                <c:pt idx="55">
                  <c:v>1.87402954808807</c:v>
                </c:pt>
                <c:pt idx="56">
                  <c:v>1.87402954808807</c:v>
                </c:pt>
                <c:pt idx="57">
                  <c:v>1.87402954808807</c:v>
                </c:pt>
                <c:pt idx="58">
                  <c:v>1.87402954808807</c:v>
                </c:pt>
                <c:pt idx="59">
                  <c:v>1.87402954808807</c:v>
                </c:pt>
                <c:pt idx="60">
                  <c:v>1.87402954808807</c:v>
                </c:pt>
                <c:pt idx="61">
                  <c:v>1.87402954808807</c:v>
                </c:pt>
                <c:pt idx="62">
                  <c:v>1.87402954808807</c:v>
                </c:pt>
                <c:pt idx="63">
                  <c:v>1.87402954808807</c:v>
                </c:pt>
                <c:pt idx="64">
                  <c:v>1.87402954808807</c:v>
                </c:pt>
                <c:pt idx="65">
                  <c:v>1.87402954808807</c:v>
                </c:pt>
                <c:pt idx="66">
                  <c:v>1.87402954808807</c:v>
                </c:pt>
                <c:pt idx="67">
                  <c:v>1.87402954808807</c:v>
                </c:pt>
                <c:pt idx="68">
                  <c:v>1.87402954808807</c:v>
                </c:pt>
                <c:pt idx="69">
                  <c:v>1.87402954808807</c:v>
                </c:pt>
                <c:pt idx="70">
                  <c:v>1.87402954808807</c:v>
                </c:pt>
                <c:pt idx="71">
                  <c:v>1.87402954808807</c:v>
                </c:pt>
                <c:pt idx="72">
                  <c:v>1.87402954808807</c:v>
                </c:pt>
                <c:pt idx="73">
                  <c:v>1.87402954808807</c:v>
                </c:pt>
                <c:pt idx="74">
                  <c:v>1.87402954808807</c:v>
                </c:pt>
                <c:pt idx="75">
                  <c:v>1.87402954808807</c:v>
                </c:pt>
                <c:pt idx="76">
                  <c:v>1.87402954808807</c:v>
                </c:pt>
                <c:pt idx="77">
                  <c:v>1.87402954808807</c:v>
                </c:pt>
                <c:pt idx="78">
                  <c:v>1.87402954808807</c:v>
                </c:pt>
                <c:pt idx="79">
                  <c:v>1.87402954808807</c:v>
                </c:pt>
                <c:pt idx="80">
                  <c:v>1.87402954808807</c:v>
                </c:pt>
                <c:pt idx="81">
                  <c:v>1.87402954808807</c:v>
                </c:pt>
                <c:pt idx="82">
                  <c:v>1.87402954808807</c:v>
                </c:pt>
                <c:pt idx="83">
                  <c:v>1.87402954808807</c:v>
                </c:pt>
                <c:pt idx="84">
                  <c:v>1.87402954808807</c:v>
                </c:pt>
                <c:pt idx="85">
                  <c:v>1.87402954808807</c:v>
                </c:pt>
                <c:pt idx="86">
                  <c:v>1.87402954808807</c:v>
                </c:pt>
                <c:pt idx="87">
                  <c:v>1.87402954808807</c:v>
                </c:pt>
                <c:pt idx="88">
                  <c:v>1.87402954808807</c:v>
                </c:pt>
                <c:pt idx="89">
                  <c:v>1.87402954808807</c:v>
                </c:pt>
                <c:pt idx="90">
                  <c:v>1.87402954808807</c:v>
                </c:pt>
                <c:pt idx="91">
                  <c:v>1.87402954808807</c:v>
                </c:pt>
                <c:pt idx="92">
                  <c:v>1.87402954808807</c:v>
                </c:pt>
                <c:pt idx="93">
                  <c:v>1.87402954808807</c:v>
                </c:pt>
                <c:pt idx="94">
                  <c:v>1.87402954808807</c:v>
                </c:pt>
                <c:pt idx="95">
                  <c:v>1.87402954808807</c:v>
                </c:pt>
                <c:pt idx="96">
                  <c:v>1.87402954808807</c:v>
                </c:pt>
                <c:pt idx="97">
                  <c:v>1.87402954808807</c:v>
                </c:pt>
                <c:pt idx="98">
                  <c:v>1.87402954808807</c:v>
                </c:pt>
                <c:pt idx="99">
                  <c:v>1.87402954808807</c:v>
                </c:pt>
                <c:pt idx="100">
                  <c:v>1.87402954808807</c:v>
                </c:pt>
                <c:pt idx="101">
                  <c:v>1.87402954808807</c:v>
                </c:pt>
                <c:pt idx="102">
                  <c:v>1.87402954808807</c:v>
                </c:pt>
                <c:pt idx="103">
                  <c:v>1.87402954808807</c:v>
                </c:pt>
                <c:pt idx="104">
                  <c:v>1.87402954808807</c:v>
                </c:pt>
                <c:pt idx="105">
                  <c:v>1.87402954808807</c:v>
                </c:pt>
                <c:pt idx="106">
                  <c:v>1.87402954808807</c:v>
                </c:pt>
                <c:pt idx="107">
                  <c:v>1.87402954808807</c:v>
                </c:pt>
                <c:pt idx="108">
                  <c:v>1.87402954808807</c:v>
                </c:pt>
                <c:pt idx="109">
                  <c:v>1.87402954808807</c:v>
                </c:pt>
                <c:pt idx="110">
                  <c:v>1.87402954808807</c:v>
                </c:pt>
                <c:pt idx="111">
                  <c:v>1.87402954808807</c:v>
                </c:pt>
                <c:pt idx="112">
                  <c:v>1.87402954808807</c:v>
                </c:pt>
                <c:pt idx="113">
                  <c:v>1.87402954808807</c:v>
                </c:pt>
                <c:pt idx="114">
                  <c:v>1.87402954808807</c:v>
                </c:pt>
                <c:pt idx="115">
                  <c:v>1.87402954808807</c:v>
                </c:pt>
                <c:pt idx="116">
                  <c:v>1.87402954808807</c:v>
                </c:pt>
                <c:pt idx="117">
                  <c:v>1.87402954808807</c:v>
                </c:pt>
                <c:pt idx="118">
                  <c:v>1.87402954808807</c:v>
                </c:pt>
                <c:pt idx="119">
                  <c:v>1.87402954808807</c:v>
                </c:pt>
                <c:pt idx="120">
                  <c:v>1.87402954808807</c:v>
                </c:pt>
                <c:pt idx="121">
                  <c:v>1.87402954808807</c:v>
                </c:pt>
                <c:pt idx="122">
                  <c:v>1.87402954808807</c:v>
                </c:pt>
                <c:pt idx="123">
                  <c:v>1.87402954808807</c:v>
                </c:pt>
                <c:pt idx="124">
                  <c:v>1.87402954808807</c:v>
                </c:pt>
                <c:pt idx="125">
                  <c:v>1.87402954808807</c:v>
                </c:pt>
                <c:pt idx="126">
                  <c:v>1.87402954808807</c:v>
                </c:pt>
                <c:pt idx="127">
                  <c:v>1.87402954808807</c:v>
                </c:pt>
                <c:pt idx="128">
                  <c:v>1.87402954808807</c:v>
                </c:pt>
                <c:pt idx="129">
                  <c:v>1.87402954808807</c:v>
                </c:pt>
                <c:pt idx="130">
                  <c:v>1.87402954808807</c:v>
                </c:pt>
                <c:pt idx="131">
                  <c:v>1.87402954808807</c:v>
                </c:pt>
                <c:pt idx="132">
                  <c:v>1.87402954808807</c:v>
                </c:pt>
                <c:pt idx="133">
                  <c:v>1.87402954808807</c:v>
                </c:pt>
                <c:pt idx="134">
                  <c:v>1.87402954808807</c:v>
                </c:pt>
                <c:pt idx="135">
                  <c:v>1.87402954808807</c:v>
                </c:pt>
                <c:pt idx="136">
                  <c:v>1.87402954808807</c:v>
                </c:pt>
                <c:pt idx="137">
                  <c:v>1.87402954808807</c:v>
                </c:pt>
                <c:pt idx="138">
                  <c:v>1.87402954808807</c:v>
                </c:pt>
                <c:pt idx="139">
                  <c:v>1.87402954808807</c:v>
                </c:pt>
                <c:pt idx="140">
                  <c:v>1.87402954808807</c:v>
                </c:pt>
                <c:pt idx="141">
                  <c:v>1.87402954808807</c:v>
                </c:pt>
                <c:pt idx="142">
                  <c:v>1.87402954808807</c:v>
                </c:pt>
                <c:pt idx="143">
                  <c:v>1.87402954808807</c:v>
                </c:pt>
                <c:pt idx="144">
                  <c:v>1.87402954808807</c:v>
                </c:pt>
                <c:pt idx="145">
                  <c:v>1.87402954808807</c:v>
                </c:pt>
                <c:pt idx="146">
                  <c:v>1.87402954808807</c:v>
                </c:pt>
                <c:pt idx="147">
                  <c:v>1.87402954808807</c:v>
                </c:pt>
                <c:pt idx="148">
                  <c:v>1.87402954808807</c:v>
                </c:pt>
                <c:pt idx="149">
                  <c:v>1.87402954808807</c:v>
                </c:pt>
                <c:pt idx="150">
                  <c:v>1.87402954808807</c:v>
                </c:pt>
                <c:pt idx="151">
                  <c:v>1.87402954808807</c:v>
                </c:pt>
                <c:pt idx="152">
                  <c:v>1.76661900578179</c:v>
                </c:pt>
                <c:pt idx="153">
                  <c:v>1.44438737886298</c:v>
                </c:pt>
                <c:pt idx="154">
                  <c:v>1.12215575194417</c:v>
                </c:pt>
                <c:pt idx="155">
                  <c:v>0.799924125025361</c:v>
                </c:pt>
                <c:pt idx="156">
                  <c:v>0.47769249810655</c:v>
                </c:pt>
                <c:pt idx="157">
                  <c:v>0.155460871187739</c:v>
                </c:pt>
                <c:pt idx="158">
                  <c:v>-0.166770755731071</c:v>
                </c:pt>
                <c:pt idx="159">
                  <c:v>-0.477750564058405</c:v>
                </c:pt>
                <c:pt idx="160">
                  <c:v>-0.749893450150641</c:v>
                </c:pt>
                <c:pt idx="161">
                  <c:v>-1.02203633624288</c:v>
                </c:pt>
                <c:pt idx="162">
                  <c:v>-1.29417922233511</c:v>
                </c:pt>
                <c:pt idx="163">
                  <c:v>-1.56632210842735</c:v>
                </c:pt>
                <c:pt idx="164">
                  <c:v>-1.83846499451959</c:v>
                </c:pt>
                <c:pt idx="165">
                  <c:v>-2.11060788061182</c:v>
                </c:pt>
                <c:pt idx="166">
                  <c:v>-2.38275076670406</c:v>
                </c:pt>
                <c:pt idx="167">
                  <c:v>-2.65489365279629</c:v>
                </c:pt>
                <c:pt idx="168">
                  <c:v>-2.92703653888853</c:v>
                </c:pt>
                <c:pt idx="169">
                  <c:v>-3.19917942498076</c:v>
                </c:pt>
                <c:pt idx="170">
                  <c:v>-3.471322311073</c:v>
                </c:pt>
                <c:pt idx="171">
                  <c:v>-3.74346519716524</c:v>
                </c:pt>
                <c:pt idx="172">
                  <c:v>-4.01560808325747</c:v>
                </c:pt>
                <c:pt idx="173">
                  <c:v>-4.28775096934971</c:v>
                </c:pt>
                <c:pt idx="174">
                  <c:v>-4.55989385544195</c:v>
                </c:pt>
                <c:pt idx="175">
                  <c:v>-4.83203674153418</c:v>
                </c:pt>
                <c:pt idx="176">
                  <c:v>-5.10417962762642</c:v>
                </c:pt>
                <c:pt idx="177">
                  <c:v>-5.28560821835458</c:v>
                </c:pt>
                <c:pt idx="178">
                  <c:v>-5.28560821835458</c:v>
                </c:pt>
                <c:pt idx="179">
                  <c:v>-5.10417962762642</c:v>
                </c:pt>
                <c:pt idx="180">
                  <c:v>-4.83203674153418</c:v>
                </c:pt>
                <c:pt idx="181">
                  <c:v>-4.55989385544194</c:v>
                </c:pt>
                <c:pt idx="182">
                  <c:v>-4.28775096934971</c:v>
                </c:pt>
                <c:pt idx="183">
                  <c:v>-4.01560808325747</c:v>
                </c:pt>
                <c:pt idx="184">
                  <c:v>-3.74346519716523</c:v>
                </c:pt>
                <c:pt idx="185">
                  <c:v>-3.471322311073</c:v>
                </c:pt>
                <c:pt idx="186">
                  <c:v>-3.19917942498076</c:v>
                </c:pt>
                <c:pt idx="187">
                  <c:v>-2.92703653888852</c:v>
                </c:pt>
                <c:pt idx="188">
                  <c:v>-2.65489365279629</c:v>
                </c:pt>
                <c:pt idx="189">
                  <c:v>-2.38275076670405</c:v>
                </c:pt>
                <c:pt idx="190">
                  <c:v>-2.11060788061181</c:v>
                </c:pt>
                <c:pt idx="191">
                  <c:v>-1.83846499451958</c:v>
                </c:pt>
                <c:pt idx="192">
                  <c:v>-1.56632210842734</c:v>
                </c:pt>
                <c:pt idx="193">
                  <c:v>-1.29417922233511</c:v>
                </c:pt>
                <c:pt idx="194">
                  <c:v>-1.02203633624287</c:v>
                </c:pt>
                <c:pt idx="195">
                  <c:v>-0.749893450150635</c:v>
                </c:pt>
                <c:pt idx="196">
                  <c:v>-0.477750564058398</c:v>
                </c:pt>
                <c:pt idx="197">
                  <c:v>-0.166770755731064</c:v>
                </c:pt>
                <c:pt idx="198">
                  <c:v>0.155460871187747</c:v>
                </c:pt>
                <c:pt idx="199">
                  <c:v>0.477692498106557</c:v>
                </c:pt>
                <c:pt idx="200">
                  <c:v>0.799924125025368</c:v>
                </c:pt>
                <c:pt idx="201">
                  <c:v>1.12215575194419</c:v>
                </c:pt>
                <c:pt idx="202">
                  <c:v>1.44438737886299</c:v>
                </c:pt>
                <c:pt idx="203">
                  <c:v>1.76661900578181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Quy_dao!$G$13</c:f>
              <c:strCache>
                <c:ptCount val="1"/>
                <c:pt idx="0">
                  <c:v>M không tải (N·m)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Quy_dao!$A$14:$A$254</c:f>
              <c:numCache>
                <c:formatCode>0.00</c:formatCode>
                <c:ptCount val="2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</c:numCache>
            </c:numRef>
          </c:xVal>
          <c:yVal>
            <c:numRef>
              <c:f>Quy_dao!$G$14:$G$254</c:f>
              <c:numCache>
                <c:formatCode>0.000</c:formatCode>
                <c:ptCount val="241"/>
                <c:pt idx="0">
                  <c:v>0.266026940903824</c:v>
                </c:pt>
                <c:pt idx="1">
                  <c:v>0.362056366200386</c:v>
                </c:pt>
                <c:pt idx="2">
                  <c:v>0.458085791496949</c:v>
                </c:pt>
                <c:pt idx="3">
                  <c:v>0.554115216793511</c:v>
                </c:pt>
                <c:pt idx="4">
                  <c:v>0.650144642090073</c:v>
                </c:pt>
                <c:pt idx="5">
                  <c:v>0.746174067386636</c:v>
                </c:pt>
                <c:pt idx="6">
                  <c:v>0.842203492683198</c:v>
                </c:pt>
                <c:pt idx="7">
                  <c:v>0.938232917979761</c:v>
                </c:pt>
                <c:pt idx="8">
                  <c:v>1.03426234327632</c:v>
                </c:pt>
                <c:pt idx="9">
                  <c:v>1.13029176857289</c:v>
                </c:pt>
                <c:pt idx="10">
                  <c:v>1.22632119386945</c:v>
                </c:pt>
                <c:pt idx="11">
                  <c:v>1.32235061916601</c:v>
                </c:pt>
                <c:pt idx="12">
                  <c:v>1.41838004446257</c:v>
                </c:pt>
                <c:pt idx="13">
                  <c:v>1.51440946975913</c:v>
                </c:pt>
                <c:pt idx="14">
                  <c:v>1.6104388950557</c:v>
                </c:pt>
                <c:pt idx="15">
                  <c:v>1.70646832035226</c:v>
                </c:pt>
                <c:pt idx="16">
                  <c:v>1.80249774564882</c:v>
                </c:pt>
                <c:pt idx="17">
                  <c:v>1.89852717094538</c:v>
                </c:pt>
                <c:pt idx="18">
                  <c:v>1.99455659624195</c:v>
                </c:pt>
                <c:pt idx="19">
                  <c:v>2.09058602153851</c:v>
                </c:pt>
                <c:pt idx="20">
                  <c:v>2.18661544683507</c:v>
                </c:pt>
                <c:pt idx="21">
                  <c:v>2.28264487213163</c:v>
                </c:pt>
                <c:pt idx="22">
                  <c:v>2.3786742974282</c:v>
                </c:pt>
                <c:pt idx="23">
                  <c:v>2.47470372272476</c:v>
                </c:pt>
                <c:pt idx="24">
                  <c:v>2.57073314802132</c:v>
                </c:pt>
                <c:pt idx="25">
                  <c:v>2.66676257331788</c:v>
                </c:pt>
                <c:pt idx="26">
                  <c:v>2.66676257331788</c:v>
                </c:pt>
                <c:pt idx="27">
                  <c:v>2.6347527648857</c:v>
                </c:pt>
                <c:pt idx="28">
                  <c:v>2.53872333958913</c:v>
                </c:pt>
                <c:pt idx="29">
                  <c:v>2.44269391429257</c:v>
                </c:pt>
                <c:pt idx="30">
                  <c:v>2.34666448899601</c:v>
                </c:pt>
                <c:pt idx="31">
                  <c:v>2.25063506369945</c:v>
                </c:pt>
                <c:pt idx="32">
                  <c:v>2.15460563840288</c:v>
                </c:pt>
                <c:pt idx="33">
                  <c:v>2.05857621310632</c:v>
                </c:pt>
                <c:pt idx="34">
                  <c:v>1.96254678780976</c:v>
                </c:pt>
                <c:pt idx="35">
                  <c:v>1.8665173625132</c:v>
                </c:pt>
                <c:pt idx="36">
                  <c:v>1.77048793721663</c:v>
                </c:pt>
                <c:pt idx="37">
                  <c:v>1.67445851192007</c:v>
                </c:pt>
                <c:pt idx="38">
                  <c:v>1.57842908662351</c:v>
                </c:pt>
                <c:pt idx="39">
                  <c:v>1.48239966132695</c:v>
                </c:pt>
                <c:pt idx="40">
                  <c:v>1.38637023603038</c:v>
                </c:pt>
                <c:pt idx="41">
                  <c:v>1.29034081073382</c:v>
                </c:pt>
                <c:pt idx="42">
                  <c:v>1.19431138543726</c:v>
                </c:pt>
                <c:pt idx="43">
                  <c:v>1.0982819601407</c:v>
                </c:pt>
                <c:pt idx="44">
                  <c:v>1.00225253484414</c:v>
                </c:pt>
                <c:pt idx="45">
                  <c:v>0.906223109547573</c:v>
                </c:pt>
                <c:pt idx="46">
                  <c:v>0.810193684251011</c:v>
                </c:pt>
                <c:pt idx="47">
                  <c:v>0.714164258954448</c:v>
                </c:pt>
                <c:pt idx="48">
                  <c:v>0.618134833657886</c:v>
                </c:pt>
                <c:pt idx="49">
                  <c:v>0.522105408361324</c:v>
                </c:pt>
                <c:pt idx="50">
                  <c:v>0.426075983064761</c:v>
                </c:pt>
                <c:pt idx="51">
                  <c:v>0.330046557768199</c:v>
                </c:pt>
                <c:pt idx="52">
                  <c:v>0.266026940903824</c:v>
                </c:pt>
                <c:pt idx="53">
                  <c:v>0.266026940903824</c:v>
                </c:pt>
                <c:pt idx="54">
                  <c:v>0.266026940903824</c:v>
                </c:pt>
                <c:pt idx="55">
                  <c:v>0.266026940903824</c:v>
                </c:pt>
                <c:pt idx="56">
                  <c:v>0.266026940903824</c:v>
                </c:pt>
                <c:pt idx="57">
                  <c:v>0.266026940903824</c:v>
                </c:pt>
                <c:pt idx="58">
                  <c:v>0.266026940903824</c:v>
                </c:pt>
                <c:pt idx="59">
                  <c:v>0.266026940903824</c:v>
                </c:pt>
                <c:pt idx="60">
                  <c:v>0.266026940903824</c:v>
                </c:pt>
                <c:pt idx="61">
                  <c:v>0.266026940903824</c:v>
                </c:pt>
                <c:pt idx="62">
                  <c:v>0.266026940903824</c:v>
                </c:pt>
                <c:pt idx="63">
                  <c:v>0.266026940903824</c:v>
                </c:pt>
                <c:pt idx="64">
                  <c:v>0.266026940903824</c:v>
                </c:pt>
                <c:pt idx="65">
                  <c:v>0.266026940903824</c:v>
                </c:pt>
                <c:pt idx="66">
                  <c:v>0.266026940903824</c:v>
                </c:pt>
                <c:pt idx="67">
                  <c:v>0.266026940903824</c:v>
                </c:pt>
                <c:pt idx="68">
                  <c:v>0.266026940903824</c:v>
                </c:pt>
                <c:pt idx="69">
                  <c:v>0.266026940903824</c:v>
                </c:pt>
                <c:pt idx="70">
                  <c:v>0.266026940903824</c:v>
                </c:pt>
                <c:pt idx="71">
                  <c:v>0.266026940903824</c:v>
                </c:pt>
                <c:pt idx="72">
                  <c:v>0.266026940903824</c:v>
                </c:pt>
                <c:pt idx="73">
                  <c:v>0.266026940903824</c:v>
                </c:pt>
                <c:pt idx="74">
                  <c:v>0.266026940903824</c:v>
                </c:pt>
                <c:pt idx="75">
                  <c:v>0.266026940903824</c:v>
                </c:pt>
                <c:pt idx="76">
                  <c:v>0.266026940903824</c:v>
                </c:pt>
                <c:pt idx="77">
                  <c:v>0.266026940903824</c:v>
                </c:pt>
                <c:pt idx="78">
                  <c:v>0.266026940903824</c:v>
                </c:pt>
                <c:pt idx="79">
                  <c:v>0.266026940903824</c:v>
                </c:pt>
                <c:pt idx="80">
                  <c:v>0.266026940903824</c:v>
                </c:pt>
                <c:pt idx="81">
                  <c:v>0.266026940903824</c:v>
                </c:pt>
                <c:pt idx="82">
                  <c:v>0.266026940903824</c:v>
                </c:pt>
                <c:pt idx="83">
                  <c:v>0.266026940903824</c:v>
                </c:pt>
                <c:pt idx="84">
                  <c:v>0.266026940903824</c:v>
                </c:pt>
                <c:pt idx="85">
                  <c:v>0.266026940903824</c:v>
                </c:pt>
                <c:pt idx="86">
                  <c:v>0.266026940903824</c:v>
                </c:pt>
                <c:pt idx="87">
                  <c:v>0.266026940903824</c:v>
                </c:pt>
                <c:pt idx="88">
                  <c:v>0.266026940903824</c:v>
                </c:pt>
                <c:pt idx="89">
                  <c:v>0.266026940903824</c:v>
                </c:pt>
                <c:pt idx="90">
                  <c:v>0.266026940903824</c:v>
                </c:pt>
                <c:pt idx="91">
                  <c:v>0.266026940903824</c:v>
                </c:pt>
                <c:pt idx="92">
                  <c:v>0.266026940903824</c:v>
                </c:pt>
                <c:pt idx="93">
                  <c:v>0.266026940903824</c:v>
                </c:pt>
                <c:pt idx="94">
                  <c:v>0.266026940903824</c:v>
                </c:pt>
                <c:pt idx="95">
                  <c:v>0.266026940903824</c:v>
                </c:pt>
                <c:pt idx="96">
                  <c:v>0.266026940903824</c:v>
                </c:pt>
                <c:pt idx="97">
                  <c:v>0.266026940903824</c:v>
                </c:pt>
                <c:pt idx="98">
                  <c:v>0.266026940903824</c:v>
                </c:pt>
                <c:pt idx="99">
                  <c:v>0.266026940903824</c:v>
                </c:pt>
                <c:pt idx="100">
                  <c:v>0.266026940903824</c:v>
                </c:pt>
                <c:pt idx="101">
                  <c:v>0.266026940903824</c:v>
                </c:pt>
                <c:pt idx="102">
                  <c:v>0.266026940903824</c:v>
                </c:pt>
                <c:pt idx="103">
                  <c:v>0.266026940903824</c:v>
                </c:pt>
                <c:pt idx="104">
                  <c:v>0.266026940903824</c:v>
                </c:pt>
                <c:pt idx="105">
                  <c:v>0.266026940903824</c:v>
                </c:pt>
                <c:pt idx="106">
                  <c:v>0.266026940903824</c:v>
                </c:pt>
                <c:pt idx="107">
                  <c:v>0.266026940903824</c:v>
                </c:pt>
                <c:pt idx="108">
                  <c:v>0.266026940903824</c:v>
                </c:pt>
                <c:pt idx="109">
                  <c:v>0.266026940903824</c:v>
                </c:pt>
                <c:pt idx="110">
                  <c:v>0.266026940903824</c:v>
                </c:pt>
                <c:pt idx="111">
                  <c:v>0.266026940903824</c:v>
                </c:pt>
                <c:pt idx="112">
                  <c:v>0.266026940903824</c:v>
                </c:pt>
                <c:pt idx="113">
                  <c:v>0.266026940903824</c:v>
                </c:pt>
                <c:pt idx="114">
                  <c:v>0.266026940903824</c:v>
                </c:pt>
                <c:pt idx="115">
                  <c:v>0.266026940903824</c:v>
                </c:pt>
                <c:pt idx="116">
                  <c:v>0.266026940903824</c:v>
                </c:pt>
                <c:pt idx="117">
                  <c:v>0.266026940903824</c:v>
                </c:pt>
                <c:pt idx="118">
                  <c:v>0.266026940903824</c:v>
                </c:pt>
                <c:pt idx="119">
                  <c:v>0.266026940903824</c:v>
                </c:pt>
                <c:pt idx="120">
                  <c:v>0.266026940903824</c:v>
                </c:pt>
                <c:pt idx="121">
                  <c:v>0.266026940903824</c:v>
                </c:pt>
                <c:pt idx="122">
                  <c:v>0.266026940903824</c:v>
                </c:pt>
                <c:pt idx="123">
                  <c:v>0.266026940903824</c:v>
                </c:pt>
                <c:pt idx="124">
                  <c:v>0.266026940903824</c:v>
                </c:pt>
                <c:pt idx="125">
                  <c:v>0.266026940903824</c:v>
                </c:pt>
                <c:pt idx="126">
                  <c:v>0.266026940903824</c:v>
                </c:pt>
                <c:pt idx="127">
                  <c:v>0.266026940903824</c:v>
                </c:pt>
                <c:pt idx="128">
                  <c:v>0.266026940903824</c:v>
                </c:pt>
                <c:pt idx="129">
                  <c:v>0.266026940903824</c:v>
                </c:pt>
                <c:pt idx="130">
                  <c:v>0.266026940903824</c:v>
                </c:pt>
                <c:pt idx="131">
                  <c:v>0.266026940903824</c:v>
                </c:pt>
                <c:pt idx="132">
                  <c:v>0.266026940903824</c:v>
                </c:pt>
                <c:pt idx="133">
                  <c:v>0.266026940903824</c:v>
                </c:pt>
                <c:pt idx="134">
                  <c:v>0.266026940903824</c:v>
                </c:pt>
                <c:pt idx="135">
                  <c:v>0.266026940903824</c:v>
                </c:pt>
                <c:pt idx="136">
                  <c:v>0.266026940903824</c:v>
                </c:pt>
                <c:pt idx="137">
                  <c:v>0.266026940903824</c:v>
                </c:pt>
                <c:pt idx="138">
                  <c:v>0.266026940903824</c:v>
                </c:pt>
                <c:pt idx="139">
                  <c:v>0.266026940903824</c:v>
                </c:pt>
                <c:pt idx="140">
                  <c:v>0.266026940903824</c:v>
                </c:pt>
                <c:pt idx="141">
                  <c:v>0.266026940903824</c:v>
                </c:pt>
                <c:pt idx="142">
                  <c:v>0.266026940903824</c:v>
                </c:pt>
                <c:pt idx="143">
                  <c:v>0.266026940903824</c:v>
                </c:pt>
                <c:pt idx="144">
                  <c:v>0.266026940903824</c:v>
                </c:pt>
                <c:pt idx="145">
                  <c:v>0.266026940903824</c:v>
                </c:pt>
                <c:pt idx="146">
                  <c:v>0.266026940903824</c:v>
                </c:pt>
                <c:pt idx="147">
                  <c:v>0.266026940903824</c:v>
                </c:pt>
                <c:pt idx="148">
                  <c:v>0.266026940903824</c:v>
                </c:pt>
                <c:pt idx="149">
                  <c:v>0.266026940903824</c:v>
                </c:pt>
                <c:pt idx="150">
                  <c:v>0.266026940903824</c:v>
                </c:pt>
                <c:pt idx="151">
                  <c:v>0.266026940903824</c:v>
                </c:pt>
                <c:pt idx="152">
                  <c:v>0.234017132471636</c:v>
                </c:pt>
                <c:pt idx="153">
                  <c:v>0.137987707175073</c:v>
                </c:pt>
                <c:pt idx="154">
                  <c:v>0.0419582818785107</c:v>
                </c:pt>
                <c:pt idx="155">
                  <c:v>-0.0540711434180518</c:v>
                </c:pt>
                <c:pt idx="156">
                  <c:v>-0.150100568714614</c:v>
                </c:pt>
                <c:pt idx="157">
                  <c:v>-0.246129994011177</c:v>
                </c:pt>
                <c:pt idx="158">
                  <c:v>-0.342159419307739</c:v>
                </c:pt>
                <c:pt idx="159">
                  <c:v>-0.436591598241484</c:v>
                </c:pt>
                <c:pt idx="160">
                  <c:v>-0.5255107010197</c:v>
                </c:pt>
                <c:pt idx="161">
                  <c:v>-0.614429803797916</c:v>
                </c:pt>
                <c:pt idx="162">
                  <c:v>-0.703348906576131</c:v>
                </c:pt>
                <c:pt idx="163">
                  <c:v>-0.792268009354347</c:v>
                </c:pt>
                <c:pt idx="164">
                  <c:v>-0.881187112132563</c:v>
                </c:pt>
                <c:pt idx="165">
                  <c:v>-0.970106214910778</c:v>
                </c:pt>
                <c:pt idx="166">
                  <c:v>-1.05902531768899</c:v>
                </c:pt>
                <c:pt idx="167">
                  <c:v>-1.14794442046721</c:v>
                </c:pt>
                <c:pt idx="168">
                  <c:v>-1.23686352324542</c:v>
                </c:pt>
                <c:pt idx="169">
                  <c:v>-1.32578262602364</c:v>
                </c:pt>
                <c:pt idx="170">
                  <c:v>-1.41470172880185</c:v>
                </c:pt>
                <c:pt idx="171">
                  <c:v>-1.50362083158007</c:v>
                </c:pt>
                <c:pt idx="172">
                  <c:v>-1.59253993435829</c:v>
                </c:pt>
                <c:pt idx="173">
                  <c:v>-1.6814590371365</c:v>
                </c:pt>
                <c:pt idx="174">
                  <c:v>-1.77037813991472</c:v>
                </c:pt>
                <c:pt idx="175">
                  <c:v>-1.85929724269293</c:v>
                </c:pt>
                <c:pt idx="176">
                  <c:v>-1.94821634547115</c:v>
                </c:pt>
                <c:pt idx="177">
                  <c:v>-2.00749574732329</c:v>
                </c:pt>
                <c:pt idx="178">
                  <c:v>-2.00749574732329</c:v>
                </c:pt>
                <c:pt idx="179">
                  <c:v>-1.94821634547115</c:v>
                </c:pt>
                <c:pt idx="180">
                  <c:v>-1.85929724269293</c:v>
                </c:pt>
                <c:pt idx="181">
                  <c:v>-1.77037813991471</c:v>
                </c:pt>
                <c:pt idx="182">
                  <c:v>-1.6814590371365</c:v>
                </c:pt>
                <c:pt idx="183">
                  <c:v>-1.59253993435828</c:v>
                </c:pt>
                <c:pt idx="184">
                  <c:v>-1.50362083158007</c:v>
                </c:pt>
                <c:pt idx="185">
                  <c:v>-1.41470172880185</c:v>
                </c:pt>
                <c:pt idx="186">
                  <c:v>-1.32578262602364</c:v>
                </c:pt>
                <c:pt idx="187">
                  <c:v>-1.23686352324542</c:v>
                </c:pt>
                <c:pt idx="188">
                  <c:v>-1.14794442046721</c:v>
                </c:pt>
                <c:pt idx="189">
                  <c:v>-1.05902531768899</c:v>
                </c:pt>
                <c:pt idx="190">
                  <c:v>-0.970106214910774</c:v>
                </c:pt>
                <c:pt idx="191">
                  <c:v>-0.881187112132558</c:v>
                </c:pt>
                <c:pt idx="192">
                  <c:v>-0.792268009354345</c:v>
                </c:pt>
                <c:pt idx="193">
                  <c:v>-0.703348906576129</c:v>
                </c:pt>
                <c:pt idx="194">
                  <c:v>-0.614429803797914</c:v>
                </c:pt>
                <c:pt idx="195">
                  <c:v>-0.525510701019698</c:v>
                </c:pt>
                <c:pt idx="196">
                  <c:v>-0.436591598241482</c:v>
                </c:pt>
                <c:pt idx="197">
                  <c:v>-0.342159419307737</c:v>
                </c:pt>
                <c:pt idx="198">
                  <c:v>-0.246129994011174</c:v>
                </c:pt>
                <c:pt idx="199">
                  <c:v>-0.150100568714612</c:v>
                </c:pt>
                <c:pt idx="200">
                  <c:v>-0.0540711434180495</c:v>
                </c:pt>
                <c:pt idx="201">
                  <c:v>0.041958281878515</c:v>
                </c:pt>
                <c:pt idx="202">
                  <c:v>0.137987707175075</c:v>
                </c:pt>
                <c:pt idx="203">
                  <c:v>0.23401713247164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</c:numCache>
            </c:numRef>
          </c:yVal>
          <c:smooth val="0"/>
        </c:ser>
        <c:axId val="48139287"/>
        <c:axId val="17902115"/>
      </c:scatterChart>
      <c:valAx>
        <c:axId val="48139287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02115"/>
        <c:crossBetween val="midCat"/>
      </c:valAx>
      <c:valAx>
        <c:axId val="17902115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 (N·m)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39287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vi-V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vi-VN" sz="1800" spc="-1" strike="noStrike">
                <a:solidFill>
                  <a:srgbClr val="000000"/>
                </a:solidFill>
                <a:latin typeface="Calibri"/>
              </a:rPr>
              <a:t>Gia tốc và vận tốc đặt (S-curve)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Quy_dao!$C$13</c:f>
              <c:strCache>
                <c:ptCount val="1"/>
                <c:pt idx="0">
                  <c:v>a (m/s²)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Quy_dao!$A$14:$A$254</c:f>
              <c:numCache>
                <c:formatCode>0.00</c:formatCode>
                <c:ptCount val="2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</c:numCache>
            </c:numRef>
          </c:xVal>
          <c:yVal>
            <c:numRef>
              <c:f>Quy_dao!$C$14:$C$254</c:f>
              <c:numCache>
                <c:formatCode>0.0000</c:formatCode>
                <c:ptCount val="241"/>
                <c:pt idx="0">
                  <c:v>0</c:v>
                </c:pt>
                <c:pt idx="1">
                  <c:v>0.018</c:v>
                </c:pt>
                <c:pt idx="2">
                  <c:v>0.036</c:v>
                </c:pt>
                <c:pt idx="3">
                  <c:v>0.054</c:v>
                </c:pt>
                <c:pt idx="4">
                  <c:v>0.072</c:v>
                </c:pt>
                <c:pt idx="5">
                  <c:v>0.09</c:v>
                </c:pt>
                <c:pt idx="6">
                  <c:v>0.108</c:v>
                </c:pt>
                <c:pt idx="7">
                  <c:v>0.126</c:v>
                </c:pt>
                <c:pt idx="8">
                  <c:v>0.144</c:v>
                </c:pt>
                <c:pt idx="9">
                  <c:v>0.162</c:v>
                </c:pt>
                <c:pt idx="10">
                  <c:v>0.18</c:v>
                </c:pt>
                <c:pt idx="11">
                  <c:v>0.198</c:v>
                </c:pt>
                <c:pt idx="12">
                  <c:v>0.216</c:v>
                </c:pt>
                <c:pt idx="13">
                  <c:v>0.234</c:v>
                </c:pt>
                <c:pt idx="14">
                  <c:v>0.252</c:v>
                </c:pt>
                <c:pt idx="15">
                  <c:v>0.27</c:v>
                </c:pt>
                <c:pt idx="16">
                  <c:v>0.288</c:v>
                </c:pt>
                <c:pt idx="17">
                  <c:v>0.306</c:v>
                </c:pt>
                <c:pt idx="18">
                  <c:v>0.324</c:v>
                </c:pt>
                <c:pt idx="19">
                  <c:v>0.342</c:v>
                </c:pt>
                <c:pt idx="20">
                  <c:v>0.36</c:v>
                </c:pt>
                <c:pt idx="21">
                  <c:v>0.378</c:v>
                </c:pt>
                <c:pt idx="22">
                  <c:v>0.396</c:v>
                </c:pt>
                <c:pt idx="23">
                  <c:v>0.414</c:v>
                </c:pt>
                <c:pt idx="24">
                  <c:v>0.432</c:v>
                </c:pt>
                <c:pt idx="25">
                  <c:v>0.45</c:v>
                </c:pt>
                <c:pt idx="26">
                  <c:v>0.45</c:v>
                </c:pt>
                <c:pt idx="27">
                  <c:v>0.444</c:v>
                </c:pt>
                <c:pt idx="28">
                  <c:v>0.426</c:v>
                </c:pt>
                <c:pt idx="29">
                  <c:v>0.408</c:v>
                </c:pt>
                <c:pt idx="30">
                  <c:v>0.39</c:v>
                </c:pt>
                <c:pt idx="31">
                  <c:v>0.372</c:v>
                </c:pt>
                <c:pt idx="32">
                  <c:v>0.354</c:v>
                </c:pt>
                <c:pt idx="33">
                  <c:v>0.336</c:v>
                </c:pt>
                <c:pt idx="34">
                  <c:v>0.318</c:v>
                </c:pt>
                <c:pt idx="35">
                  <c:v>0.3</c:v>
                </c:pt>
                <c:pt idx="36">
                  <c:v>0.282</c:v>
                </c:pt>
                <c:pt idx="37">
                  <c:v>0.264</c:v>
                </c:pt>
                <c:pt idx="38">
                  <c:v>0.246</c:v>
                </c:pt>
                <c:pt idx="39">
                  <c:v>0.228</c:v>
                </c:pt>
                <c:pt idx="40">
                  <c:v>0.21</c:v>
                </c:pt>
                <c:pt idx="41">
                  <c:v>0.192</c:v>
                </c:pt>
                <c:pt idx="42">
                  <c:v>0.174</c:v>
                </c:pt>
                <c:pt idx="43">
                  <c:v>0.156</c:v>
                </c:pt>
                <c:pt idx="44">
                  <c:v>0.138</c:v>
                </c:pt>
                <c:pt idx="45">
                  <c:v>0.12</c:v>
                </c:pt>
                <c:pt idx="46">
                  <c:v>0.102</c:v>
                </c:pt>
                <c:pt idx="47">
                  <c:v>0.084</c:v>
                </c:pt>
                <c:pt idx="48">
                  <c:v>0.066</c:v>
                </c:pt>
                <c:pt idx="49">
                  <c:v>0.048</c:v>
                </c:pt>
                <c:pt idx="50">
                  <c:v>0.03</c:v>
                </c:pt>
                <c:pt idx="51">
                  <c:v>0.012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-0.00600000000000014</c:v>
                </c:pt>
                <c:pt idx="153">
                  <c:v>-0.0240000000000002</c:v>
                </c:pt>
                <c:pt idx="154">
                  <c:v>-0.0420000000000002</c:v>
                </c:pt>
                <c:pt idx="155">
                  <c:v>-0.0600000000000002</c:v>
                </c:pt>
                <c:pt idx="156">
                  <c:v>-0.0780000000000002</c:v>
                </c:pt>
                <c:pt idx="157">
                  <c:v>-0.0960000000000002</c:v>
                </c:pt>
                <c:pt idx="158">
                  <c:v>-0.114</c:v>
                </c:pt>
                <c:pt idx="159">
                  <c:v>-0.132</c:v>
                </c:pt>
                <c:pt idx="160">
                  <c:v>-0.15</c:v>
                </c:pt>
                <c:pt idx="161">
                  <c:v>-0.168</c:v>
                </c:pt>
                <c:pt idx="162">
                  <c:v>-0.186</c:v>
                </c:pt>
                <c:pt idx="163">
                  <c:v>-0.204</c:v>
                </c:pt>
                <c:pt idx="164">
                  <c:v>-0.222</c:v>
                </c:pt>
                <c:pt idx="165">
                  <c:v>-0.24</c:v>
                </c:pt>
                <c:pt idx="166">
                  <c:v>-0.258</c:v>
                </c:pt>
                <c:pt idx="167">
                  <c:v>-0.276</c:v>
                </c:pt>
                <c:pt idx="168">
                  <c:v>-0.294</c:v>
                </c:pt>
                <c:pt idx="169">
                  <c:v>-0.312</c:v>
                </c:pt>
                <c:pt idx="170">
                  <c:v>-0.33</c:v>
                </c:pt>
                <c:pt idx="171">
                  <c:v>-0.348</c:v>
                </c:pt>
                <c:pt idx="172">
                  <c:v>-0.366</c:v>
                </c:pt>
                <c:pt idx="173">
                  <c:v>-0.384</c:v>
                </c:pt>
                <c:pt idx="174">
                  <c:v>-0.402</c:v>
                </c:pt>
                <c:pt idx="175">
                  <c:v>-0.42</c:v>
                </c:pt>
                <c:pt idx="176">
                  <c:v>-0.438</c:v>
                </c:pt>
                <c:pt idx="177">
                  <c:v>-0.45</c:v>
                </c:pt>
                <c:pt idx="178">
                  <c:v>-0.45</c:v>
                </c:pt>
                <c:pt idx="179">
                  <c:v>-0.438</c:v>
                </c:pt>
                <c:pt idx="180">
                  <c:v>-0.42</c:v>
                </c:pt>
                <c:pt idx="181">
                  <c:v>-0.402</c:v>
                </c:pt>
                <c:pt idx="182">
                  <c:v>-0.384</c:v>
                </c:pt>
                <c:pt idx="183">
                  <c:v>-0.366</c:v>
                </c:pt>
                <c:pt idx="184">
                  <c:v>-0.348</c:v>
                </c:pt>
                <c:pt idx="185">
                  <c:v>-0.33</c:v>
                </c:pt>
                <c:pt idx="186">
                  <c:v>-0.312</c:v>
                </c:pt>
                <c:pt idx="187">
                  <c:v>-0.294</c:v>
                </c:pt>
                <c:pt idx="188">
                  <c:v>-0.276</c:v>
                </c:pt>
                <c:pt idx="189">
                  <c:v>-0.258</c:v>
                </c:pt>
                <c:pt idx="190">
                  <c:v>-0.24</c:v>
                </c:pt>
                <c:pt idx="191">
                  <c:v>-0.222</c:v>
                </c:pt>
                <c:pt idx="192">
                  <c:v>-0.204</c:v>
                </c:pt>
                <c:pt idx="193">
                  <c:v>-0.186</c:v>
                </c:pt>
                <c:pt idx="194">
                  <c:v>-0.168</c:v>
                </c:pt>
                <c:pt idx="195">
                  <c:v>-0.15</c:v>
                </c:pt>
                <c:pt idx="196">
                  <c:v>-0.132</c:v>
                </c:pt>
                <c:pt idx="197">
                  <c:v>-0.114</c:v>
                </c:pt>
                <c:pt idx="198">
                  <c:v>-0.0959999999999998</c:v>
                </c:pt>
                <c:pt idx="199">
                  <c:v>-0.0779999999999998</c:v>
                </c:pt>
                <c:pt idx="200">
                  <c:v>-0.0599999999999998</c:v>
                </c:pt>
                <c:pt idx="201">
                  <c:v>-0.0419999999999994</c:v>
                </c:pt>
                <c:pt idx="202">
                  <c:v>-0.0239999999999997</c:v>
                </c:pt>
                <c:pt idx="203">
                  <c:v>-0.00599999999999934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Quy_dao!$D$13</c:f>
              <c:strCache>
                <c:ptCount val="1"/>
                <c:pt idx="0">
                  <c:v>v (m/s)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Quy_dao!$A$14:$A$254</c:f>
              <c:numCache>
                <c:formatCode>0.00</c:formatCode>
                <c:ptCount val="2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</c:numCache>
            </c:numRef>
          </c:xVal>
          <c:yVal>
            <c:numRef>
              <c:f>Quy_dao!$D$14:$D$254</c:f>
              <c:numCache>
                <c:formatCode>0.0000</c:formatCode>
                <c:ptCount val="241"/>
                <c:pt idx="0">
                  <c:v>0</c:v>
                </c:pt>
                <c:pt idx="1">
                  <c:v>9E-005</c:v>
                </c:pt>
                <c:pt idx="2">
                  <c:v>0.00036</c:v>
                </c:pt>
                <c:pt idx="3">
                  <c:v>0.00081</c:v>
                </c:pt>
                <c:pt idx="4">
                  <c:v>0.00144</c:v>
                </c:pt>
                <c:pt idx="5">
                  <c:v>0.00225</c:v>
                </c:pt>
                <c:pt idx="6">
                  <c:v>0.00324</c:v>
                </c:pt>
                <c:pt idx="7">
                  <c:v>0.00441</c:v>
                </c:pt>
                <c:pt idx="8">
                  <c:v>0.00576</c:v>
                </c:pt>
                <c:pt idx="9">
                  <c:v>0.00729</c:v>
                </c:pt>
                <c:pt idx="10">
                  <c:v>0.009</c:v>
                </c:pt>
                <c:pt idx="11">
                  <c:v>0.01089</c:v>
                </c:pt>
                <c:pt idx="12">
                  <c:v>0.01296</c:v>
                </c:pt>
                <c:pt idx="13">
                  <c:v>0.01521</c:v>
                </c:pt>
                <c:pt idx="14">
                  <c:v>0.01764</c:v>
                </c:pt>
                <c:pt idx="15">
                  <c:v>0.02025</c:v>
                </c:pt>
                <c:pt idx="16">
                  <c:v>0.02304</c:v>
                </c:pt>
                <c:pt idx="17">
                  <c:v>0.02601</c:v>
                </c:pt>
                <c:pt idx="18">
                  <c:v>0.02916</c:v>
                </c:pt>
                <c:pt idx="19">
                  <c:v>0.03249</c:v>
                </c:pt>
                <c:pt idx="20">
                  <c:v>0.036</c:v>
                </c:pt>
                <c:pt idx="21">
                  <c:v>0.03969</c:v>
                </c:pt>
                <c:pt idx="22">
                  <c:v>0.04356</c:v>
                </c:pt>
                <c:pt idx="23">
                  <c:v>0.04761</c:v>
                </c:pt>
                <c:pt idx="24">
                  <c:v>0.05184</c:v>
                </c:pt>
                <c:pt idx="25">
                  <c:v>0.05625</c:v>
                </c:pt>
                <c:pt idx="26">
                  <c:v>0.06075</c:v>
                </c:pt>
                <c:pt idx="27">
                  <c:v>0.06522</c:v>
                </c:pt>
                <c:pt idx="28">
                  <c:v>0.06957</c:v>
                </c:pt>
                <c:pt idx="29">
                  <c:v>0.07374</c:v>
                </c:pt>
                <c:pt idx="30">
                  <c:v>0.07773</c:v>
                </c:pt>
                <c:pt idx="31">
                  <c:v>0.08154</c:v>
                </c:pt>
                <c:pt idx="32">
                  <c:v>0.08517</c:v>
                </c:pt>
                <c:pt idx="33">
                  <c:v>0.08862</c:v>
                </c:pt>
                <c:pt idx="34">
                  <c:v>0.09189</c:v>
                </c:pt>
                <c:pt idx="35">
                  <c:v>0.09498</c:v>
                </c:pt>
                <c:pt idx="36">
                  <c:v>0.09789</c:v>
                </c:pt>
                <c:pt idx="37">
                  <c:v>0.10062</c:v>
                </c:pt>
                <c:pt idx="38">
                  <c:v>0.10317</c:v>
                </c:pt>
                <c:pt idx="39">
                  <c:v>0.10554</c:v>
                </c:pt>
                <c:pt idx="40">
                  <c:v>0.10773</c:v>
                </c:pt>
                <c:pt idx="41">
                  <c:v>0.10974</c:v>
                </c:pt>
                <c:pt idx="42">
                  <c:v>0.11157</c:v>
                </c:pt>
                <c:pt idx="43">
                  <c:v>0.11322</c:v>
                </c:pt>
                <c:pt idx="44">
                  <c:v>0.11469</c:v>
                </c:pt>
                <c:pt idx="45">
                  <c:v>0.11598</c:v>
                </c:pt>
                <c:pt idx="46">
                  <c:v>0.11709</c:v>
                </c:pt>
                <c:pt idx="47">
                  <c:v>0.11802</c:v>
                </c:pt>
                <c:pt idx="48">
                  <c:v>0.11877</c:v>
                </c:pt>
                <c:pt idx="49">
                  <c:v>0.11934</c:v>
                </c:pt>
                <c:pt idx="50">
                  <c:v>0.11973</c:v>
                </c:pt>
                <c:pt idx="51">
                  <c:v>0.11994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</c:v>
                </c:pt>
                <c:pt idx="56">
                  <c:v>0.12</c:v>
                </c:pt>
                <c:pt idx="57">
                  <c:v>0.12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0.12</c:v>
                </c:pt>
                <c:pt idx="62">
                  <c:v>0.12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0.12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</c:v>
                </c:pt>
                <c:pt idx="78">
                  <c:v>0.12</c:v>
                </c:pt>
                <c:pt idx="79">
                  <c:v>0.12</c:v>
                </c:pt>
                <c:pt idx="80">
                  <c:v>0.12</c:v>
                </c:pt>
                <c:pt idx="81">
                  <c:v>0.12</c:v>
                </c:pt>
                <c:pt idx="82">
                  <c:v>0.12</c:v>
                </c:pt>
                <c:pt idx="83">
                  <c:v>0.12</c:v>
                </c:pt>
                <c:pt idx="84">
                  <c:v>0.12</c:v>
                </c:pt>
                <c:pt idx="85">
                  <c:v>0.12</c:v>
                </c:pt>
                <c:pt idx="86">
                  <c:v>0.12</c:v>
                </c:pt>
                <c:pt idx="87">
                  <c:v>0.12</c:v>
                </c:pt>
                <c:pt idx="88">
                  <c:v>0.12</c:v>
                </c:pt>
                <c:pt idx="89">
                  <c:v>0.12</c:v>
                </c:pt>
                <c:pt idx="90">
                  <c:v>0.12</c:v>
                </c:pt>
                <c:pt idx="91">
                  <c:v>0.12</c:v>
                </c:pt>
                <c:pt idx="92">
                  <c:v>0.12</c:v>
                </c:pt>
                <c:pt idx="93">
                  <c:v>0.12</c:v>
                </c:pt>
                <c:pt idx="94">
                  <c:v>0.12</c:v>
                </c:pt>
                <c:pt idx="95">
                  <c:v>0.12</c:v>
                </c:pt>
                <c:pt idx="96">
                  <c:v>0.12</c:v>
                </c:pt>
                <c:pt idx="97">
                  <c:v>0.12</c:v>
                </c:pt>
                <c:pt idx="98">
                  <c:v>0.12</c:v>
                </c:pt>
                <c:pt idx="99">
                  <c:v>0.12</c:v>
                </c:pt>
                <c:pt idx="100">
                  <c:v>0.12</c:v>
                </c:pt>
                <c:pt idx="101">
                  <c:v>0.12</c:v>
                </c:pt>
                <c:pt idx="102">
                  <c:v>0.12</c:v>
                </c:pt>
                <c:pt idx="103">
                  <c:v>0.12</c:v>
                </c:pt>
                <c:pt idx="104">
                  <c:v>0.12</c:v>
                </c:pt>
                <c:pt idx="105">
                  <c:v>0.12</c:v>
                </c:pt>
                <c:pt idx="106">
                  <c:v>0.12</c:v>
                </c:pt>
                <c:pt idx="107">
                  <c:v>0.12</c:v>
                </c:pt>
                <c:pt idx="108">
                  <c:v>0.12</c:v>
                </c:pt>
                <c:pt idx="109">
                  <c:v>0.12</c:v>
                </c:pt>
                <c:pt idx="110">
                  <c:v>0.12</c:v>
                </c:pt>
                <c:pt idx="111">
                  <c:v>0.12</c:v>
                </c:pt>
                <c:pt idx="112">
                  <c:v>0.12</c:v>
                </c:pt>
                <c:pt idx="113">
                  <c:v>0.12</c:v>
                </c:pt>
                <c:pt idx="114">
                  <c:v>0.12</c:v>
                </c:pt>
                <c:pt idx="115">
                  <c:v>0.12</c:v>
                </c:pt>
                <c:pt idx="116">
                  <c:v>0.12</c:v>
                </c:pt>
                <c:pt idx="117">
                  <c:v>0.12</c:v>
                </c:pt>
                <c:pt idx="118">
                  <c:v>0.12</c:v>
                </c:pt>
                <c:pt idx="119">
                  <c:v>0.12</c:v>
                </c:pt>
                <c:pt idx="120">
                  <c:v>0.12</c:v>
                </c:pt>
                <c:pt idx="121">
                  <c:v>0.12</c:v>
                </c:pt>
                <c:pt idx="122">
                  <c:v>0.12</c:v>
                </c:pt>
                <c:pt idx="123">
                  <c:v>0.12</c:v>
                </c:pt>
                <c:pt idx="124">
                  <c:v>0.12</c:v>
                </c:pt>
                <c:pt idx="125">
                  <c:v>0.12</c:v>
                </c:pt>
                <c:pt idx="126">
                  <c:v>0.12</c:v>
                </c:pt>
                <c:pt idx="127">
                  <c:v>0.12</c:v>
                </c:pt>
                <c:pt idx="128">
                  <c:v>0.12</c:v>
                </c:pt>
                <c:pt idx="129">
                  <c:v>0.12</c:v>
                </c:pt>
                <c:pt idx="130">
                  <c:v>0.12</c:v>
                </c:pt>
                <c:pt idx="131">
                  <c:v>0.12</c:v>
                </c:pt>
                <c:pt idx="132">
                  <c:v>0.12</c:v>
                </c:pt>
                <c:pt idx="133">
                  <c:v>0.12</c:v>
                </c:pt>
                <c:pt idx="134">
                  <c:v>0.12</c:v>
                </c:pt>
                <c:pt idx="135">
                  <c:v>0.12</c:v>
                </c:pt>
                <c:pt idx="136">
                  <c:v>0.12</c:v>
                </c:pt>
                <c:pt idx="137">
                  <c:v>0.12</c:v>
                </c:pt>
                <c:pt idx="138">
                  <c:v>0.12</c:v>
                </c:pt>
                <c:pt idx="139">
                  <c:v>0.12</c:v>
                </c:pt>
                <c:pt idx="140">
                  <c:v>0.12</c:v>
                </c:pt>
                <c:pt idx="141">
                  <c:v>0.12</c:v>
                </c:pt>
                <c:pt idx="142">
                  <c:v>0.12</c:v>
                </c:pt>
                <c:pt idx="143">
                  <c:v>0.12</c:v>
                </c:pt>
                <c:pt idx="144">
                  <c:v>0.12</c:v>
                </c:pt>
                <c:pt idx="145">
                  <c:v>0.12</c:v>
                </c:pt>
                <c:pt idx="146">
                  <c:v>0.12</c:v>
                </c:pt>
                <c:pt idx="147">
                  <c:v>0.12</c:v>
                </c:pt>
                <c:pt idx="148">
                  <c:v>0.12</c:v>
                </c:pt>
                <c:pt idx="149">
                  <c:v>0.12</c:v>
                </c:pt>
                <c:pt idx="150">
                  <c:v>0.12</c:v>
                </c:pt>
                <c:pt idx="151">
                  <c:v>0.12</c:v>
                </c:pt>
                <c:pt idx="152">
                  <c:v>0.11997</c:v>
                </c:pt>
                <c:pt idx="153">
                  <c:v>0.11982</c:v>
                </c:pt>
                <c:pt idx="154">
                  <c:v>0.11949</c:v>
                </c:pt>
                <c:pt idx="155">
                  <c:v>0.11898</c:v>
                </c:pt>
                <c:pt idx="156">
                  <c:v>0.11829</c:v>
                </c:pt>
                <c:pt idx="157">
                  <c:v>0.11742</c:v>
                </c:pt>
                <c:pt idx="158">
                  <c:v>0.11637</c:v>
                </c:pt>
                <c:pt idx="159">
                  <c:v>0.11514</c:v>
                </c:pt>
                <c:pt idx="160">
                  <c:v>0.11373</c:v>
                </c:pt>
                <c:pt idx="161">
                  <c:v>0.11214</c:v>
                </c:pt>
                <c:pt idx="162">
                  <c:v>0.11037</c:v>
                </c:pt>
                <c:pt idx="163">
                  <c:v>0.10842</c:v>
                </c:pt>
                <c:pt idx="164">
                  <c:v>0.10629</c:v>
                </c:pt>
                <c:pt idx="165">
                  <c:v>0.10398</c:v>
                </c:pt>
                <c:pt idx="166">
                  <c:v>0.10149</c:v>
                </c:pt>
                <c:pt idx="167">
                  <c:v>0.0988199999999999</c:v>
                </c:pt>
                <c:pt idx="168">
                  <c:v>0.0959699999999999</c:v>
                </c:pt>
                <c:pt idx="169">
                  <c:v>0.0929399999999999</c:v>
                </c:pt>
                <c:pt idx="170">
                  <c:v>0.0897299999999999</c:v>
                </c:pt>
                <c:pt idx="171">
                  <c:v>0.0863399999999999</c:v>
                </c:pt>
                <c:pt idx="172">
                  <c:v>0.0827699999999999</c:v>
                </c:pt>
                <c:pt idx="173">
                  <c:v>0.0790199999999999</c:v>
                </c:pt>
                <c:pt idx="174">
                  <c:v>0.0750899999999999</c:v>
                </c:pt>
                <c:pt idx="175">
                  <c:v>0.0709799999999999</c:v>
                </c:pt>
                <c:pt idx="176">
                  <c:v>0.0666899999999999</c:v>
                </c:pt>
                <c:pt idx="177">
                  <c:v>0.0622499999999999</c:v>
                </c:pt>
                <c:pt idx="178">
                  <c:v>0.0577499999999999</c:v>
                </c:pt>
                <c:pt idx="179">
                  <c:v>0.0533099999999999</c:v>
                </c:pt>
                <c:pt idx="180">
                  <c:v>0.0490199999999999</c:v>
                </c:pt>
                <c:pt idx="181">
                  <c:v>0.0449099999999999</c:v>
                </c:pt>
                <c:pt idx="182">
                  <c:v>0.0409799999999999</c:v>
                </c:pt>
                <c:pt idx="183">
                  <c:v>0.0372299999999999</c:v>
                </c:pt>
                <c:pt idx="184">
                  <c:v>0.0336599999999999</c:v>
                </c:pt>
                <c:pt idx="185">
                  <c:v>0.0302699999999999</c:v>
                </c:pt>
                <c:pt idx="186">
                  <c:v>0.0270599999999999</c:v>
                </c:pt>
                <c:pt idx="187">
                  <c:v>0.0240299999999999</c:v>
                </c:pt>
                <c:pt idx="188">
                  <c:v>0.0211799999999999</c:v>
                </c:pt>
                <c:pt idx="189">
                  <c:v>0.0185099999999999</c:v>
                </c:pt>
                <c:pt idx="190">
                  <c:v>0.0160199999999999</c:v>
                </c:pt>
                <c:pt idx="191">
                  <c:v>0.0137099999999999</c:v>
                </c:pt>
                <c:pt idx="192">
                  <c:v>0.0115799999999999</c:v>
                </c:pt>
                <c:pt idx="193">
                  <c:v>0.00962999999999992</c:v>
                </c:pt>
                <c:pt idx="194">
                  <c:v>0.00785999999999992</c:v>
                </c:pt>
                <c:pt idx="195">
                  <c:v>0.00626999999999992</c:v>
                </c:pt>
                <c:pt idx="196">
                  <c:v>0.00485999999999993</c:v>
                </c:pt>
                <c:pt idx="197">
                  <c:v>0.00362999999999993</c:v>
                </c:pt>
                <c:pt idx="198">
                  <c:v>0.00257999999999993</c:v>
                </c:pt>
                <c:pt idx="199">
                  <c:v>0.00170999999999993</c:v>
                </c:pt>
                <c:pt idx="200">
                  <c:v>0.00101999999999993</c:v>
                </c:pt>
                <c:pt idx="201">
                  <c:v>0.000509999999999937</c:v>
                </c:pt>
                <c:pt idx="202">
                  <c:v>0.000179999999999942</c:v>
                </c:pt>
                <c:pt idx="203">
                  <c:v>2.99999999999461E-005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</c:numCache>
            </c:numRef>
          </c:yVal>
          <c:smooth val="0"/>
        </c:ser>
        <c:axId val="68549606"/>
        <c:axId val="5000768"/>
      </c:scatterChart>
      <c:valAx>
        <c:axId val="68549606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0768"/>
        <c:crossBetween val="midCat"/>
      </c:valAx>
      <c:valAx>
        <c:axId val="5000768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 (m/s²), v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49606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4680</xdr:rowOff>
    </xdr:from>
    <xdr:to>
      <xdr:col>17</xdr:col>
      <xdr:colOff>418320</xdr:colOff>
      <xdr:row>14</xdr:row>
      <xdr:rowOff>91440</xdr:rowOff>
    </xdr:to>
    <xdr:graphicFrame>
      <xdr:nvGraphicFramePr>
        <xdr:cNvPr id="0" name="Chart 1"/>
        <xdr:cNvGraphicFramePr/>
      </xdr:nvGraphicFramePr>
      <xdr:xfrm>
        <a:off x="8521560" y="571680"/>
        <a:ext cx="5757480" cy="287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128520</xdr:rowOff>
    </xdr:from>
    <xdr:to>
      <xdr:col>17</xdr:col>
      <xdr:colOff>418320</xdr:colOff>
      <xdr:row>37</xdr:row>
      <xdr:rowOff>110160</xdr:rowOff>
    </xdr:to>
    <xdr:graphicFrame>
      <xdr:nvGraphicFramePr>
        <xdr:cNvPr id="1" name="Chart 2"/>
        <xdr:cNvGraphicFramePr/>
      </xdr:nvGraphicFramePr>
      <xdr:xfrm>
        <a:off x="8521560" y="4753080"/>
        <a:ext cx="5757480" cy="287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60"/>
  </cols>
  <sheetData>
    <row r="1" customFormat="false" ht="15" hidden="false" customHeight="true" outlineLevel="0" collapsed="false">
      <c r="A1" s="2" t="s">
        <v>0</v>
      </c>
    </row>
    <row r="2" customFormat="false" ht="14.25" hidden="false" customHeight="false" outlineLevel="0" collapsed="false">
      <c r="A2" s="3" t="s">
        <v>1</v>
      </c>
    </row>
    <row r="3" customFormat="false" ht="14.25" hidden="false" customHeight="false" outlineLevel="0" collapsed="false">
      <c r="A3" s="3" t="s">
        <v>2</v>
      </c>
    </row>
    <row r="4" customFormat="false" ht="14.25" hidden="false" customHeight="false" outlineLevel="0" collapsed="false">
      <c r="A4" s="3" t="s">
        <v>3</v>
      </c>
    </row>
    <row r="5" customFormat="false" ht="14.25" hidden="false" customHeight="false" outlineLevel="0" collapsed="false">
      <c r="A5" s="3" t="s">
        <v>4</v>
      </c>
    </row>
    <row r="6" customFormat="false" ht="14.25" hidden="false" customHeight="false" outlineLevel="0" collapsed="false">
      <c r="A6" s="3" t="s">
        <v>5</v>
      </c>
    </row>
    <row r="7" customFormat="false" ht="14.25" hidden="false" customHeight="false" outlineLevel="0" collapsed="false">
      <c r="A7" s="3"/>
    </row>
    <row r="8" customFormat="false" ht="15" hidden="false" customHeight="true" outlineLevel="0" collapsed="false">
      <c r="A8" s="2" t="s">
        <v>6</v>
      </c>
    </row>
    <row r="9" customFormat="false" ht="14.25" hidden="false" customHeight="false" outlineLevel="0" collapsed="false">
      <c r="A9" s="3" t="s">
        <v>7</v>
      </c>
    </row>
    <row r="10" customFormat="false" ht="14.2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5" hidden="false" customHeight="true" outlineLevel="0" collapsed="false">
      <c r="A13" s="2" t="s">
        <v>10</v>
      </c>
    </row>
    <row r="14" customFormat="false" ht="14.25" hidden="false" customHeight="false" outlineLevel="0" collapsed="false">
      <c r="A14" s="3" t="s">
        <v>11</v>
      </c>
    </row>
    <row r="15" customFormat="false" ht="14.25" hidden="false" customHeight="false" outlineLevel="0" collapsed="false">
      <c r="A15" s="3" t="s">
        <v>12</v>
      </c>
    </row>
    <row r="16" customFormat="false" ht="14.25" hidden="false" customHeight="false" outlineLevel="0" collapsed="false">
      <c r="A16" s="3" t="s">
        <v>13</v>
      </c>
    </row>
    <row r="17" customFormat="false" ht="14.25" hidden="false" customHeight="false" outlineLevel="0" collapsed="false">
      <c r="A17" s="3" t="s">
        <v>14</v>
      </c>
    </row>
    <row r="18" customFormat="false" ht="14.25" hidden="false" customHeight="false" outlineLevel="0" collapsed="false">
      <c r="A18" s="3" t="s">
        <v>15</v>
      </c>
    </row>
    <row r="19" customFormat="false" ht="14.25" hidden="false" customHeight="false" outlineLevel="0" collapsed="false">
      <c r="A19" s="3" t="s">
        <v>16</v>
      </c>
    </row>
    <row r="20" customFormat="false" ht="14.25" hidden="false" customHeight="false" outlineLevel="0" collapsed="false">
      <c r="A20" s="3" t="s">
        <v>17</v>
      </c>
    </row>
    <row r="21" customFormat="false" ht="14.25" hidden="false" customHeight="false" outlineLevel="0" collapsed="false">
      <c r="A21" s="3" t="s">
        <v>18</v>
      </c>
    </row>
    <row r="22" customFormat="false" ht="15" hidden="false" customHeight="true" outlineLevel="0" collapsed="false">
      <c r="A22" s="3" t="s">
        <v>19</v>
      </c>
    </row>
    <row r="23" customFormat="false" ht="14.25" hidden="false" customHeight="false" outlineLevel="0" collapsed="false">
      <c r="A23" s="3" t="s">
        <v>20</v>
      </c>
    </row>
    <row r="24" customFormat="false" ht="14.25" hidden="false" customHeight="false" outlineLevel="0" collapsed="false">
      <c r="A24" s="3"/>
    </row>
    <row r="25" customFormat="false" ht="14.25" hidden="false" customHeight="false" outlineLevel="0" collapsed="false">
      <c r="A25" s="2" t="s">
        <v>21</v>
      </c>
    </row>
    <row r="26" customFormat="false" ht="14.25" hidden="false" customHeight="false" outlineLevel="0" collapsed="false">
      <c r="A26" s="3" t="s">
        <v>22</v>
      </c>
    </row>
    <row r="27" customFormat="false" ht="14.25" hidden="false" customHeight="false" outlineLevel="0" collapsed="false">
      <c r="A27" s="3" t="s">
        <v>23</v>
      </c>
    </row>
    <row r="28" customFormat="false" ht="14.25" hidden="false" customHeight="false" outlineLevel="0" collapsed="false">
      <c r="A28" s="3" t="s">
        <v>24</v>
      </c>
    </row>
    <row r="29" customFormat="false" ht="14.25" hidden="false" customHeight="false" outlineLevel="0" collapsed="false">
      <c r="A29" s="3" t="s">
        <v>25</v>
      </c>
    </row>
    <row r="30" customFormat="false" ht="14.25" hidden="false" customHeight="false" outlineLevel="0" collapsed="false">
      <c r="A30" s="3" t="s">
        <v>26</v>
      </c>
    </row>
    <row r="31" customFormat="false" ht="14.25" hidden="false" customHeight="false" outlineLevel="0" collapsed="false">
      <c r="A31" s="3" t="s">
        <v>27</v>
      </c>
    </row>
    <row r="32" customFormat="false" ht="14.25" hidden="false" customHeight="false" outlineLevel="0" collapsed="false">
      <c r="A32" s="3" t="s">
        <v>28</v>
      </c>
    </row>
    <row r="33" customFormat="false" ht="14.25" hidden="false" customHeight="false" outlineLevel="0" collapsed="false">
      <c r="A33" s="3" t="s">
        <v>29</v>
      </c>
    </row>
    <row r="34" customFormat="false" ht="14.25" hidden="false" customHeight="false" outlineLevel="0" collapsed="false">
      <c r="A34" s="3" t="s">
        <v>30</v>
      </c>
    </row>
    <row r="35" customFormat="false" ht="15" hidden="false" customHeight="true" outlineLevel="0" collapsed="false">
      <c r="A35" s="3" t="s">
        <v>31</v>
      </c>
    </row>
    <row r="36" customFormat="false" ht="14.25" hidden="false" customHeight="false" outlineLevel="0" collapsed="false">
      <c r="A36" s="3" t="s">
        <v>32</v>
      </c>
    </row>
    <row r="37" customFormat="false" ht="14.25" hidden="false" customHeight="false" outlineLevel="0" collapsed="false">
      <c r="A37" s="3"/>
    </row>
    <row r="38" customFormat="false" ht="14.25" hidden="false" customHeight="false" outlineLevel="0" collapsed="false">
      <c r="A38" s="2" t="s">
        <v>33</v>
      </c>
    </row>
    <row r="39" customFormat="false" ht="14.25" hidden="false" customHeight="false" outlineLevel="0" collapsed="false">
      <c r="A39" s="3" t="s">
        <v>34</v>
      </c>
    </row>
    <row r="40" customFormat="false" ht="14.25" hidden="false" customHeight="false" outlineLevel="0" collapsed="false">
      <c r="A40" s="3" t="s">
        <v>35</v>
      </c>
    </row>
    <row r="41" customFormat="false" ht="14.25" hidden="false" customHeight="false" outlineLevel="0" collapsed="false">
      <c r="A41" s="3" t="s">
        <v>36</v>
      </c>
    </row>
    <row r="42" customFormat="false" ht="14.25" hidden="false" customHeight="false" outlineLevel="0" collapsed="false">
      <c r="A42" s="3" t="s">
        <v>37</v>
      </c>
    </row>
    <row r="43" customFormat="false" ht="14.25" hidden="false" customHeight="false" outlineLevel="0" collapsed="false">
      <c r="A43" s="3" t="s">
        <v>38</v>
      </c>
    </row>
    <row r="44" customFormat="false" ht="14.25" hidden="false" customHeight="false" outlineLevel="0" collapsed="false">
      <c r="A44" s="3" t="s">
        <v>39</v>
      </c>
    </row>
    <row r="45" customFormat="false" ht="14.25" hidden="false" customHeight="false" outlineLevel="0" collapsed="false">
      <c r="A45" s="3" t="s">
        <v>40</v>
      </c>
    </row>
    <row r="46" customFormat="false" ht="14.25" hidden="false" customHeight="false" outlineLevel="0" collapsed="false">
      <c r="A46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34"/>
    <col collapsed="false" customWidth="true" hidden="false" outlineLevel="0" max="5" min="5" style="1" width="16"/>
  </cols>
  <sheetData>
    <row r="1" customFormat="false" ht="16.15" hidden="false" customHeight="false" outlineLevel="0" collapsed="false">
      <c r="A1" s="4" t="s">
        <v>42</v>
      </c>
    </row>
    <row r="2" customFormat="false" ht="14.25" hidden="false" customHeight="false" outlineLevel="0" collapsed="false">
      <c r="A2" s="3" t="s">
        <v>43</v>
      </c>
    </row>
    <row r="4" customFormat="false" ht="14.25" hidden="false" customHeight="false" outlineLevel="0" collapsed="false">
      <c r="A4" s="5" t="s">
        <v>44</v>
      </c>
      <c r="B4" s="6"/>
      <c r="C4" s="6"/>
      <c r="D4" s="6"/>
      <c r="E4" s="6"/>
    </row>
    <row r="5" customFormat="false" ht="14.25" hidden="false" customHeight="false" outlineLevel="0" collapsed="false">
      <c r="A5" s="7" t="s">
        <v>45</v>
      </c>
      <c r="B5" s="7" t="s">
        <v>46</v>
      </c>
      <c r="C5" s="7" t="s">
        <v>47</v>
      </c>
      <c r="D5" s="7" t="s">
        <v>48</v>
      </c>
      <c r="E5" s="7"/>
    </row>
    <row r="6" customFormat="false" ht="14.25" hidden="false" customHeight="false" outlineLevel="0" collapsed="false">
      <c r="A6" s="8" t="s">
        <v>49</v>
      </c>
      <c r="B6" s="9" t="n">
        <f aca="false">Params!$C$2</f>
        <v>12222</v>
      </c>
      <c r="C6" s="8" t="s">
        <v>50</v>
      </c>
      <c r="D6" s="8" t="s">
        <v>51</v>
      </c>
    </row>
    <row r="7" customFormat="false" ht="14.25" hidden="false" customHeight="false" outlineLevel="0" collapsed="false">
      <c r="A7" s="8" t="s">
        <v>52</v>
      </c>
      <c r="B7" s="9" t="n">
        <f aca="false">Params!$C$3</f>
        <v>222</v>
      </c>
      <c r="C7" s="8" t="s">
        <v>50</v>
      </c>
      <c r="D7" s="8" t="s">
        <v>53</v>
      </c>
    </row>
    <row r="8" customFormat="false" ht="14.25" hidden="false" customHeight="false" outlineLevel="0" collapsed="false">
      <c r="A8" s="8" t="s">
        <v>54</v>
      </c>
      <c r="B8" s="9" t="n">
        <f aca="false">Params!$C$4</f>
        <v>1800</v>
      </c>
      <c r="C8" s="8" t="s">
        <v>50</v>
      </c>
      <c r="D8" s="8" t="s">
        <v>55</v>
      </c>
    </row>
    <row r="9" customFormat="false" ht="14.25" hidden="false" customHeight="false" outlineLevel="0" collapsed="false">
      <c r="A9" s="8" t="s">
        <v>56</v>
      </c>
      <c r="B9" s="9" t="n">
        <f aca="false">Params!$C$7</f>
        <v>12</v>
      </c>
      <c r="C9" s="8" t="s">
        <v>57</v>
      </c>
      <c r="D9" s="8" t="s">
        <v>58</v>
      </c>
    </row>
    <row r="10" customFormat="false" ht="14.25" hidden="false" customHeight="false" outlineLevel="0" collapsed="false">
      <c r="A10" s="8" t="s">
        <v>59</v>
      </c>
      <c r="B10" s="9" t="n">
        <f aca="false">Params!$C$10</f>
        <v>0.12</v>
      </c>
      <c r="C10" s="8" t="s">
        <v>60</v>
      </c>
      <c r="D10" s="8" t="s">
        <v>61</v>
      </c>
    </row>
    <row r="11" customFormat="false" ht="14.25" hidden="false" customHeight="false" outlineLevel="0" collapsed="false">
      <c r="A11" s="8" t="s">
        <v>62</v>
      </c>
      <c r="B11" s="9" t="n">
        <f aca="false">Params!$C$11</f>
        <v>0.5</v>
      </c>
      <c r="C11" s="8" t="s">
        <v>63</v>
      </c>
      <c r="D11" s="8" t="s">
        <v>64</v>
      </c>
    </row>
    <row r="12" customFormat="false" ht="14.25" hidden="false" customHeight="false" outlineLevel="0" collapsed="false">
      <c r="A12" s="8" t="s">
        <v>65</v>
      </c>
      <c r="B12" s="9" t="n">
        <f aca="false">Params!$C$12</f>
        <v>2</v>
      </c>
      <c r="C12" s="8" t="s">
        <v>66</v>
      </c>
      <c r="D12" s="8" t="s">
        <v>67</v>
      </c>
    </row>
    <row r="13" customFormat="false" ht="14.25" hidden="false" customHeight="false" outlineLevel="0" collapsed="false">
      <c r="A13" s="8" t="s">
        <v>68</v>
      </c>
      <c r="B13" s="9" t="str">
        <f aca="false">Params!$C$18</f>
        <v>S3 - 40%</v>
      </c>
      <c r="C13" s="8" t="s">
        <v>69</v>
      </c>
      <c r="D13" s="8" t="s">
        <v>70</v>
      </c>
    </row>
    <row r="15" customFormat="false" ht="14.25" hidden="false" customHeight="false" outlineLevel="0" collapsed="false">
      <c r="A15" s="5" t="s">
        <v>71</v>
      </c>
      <c r="B15" s="6"/>
      <c r="C15" s="6"/>
      <c r="D15" s="6"/>
      <c r="E15" s="6"/>
    </row>
    <row r="16" customFormat="false" ht="14.25" hidden="false" customHeight="false" outlineLevel="0" collapsed="false">
      <c r="A16" s="7" t="s">
        <v>72</v>
      </c>
      <c r="B16" s="7" t="s">
        <v>73</v>
      </c>
      <c r="C16" s="7"/>
      <c r="D16" s="7" t="s">
        <v>74</v>
      </c>
      <c r="E16" s="7" t="s">
        <v>48</v>
      </c>
    </row>
    <row r="17" customFormat="false" ht="26.85" hidden="false" customHeight="false" outlineLevel="0" collapsed="false">
      <c r="A17" s="8" t="s">
        <v>75</v>
      </c>
      <c r="B17" s="10" t="str">
        <f aca="false">"SEW "&amp;Catalogue!$F$3&amp;" (IE3, 4 cực, 400 V/50 Hz)"</f>
        <v>SEW DRN80M4 (IE3, 4 cực, 400 V/50 Hz)</v>
      </c>
      <c r="C17" s="8"/>
      <c r="D17" s="10" t="str">
        <f aca="false">TEXT(Catalogue!$F$4,"0.00")&amp;" kW · "&amp;TEXT(Catalogue!$F$5,"0.00")&amp;" N·m · "&amp;Catalogue!$F$6&amp;" vg/ph · "&amp;TEXT(Catalogue!$F$7,"0.00")&amp;" A · λK = "&amp;Catalogue!$F$12</f>
        <v>0.75 kW · 4.95 N·m · 1440 vg/ph · 1.75 A · λK = 3.4</v>
      </c>
      <c r="E17" s="8" t="s">
        <v>76</v>
      </c>
    </row>
    <row r="18" customFormat="false" ht="14.25" hidden="false" customHeight="false" outlineLevel="0" collapsed="false">
      <c r="A18" s="8" t="s">
        <v>77</v>
      </c>
      <c r="B18" s="8" t="s">
        <v>78</v>
      </c>
      <c r="C18" s="8"/>
      <c r="D18" s="10" t="str">
        <f aca="false">"i = "&amp;TEXT(GiaDinh_K3!$D$39,"0.00")&amp;" · M_a,max = "&amp;TEXT(GiaDinh_K3!$D$40,"#,##0")&amp;" N·m"</f>
        <v>i = 155.34 · M_a,max = 1,550 N·m</v>
      </c>
      <c r="E18" s="8" t="s">
        <v>79</v>
      </c>
    </row>
    <row r="19" customFormat="false" ht="26.85" hidden="false" customHeight="false" outlineLevel="0" collapsed="false">
      <c r="A19" s="8" t="s">
        <v>80</v>
      </c>
      <c r="B19" s="10" t="str">
        <f aca="false">"SEW "&amp;Catalogue!$F$16&amp;" thường đóng"</f>
        <v>SEW BE1 thường đóng</v>
      </c>
      <c r="C19" s="8"/>
      <c r="D19" s="10" t="str">
        <f aca="false">"M_B = "&amp;GiaDinh_K3!$D$20&amp;" N·m (cấp 10/7/5); thử mô-men giữ (QĐ-05)"</f>
        <v>M_B = 7 N·m (cấp 10/7/5); thử mô-men giữ (QĐ-05)</v>
      </c>
      <c r="E19" s="8" t="s">
        <v>81</v>
      </c>
    </row>
    <row r="20" customFormat="false" ht="14.25" hidden="false" customHeight="false" outlineLevel="0" collapsed="false">
      <c r="A20" s="8" t="s">
        <v>82</v>
      </c>
      <c r="B20" s="8" t="s">
        <v>83</v>
      </c>
      <c r="C20" s="8"/>
      <c r="D20" s="10" t="str">
        <f aca="false">GiaDinh_K3!$D$33&amp;" chu kỳ/vòng"</f>
        <v>1024 chu kỳ/vòng</v>
      </c>
      <c r="E20" s="8" t="s">
        <v>84</v>
      </c>
    </row>
    <row r="21" customFormat="false" ht="26.85" hidden="false" customHeight="false" outlineLevel="0" collapsed="false">
      <c r="A21" s="8" t="s">
        <v>85</v>
      </c>
      <c r="B21" s="10" t="str">
        <f aca="false">"ABB "&amp;Catalogue!$F$18</f>
        <v>ABB ACS380-04xS-03A3-4</v>
      </c>
      <c r="C21" s="8"/>
      <c r="D21" s="10" t="str">
        <f aca="false">"I_N = "&amp;Catalogue!$F$19&amp;" A · I_Hd = "&amp;Catalogue!$F$21&amp;" A · I_max = "&amp;Catalogue!$F$23&amp;" A"</f>
        <v>I_N = 3.3 A · I_Hd = 2.6 A · I_max = 4.7 A</v>
      </c>
      <c r="E21" s="8" t="s">
        <v>86</v>
      </c>
    </row>
    <row r="22" customFormat="false" ht="26.85" hidden="false" customHeight="false" outlineLevel="0" collapsed="false">
      <c r="A22" s="8" t="s">
        <v>87</v>
      </c>
      <c r="B22" s="8" t="s">
        <v>88</v>
      </c>
      <c r="C22" s="8"/>
      <c r="D22" s="10" t="str">
        <f aca="false">GiaDinh_K3!$D$42&amp;" Ω · "&amp;GiaDinh_K3!$D$60&amp;" W · có công tắc nhiệt"</f>
        <v>210 Ω · 200 W · có công tắc nhiệt</v>
      </c>
      <c r="E22" s="8" t="s">
        <v>89</v>
      </c>
    </row>
    <row r="23" customFormat="false" ht="26.85" hidden="false" customHeight="false" outlineLevel="0" collapsed="false">
      <c r="A23" s="8" t="s">
        <v>90</v>
      </c>
      <c r="B23" s="8" t="s">
        <v>91</v>
      </c>
      <c r="C23" s="8"/>
      <c r="D23" s="10" t="str">
        <f aca="false">"3 pha "&amp;Params!$C$20&amp;" V ±"&amp;TEXT(GiaDinh_K3!$D$5,"0%")</f>
        <v>3 pha 380 V ±10%</v>
      </c>
      <c r="E23" s="8" t="s">
        <v>92</v>
      </c>
    </row>
    <row r="24" customFormat="false" ht="26.85" hidden="false" customHeight="false" outlineLevel="0" collapsed="false">
      <c r="A24" s="8" t="s">
        <v>93</v>
      </c>
      <c r="B24" s="8" t="s">
        <v>94</v>
      </c>
      <c r="C24" s="8"/>
      <c r="D24" s="10" t="str">
        <f aca="false">"a* = "&amp;GiaDinh_K3!$D$11&amp;" m/s² · ρ* = "&amp;GiaDinh_K3!$D$12&amp;" m/s³ · v_bò = "&amp;TEXT('Tính chọn'!$D$172,"0.000")&amp;" m/s"</f>
        <v>a* = 0.45 m/s² · ρ* = 1.8 m/s³ · v_bò = 0.033 m/s</v>
      </c>
      <c r="E24" s="8" t="s">
        <v>95</v>
      </c>
    </row>
    <row r="26" customFormat="false" ht="14.25" hidden="false" customHeight="false" outlineLevel="0" collapsed="false">
      <c r="A26" s="5" t="s">
        <v>96</v>
      </c>
      <c r="B26" s="6"/>
      <c r="C26" s="6"/>
      <c r="D26" s="6"/>
      <c r="E26" s="6"/>
    </row>
    <row r="27" customFormat="false" ht="14.25" hidden="false" customHeight="false" outlineLevel="0" collapsed="false">
      <c r="A27" s="7" t="s">
        <v>45</v>
      </c>
      <c r="B27" s="7" t="s">
        <v>46</v>
      </c>
      <c r="C27" s="7" t="s">
        <v>47</v>
      </c>
      <c r="D27" s="7" t="s">
        <v>97</v>
      </c>
      <c r="E27" s="7" t="s">
        <v>98</v>
      </c>
    </row>
    <row r="28" customFormat="false" ht="14.25" hidden="false" customHeight="false" outlineLevel="0" collapsed="false">
      <c r="A28" s="8" t="s">
        <v>99</v>
      </c>
      <c r="B28" s="11" t="n">
        <f aca="false">'Tính chọn'!$D$5</f>
        <v>2096.0046</v>
      </c>
      <c r="C28" s="8" t="s">
        <v>100</v>
      </c>
      <c r="D28" s="10" t="str">
        <f aca="false">"w₀ = "&amp;Params!$C$14&amp;" (không dùng φ = "&amp;TEXT(Params!$C$15,"0.00")&amp;")"</f>
        <v>w₀ = 0.015 (không dùng φ = 0.20)</v>
      </c>
      <c r="E28" s="8" t="s">
        <v>101</v>
      </c>
    </row>
    <row r="29" customFormat="false" ht="14.25" hidden="false" customHeight="false" outlineLevel="0" collapsed="false">
      <c r="A29" s="8" t="s">
        <v>102</v>
      </c>
      <c r="B29" s="11" t="n">
        <f aca="false">'Tính chọn'!$D$10</f>
        <v>9218.0046</v>
      </c>
      <c r="C29" s="8" t="s">
        <v>100</v>
      </c>
      <c r="D29" s="8" t="s">
        <v>103</v>
      </c>
      <c r="E29" s="8" t="s">
        <v>104</v>
      </c>
    </row>
    <row r="30" customFormat="false" ht="14.25" hidden="false" customHeight="false" outlineLevel="0" collapsed="false">
      <c r="A30" s="8" t="s">
        <v>105</v>
      </c>
      <c r="B30" s="11" t="str">
        <f aca="false">TEXT('Tính chọn'!$D$7,"0")&amp;" / "&amp;TEXT('Tính chọn'!$D$11,"0")</f>
        <v>279 / 1229</v>
      </c>
      <c r="C30" s="8" t="s">
        <v>106</v>
      </c>
      <c r="D30" s="8"/>
      <c r="E30" s="8"/>
    </row>
    <row r="31" customFormat="false" ht="14.25" hidden="false" customHeight="false" outlineLevel="0" collapsed="false">
      <c r="A31" s="8" t="s">
        <v>107</v>
      </c>
      <c r="B31" s="11" t="str">
        <f aca="false">TEXT('Tính chọn'!$D$19,"0.00")&amp;" / "&amp;TEXT('Tính chọn'!$D$20,"0.00")</f>
        <v>157.08 / 155.34</v>
      </c>
      <c r="C31" s="8" t="s">
        <v>69</v>
      </c>
      <c r="D31" s="10" t="str">
        <f aca="false">"Δv = "&amp;TEXT('Tính chọn'!$D$21,"0.0%")&amp;" (≤ "&amp;TEXT('Kiểm tra'!$D$32,"0%")&amp;")"</f>
        <v>Δv = 1.1% (≤ 5%)</v>
      </c>
      <c r="E31" s="8" t="s">
        <v>108</v>
      </c>
    </row>
    <row r="32" customFormat="false" ht="14.25" hidden="false" customHeight="false" outlineLevel="0" collapsed="false">
      <c r="A32" s="8" t="s">
        <v>109</v>
      </c>
      <c r="B32" s="11" t="str">
        <f aca="false">TEXT('Tính chọn'!$D$30,"0.00000")&amp;" / "&amp;TEXT('Tính chọn'!$D$31,"0.00000")</f>
        <v>0.01323 / 0.00413</v>
      </c>
      <c r="C32" s="8" t="s">
        <v>110</v>
      </c>
      <c r="D32" s="8"/>
      <c r="E32" s="8"/>
    </row>
    <row r="33" customFormat="false" ht="14.25" hidden="false" customHeight="false" outlineLevel="0" collapsed="false">
      <c r="A33" s="8" t="s">
        <v>111</v>
      </c>
      <c r="B33" s="11" t="n">
        <f aca="false">'Tính chọn'!$D$33</f>
        <v>10.8249080736106</v>
      </c>
      <c r="C33" s="8" t="s">
        <v>112</v>
      </c>
      <c r="D33" s="10" t="str">
        <f aca="false">"= "&amp;TEXT('Tính chọn'!$D$35,"0.00")&amp;"·M_N"</f>
        <v>= 2.19·M_N</v>
      </c>
      <c r="E33" s="8"/>
    </row>
    <row r="34" customFormat="false" ht="14.25" hidden="false" customHeight="false" outlineLevel="0" collapsed="false">
      <c r="A34" s="8" t="s">
        <v>113</v>
      </c>
      <c r="B34" s="11" t="n">
        <f aca="false">'Tính chọn'!$D$36</f>
        <v>2.485485</v>
      </c>
      <c r="C34" s="8" t="s">
        <v>69</v>
      </c>
      <c r="D34" s="10" t="str">
        <f aca="false">"biên "&amp;TEXT('Tính chọn'!$D$36/'Tính chọn'!$D$35,"0.00")</f>
        <v>biên 1.14</v>
      </c>
      <c r="E34" s="8" t="s">
        <v>114</v>
      </c>
    </row>
    <row r="35" customFormat="false" ht="14.25" hidden="false" customHeight="false" outlineLevel="0" collapsed="false">
      <c r="A35" s="8" t="s">
        <v>115</v>
      </c>
      <c r="B35" s="11" t="n">
        <f aca="false">'Tính chọn'!$D$58</f>
        <v>1.37816190660059</v>
      </c>
      <c r="C35" s="8" t="s">
        <v>112</v>
      </c>
      <c r="D35" s="8"/>
      <c r="E35" s="8"/>
    </row>
    <row r="36" customFormat="false" ht="14.25" hidden="false" customHeight="false" outlineLevel="0" collapsed="false">
      <c r="A36" s="8" t="s">
        <v>116</v>
      </c>
      <c r="B36" s="11" t="n">
        <f aca="false">'Tính chọn'!$D$60</f>
        <v>3.60885897934136</v>
      </c>
      <c r="C36" s="8" t="s">
        <v>69</v>
      </c>
      <c r="D36" s="10" t="str">
        <f aca="false">"≥ "&amp;TEXT('Kiểm tra'!$D$8,"0.00")&amp;" (SRS A.1)"</f>
        <v>≥ 1.20 (SRS A.1)</v>
      </c>
      <c r="E36" s="8" t="s">
        <v>117</v>
      </c>
    </row>
    <row r="37" customFormat="false" ht="14.25" hidden="false" customHeight="false" outlineLevel="0" collapsed="false">
      <c r="A37" s="8" t="s">
        <v>118</v>
      </c>
      <c r="B37" s="11" t="str">
        <f aca="false">TEXT('Tính chọn'!$D$13,"0.000")&amp;" / "&amp;TEXT('Tính chọn'!$D$16,"0.000")</f>
        <v>1.516 / 1.516</v>
      </c>
      <c r="C37" s="8" t="s">
        <v>69</v>
      </c>
      <c r="D37" s="10" t="str">
        <f aca="false">"≥ "&amp;TEXT('Kiểm tra'!$D$3,"0.00")</f>
        <v>≥ 1.20</v>
      </c>
      <c r="E37" s="8" t="s">
        <v>119</v>
      </c>
    </row>
    <row r="38" customFormat="false" ht="14.25" hidden="false" customHeight="false" outlineLevel="0" collapsed="false">
      <c r="A38" s="8" t="s">
        <v>120</v>
      </c>
      <c r="B38" s="11" t="n">
        <f aca="false">'Tính chọn'!$D$71</f>
        <v>3.3160408607308</v>
      </c>
      <c r="C38" s="8" t="s">
        <v>121</v>
      </c>
      <c r="D38" s="10" t="str">
        <f aca="false">"≤ 1.5·I_Hd = "&amp;TEXT('Tính chọn'!$D$72,"0.00")</f>
        <v>≤ 1.5·I_Hd = 3.90</v>
      </c>
      <c r="E38" s="8" t="s">
        <v>122</v>
      </c>
    </row>
    <row r="39" customFormat="false" ht="14.25" hidden="false" customHeight="false" outlineLevel="0" collapsed="false">
      <c r="A39" s="8" t="s">
        <v>123</v>
      </c>
      <c r="B39" s="11" t="n">
        <f aca="false">'Tính chọn'!$D$75</f>
        <v>436.487797548216</v>
      </c>
      <c r="C39" s="8" t="s">
        <v>106</v>
      </c>
      <c r="D39" s="10" t="str">
        <f aca="false">"≤ P_BR,max = "&amp;TEXT(Catalogue!$F$27*1000,"0")&amp;" W"</f>
        <v>≤ P_BR,max = 1130 W</v>
      </c>
      <c r="E39" s="8" t="s">
        <v>124</v>
      </c>
    </row>
    <row r="40" customFormat="false" ht="14.25" hidden="false" customHeight="false" outlineLevel="0" collapsed="false">
      <c r="A40" s="8" t="s">
        <v>125</v>
      </c>
      <c r="B40" s="11" t="n">
        <f aca="false">'Tính chọn'!$D$230</f>
        <v>724.485904722269</v>
      </c>
      <c r="C40" s="8" t="s">
        <v>106</v>
      </c>
      <c r="D40" s="10" t="str">
        <f aca="false">"biên "&amp;TEXT('Tính chọn'!$D$231,"0.00")</f>
        <v>biên 1.56</v>
      </c>
      <c r="E40" s="8" t="s">
        <v>126</v>
      </c>
    </row>
    <row r="41" customFormat="false" ht="14.25" hidden="false" customHeight="false" outlineLevel="0" collapsed="false">
      <c r="A41" s="8" t="s">
        <v>127</v>
      </c>
      <c r="B41" s="11" t="str">
        <f aca="false">"["&amp;TEXT('Tính chọn'!$D$78,"0")&amp;"; "&amp;TEXT('Tính chọn'!$D$77,"0")&amp;"]"</f>
        <v>[99; 428]</v>
      </c>
      <c r="C41" s="8" t="s">
        <v>128</v>
      </c>
      <c r="D41" s="10" t="str">
        <f aca="false">"chọn "&amp;GiaDinh_K3!$D$42&amp;" Ω"</f>
        <v>chọn 210 Ω</v>
      </c>
      <c r="E41" s="8" t="s">
        <v>129</v>
      </c>
    </row>
    <row r="42" customFormat="false" ht="14.25" hidden="false" customHeight="false" outlineLevel="0" collapsed="false">
      <c r="A42" s="8" t="s">
        <v>130</v>
      </c>
      <c r="B42" s="11" t="n">
        <f aca="false">'Tính chọn'!$D$82</f>
        <v>59.4148877007375</v>
      </c>
      <c r="C42" s="8" t="s">
        <v>131</v>
      </c>
      <c r="D42" s="10" t="str">
        <f aca="false">"E_C tụ = "&amp;TEXT('Tính chọn'!$D$209,"0.0")&amp;" J"</f>
        <v>E_C tụ = 15.5 J</v>
      </c>
      <c r="E42" s="8" t="s">
        <v>132</v>
      </c>
    </row>
    <row r="43" customFormat="false" ht="14.25" hidden="false" customHeight="false" outlineLevel="0" collapsed="false">
      <c r="A43" s="8" t="s">
        <v>133</v>
      </c>
      <c r="B43" s="11" t="str">
        <f aca="false">"["&amp;TEXT('Tính chọn'!$D$88,"0.00")&amp;"; "&amp;TEXT('Tính chọn'!$D$89,"0.00")&amp;"]"</f>
        <v>[5.94; 10.12]</v>
      </c>
      <c r="C43" s="8" t="s">
        <v>112</v>
      </c>
      <c r="D43" s="10" t="str">
        <f aca="false">"chọn "&amp;GiaDinh_K3!$D$20&amp;" N·m"</f>
        <v>chọn 7 N·m</v>
      </c>
      <c r="E43" s="8" t="s">
        <v>134</v>
      </c>
    </row>
    <row r="44" customFormat="false" ht="14.25" hidden="false" customHeight="false" outlineLevel="0" collapsed="false">
      <c r="A44" s="8" t="s">
        <v>135</v>
      </c>
      <c r="B44" s="11" t="str">
        <f aca="false">TEXT('Tính chọn'!$D$39,"0.000")&amp;" / "&amp;TEXT('Tính chọn'!$D$40,"0.0000")&amp;" / "&amp;TEXT('Tính chọn'!$D$41,"0.0000")</f>
        <v>0.250 / 0.0167 / 0.5167</v>
      </c>
      <c r="C44" s="8" t="s">
        <v>136</v>
      </c>
      <c r="D44" s="8"/>
      <c r="E44" s="8" t="s">
        <v>137</v>
      </c>
    </row>
    <row r="45" customFormat="false" ht="14.25" hidden="false" customHeight="false" outlineLevel="0" collapsed="false">
      <c r="A45" s="8" t="s">
        <v>138</v>
      </c>
      <c r="B45" s="11" t="str">
        <f aca="false">TEXT('Tính chọn'!$D$128,"0.00")&amp;" V/A / "&amp;TEXT('Tính chọn'!$D$129*1000,"0.00")&amp;" ms"</f>
        <v>76.58 V/A / 3.98 ms</v>
      </c>
      <c r="C45" s="8"/>
      <c r="D45" s="10" t="str">
        <f aca="false">"Δt_torque = "&amp;TEXT('Tính chọn'!$D$131*1000,"0.00")&amp;" ms"</f>
        <v>Δt_torque = 1.76 ms</v>
      </c>
      <c r="E45" s="8" t="s">
        <v>139</v>
      </c>
    </row>
    <row r="46" customFormat="false" ht="14.25" hidden="false" customHeight="false" outlineLevel="0" collapsed="false">
      <c r="A46" s="8" t="s">
        <v>140</v>
      </c>
      <c r="B46" s="11" t="str">
        <f aca="false">TEXT('Tính chọn'!$D$135,"0.0000")&amp;" A·s/rad / "&amp;TEXT('Tính chọn'!$D$136*1000,"0.00")&amp;" ms"</f>
        <v>0.2952 A·s/rad / 13.00 ms</v>
      </c>
      <c r="C46" s="8"/>
      <c r="D46" s="10" t="str">
        <f aca="false">"PM = "&amp;TEXT('Tính chọn'!$D$152,"0.0")&amp;"° (đầy) / "&amp;TEXT('Tính chọn'!$D$166,"0.0")&amp;"° (không)"</f>
        <v>PM = 31.6° (đầy) / 36.5° (không)</v>
      </c>
      <c r="E46" s="8" t="s">
        <v>141</v>
      </c>
    </row>
    <row r="47" customFormat="false" ht="14.25" hidden="false" customHeight="false" outlineLevel="0" collapsed="false">
      <c r="A47" s="8" t="s">
        <v>142</v>
      </c>
      <c r="B47" s="11" t="n">
        <f aca="false">'Tính chọn'!$D$196</f>
        <v>0.893219974572181</v>
      </c>
      <c r="C47" s="8" t="s">
        <v>69</v>
      </c>
      <c r="D47" s="10" t="str">
        <f aca="false">"I_s,fw = "&amp;TEXT('Tính chọn'!$D$204,"0.00")&amp;" A ≤ "&amp;TEXT('Tính chọn'!$D$72,"0.00")&amp;" A"</f>
        <v>I_s,fw = 1.95 A ≤ 3.90 A</v>
      </c>
      <c r="E47" s="8" t="s">
        <v>143</v>
      </c>
    </row>
    <row r="49" customFormat="false" ht="14.25" hidden="false" customHeight="false" outlineLevel="0" collapsed="false">
      <c r="A49" s="5" t="s">
        <v>144</v>
      </c>
      <c r="B49" s="6"/>
      <c r="C49" s="6"/>
      <c r="D49" s="6"/>
      <c r="E49" s="6"/>
    </row>
    <row r="50" customFormat="false" ht="14.25" hidden="false" customHeight="false" outlineLevel="0" collapsed="false">
      <c r="A50" s="8" t="s">
        <v>145</v>
      </c>
      <c r="B50" s="12" t="str">
        <f aca="false">COUNTIF('Kiểm tra'!$E$2:$E$45,"Đạt")&amp;" / "&amp;COUNTA('Kiểm tra'!$A$2:$A$45)</f>
        <v>40 / 44</v>
      </c>
      <c r="C50" s="12"/>
      <c r="D50" s="12"/>
      <c r="E50" s="12"/>
    </row>
    <row r="51" customFormat="false" ht="14.25" hidden="false" customHeight="false" outlineLevel="0" collapsed="false">
      <c r="A51" s="8" t="s">
        <v>146</v>
      </c>
      <c r="B51" s="12" t="n">
        <f aca="false">COUNTIF('Kiểm tra'!$E$2:$E$45,"Không áp dụng*")</f>
        <v>3</v>
      </c>
      <c r="C51" s="12"/>
      <c r="D51" s="12"/>
      <c r="E51" s="12"/>
    </row>
    <row r="52" customFormat="false" ht="14.25" hidden="false" customHeight="false" outlineLevel="0" collapsed="false">
      <c r="A52" s="8" t="s">
        <v>147</v>
      </c>
      <c r="B52" s="12" t="n">
        <f aca="false">COUNTIF('Kiểm tra'!$E$2:$E$45,"TBD*")</f>
        <v>1</v>
      </c>
      <c r="C52" s="12"/>
      <c r="D52" s="12"/>
      <c r="E52" s="12"/>
    </row>
    <row r="53" customFormat="false" ht="14.25" hidden="false" customHeight="false" outlineLevel="0" collapsed="false">
      <c r="A53" s="8" t="s">
        <v>148</v>
      </c>
      <c r="B53" s="12" t="n">
        <f aca="false">COUNTIF('Kiểm tra'!$E$2:$E$45,"Không đạt*")</f>
        <v>0</v>
      </c>
      <c r="C53" s="12"/>
      <c r="D53" s="12"/>
      <c r="E53" s="12"/>
    </row>
    <row r="54" customFormat="false" ht="14.25" hidden="false" customHeight="false" outlineLevel="0" collapsed="false">
      <c r="A54" s="8" t="s">
        <v>149</v>
      </c>
      <c r="B54" s="12" t="str">
        <f aca="false">COUNTIF(WCCA!$B$17:$C$17,"Đạt")&amp;" / 2"</f>
        <v>2 / 2</v>
      </c>
      <c r="C54" s="12"/>
      <c r="D54" s="12"/>
      <c r="E54" s="12"/>
    </row>
    <row r="55" customFormat="false" ht="14.25" hidden="false" customHeight="false" outlineLevel="0" collapsed="false">
      <c r="A55" s="8" t="s">
        <v>150</v>
      </c>
      <c r="B55" s="12" t="n">
        <f aca="false">MIN(WCCA!$B$12:$C$12)</f>
        <v>1.13655937457734</v>
      </c>
      <c r="C55" s="12"/>
      <c r="D55" s="12"/>
      <c r="E55" s="12"/>
    </row>
    <row r="56" customFormat="false" ht="14.25" hidden="false" customHeight="false" outlineLevel="0" collapsed="false">
      <c r="A56" s="13" t="s">
        <v>151</v>
      </c>
      <c r="B56" s="12" t="str">
        <f aca="false">IF(AND(COUNTIF('Kiểm tra'!$E$2:$E$45,"Không đạt*")=0,COUNTIF(WCCA!$B$17:$C$17,"Đạt")=2),"ĐẠT — cấu hình chốt thỏa mọi kiểm tra phương pháp A; kiểm chứng S (KT-32) chờ Khối 4–5","XEM LẠI — có mục Không đạt trong Kiểm tra / WCCA")</f>
        <v>ĐẠT — cấu hình chốt thỏa mọi kiểm tra phương pháp A; kiểm chứng S (KT-32) chờ Khối 4–5</v>
      </c>
      <c r="C56" s="12"/>
      <c r="D56" s="12"/>
      <c r="E56" s="12"/>
    </row>
    <row r="58" customFormat="false" ht="14.25" hidden="false" customHeight="false" outlineLevel="0" collapsed="false">
      <c r="A58" s="3" t="s">
        <v>152</v>
      </c>
    </row>
    <row r="59" customFormat="false" ht="14.25" hidden="false" customHeight="false" outlineLevel="0" collapsed="false">
      <c r="A59" s="3" t="s">
        <v>153</v>
      </c>
    </row>
  </sheetData>
  <mergeCells count="7">
    <mergeCell ref="B50:E50"/>
    <mergeCell ref="B51:E51"/>
    <mergeCell ref="B52:E52"/>
    <mergeCell ref="B53:E53"/>
    <mergeCell ref="B54:E54"/>
    <mergeCell ref="B55:E55"/>
    <mergeCell ref="B56:E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26"/>
    <col collapsed="false" customWidth="true" hidden="false" outlineLevel="0" max="7" min="7" style="1" width="48"/>
    <col collapsed="false" customWidth="true" hidden="false" outlineLevel="0" max="8" min="8" style="1" width="40"/>
  </cols>
  <sheetData>
    <row r="1" customFormat="false" ht="15" hidden="false" customHeight="true" outlineLevel="0" collapsed="false">
      <c r="A1" s="14" t="s">
        <v>154</v>
      </c>
      <c r="B1" s="14" t="s">
        <v>155</v>
      </c>
      <c r="C1" s="14" t="s">
        <v>46</v>
      </c>
      <c r="D1" s="14" t="s">
        <v>47</v>
      </c>
      <c r="E1" s="14" t="s">
        <v>156</v>
      </c>
      <c r="F1" s="14" t="s">
        <v>157</v>
      </c>
      <c r="G1" s="14" t="s">
        <v>48</v>
      </c>
      <c r="H1" s="14" t="s">
        <v>158</v>
      </c>
    </row>
    <row r="2" customFormat="false" ht="14.25" hidden="false" customHeight="false" outlineLevel="0" collapsed="false">
      <c r="A2" s="15" t="s">
        <v>159</v>
      </c>
      <c r="B2" s="15" t="s">
        <v>160</v>
      </c>
      <c r="C2" s="16" t="n">
        <v>12222</v>
      </c>
      <c r="D2" s="15" t="s">
        <v>50</v>
      </c>
      <c r="E2" s="15" t="s">
        <v>161</v>
      </c>
      <c r="F2" s="15" t="s">
        <v>162</v>
      </c>
      <c r="G2" s="15" t="s">
        <v>163</v>
      </c>
      <c r="H2" s="15" t="s">
        <v>164</v>
      </c>
    </row>
    <row r="3" customFormat="false" ht="14.25" hidden="false" customHeight="false" outlineLevel="0" collapsed="false">
      <c r="A3" s="15" t="s">
        <v>165</v>
      </c>
      <c r="B3" s="15" t="s">
        <v>166</v>
      </c>
      <c r="C3" s="16" t="n">
        <v>222</v>
      </c>
      <c r="D3" s="15" t="s">
        <v>50</v>
      </c>
      <c r="E3" s="15" t="s">
        <v>161</v>
      </c>
      <c r="F3" s="15" t="s">
        <v>162</v>
      </c>
      <c r="G3" s="15" t="s">
        <v>167</v>
      </c>
      <c r="H3" s="15" t="s">
        <v>168</v>
      </c>
    </row>
    <row r="4" customFormat="false" ht="14.25" hidden="false" customHeight="false" outlineLevel="0" collapsed="false">
      <c r="A4" s="15" t="s">
        <v>169</v>
      </c>
      <c r="B4" s="15" t="s">
        <v>170</v>
      </c>
      <c r="C4" s="16" t="n">
        <v>1800</v>
      </c>
      <c r="D4" s="15" t="s">
        <v>50</v>
      </c>
      <c r="E4" s="15" t="s">
        <v>171</v>
      </c>
      <c r="F4" s="15" t="s">
        <v>162</v>
      </c>
      <c r="G4" s="15" t="s">
        <v>172</v>
      </c>
      <c r="H4" s="15" t="s">
        <v>173</v>
      </c>
    </row>
    <row r="5" customFormat="false" ht="14.25" hidden="false" customHeight="false" outlineLevel="0" collapsed="false">
      <c r="A5" s="15" t="s">
        <v>174</v>
      </c>
      <c r="B5" s="15" t="s">
        <v>175</v>
      </c>
      <c r="C5" s="15" t="n">
        <f aca="false">$C$2+$C$3+$C$4</f>
        <v>14244</v>
      </c>
      <c r="D5" s="15" t="s">
        <v>50</v>
      </c>
      <c r="E5" s="15" t="s">
        <v>176</v>
      </c>
      <c r="F5" s="15" t="s">
        <v>162</v>
      </c>
      <c r="G5" s="15" t="s">
        <v>177</v>
      </c>
      <c r="H5" s="15" t="s">
        <v>178</v>
      </c>
    </row>
    <row r="6" customFormat="false" ht="14.25" hidden="false" customHeight="false" outlineLevel="0" collapsed="false">
      <c r="A6" s="15" t="s">
        <v>179</v>
      </c>
      <c r="B6" s="15" t="s">
        <v>180</v>
      </c>
      <c r="C6" s="15" t="n">
        <f aca="false">$C$3+$C$4</f>
        <v>2022</v>
      </c>
      <c r="D6" s="15" t="s">
        <v>50</v>
      </c>
      <c r="E6" s="15" t="s">
        <v>176</v>
      </c>
      <c r="F6" s="15" t="s">
        <v>162</v>
      </c>
      <c r="G6" s="15" t="s">
        <v>181</v>
      </c>
      <c r="H6" s="15" t="s">
        <v>182</v>
      </c>
    </row>
    <row r="7" customFormat="false" ht="14.25" hidden="false" customHeight="false" outlineLevel="0" collapsed="false">
      <c r="A7" s="15" t="s">
        <v>183</v>
      </c>
      <c r="B7" s="15" t="s">
        <v>184</v>
      </c>
      <c r="C7" s="16" t="n">
        <v>12</v>
      </c>
      <c r="D7" s="15" t="s">
        <v>57</v>
      </c>
      <c r="E7" s="15" t="s">
        <v>161</v>
      </c>
      <c r="F7" s="15" t="s">
        <v>185</v>
      </c>
      <c r="G7" s="15" t="s">
        <v>167</v>
      </c>
      <c r="H7" s="15" t="s">
        <v>186</v>
      </c>
    </row>
    <row r="8" customFormat="false" ht="14.25" hidden="false" customHeight="false" outlineLevel="0" collapsed="false">
      <c r="A8" s="15" t="s">
        <v>187</v>
      </c>
      <c r="B8" s="15" t="s">
        <v>188</v>
      </c>
      <c r="C8" s="15" t="n">
        <f aca="false">SQRT($C$19/$C$7)</f>
        <v>0.904157066001256</v>
      </c>
      <c r="D8" s="15" t="s">
        <v>189</v>
      </c>
      <c r="E8" s="15" t="s">
        <v>176</v>
      </c>
      <c r="F8" s="15" t="s">
        <v>185</v>
      </c>
      <c r="G8" s="15" t="s">
        <v>190</v>
      </c>
      <c r="H8" s="15" t="s">
        <v>191</v>
      </c>
    </row>
    <row r="9" customFormat="false" ht="14.25" hidden="false" customHeight="false" outlineLevel="0" collapsed="false">
      <c r="A9" s="15" t="s">
        <v>192</v>
      </c>
      <c r="B9" s="15" t="s">
        <v>193</v>
      </c>
      <c r="C9" s="15" t="n">
        <f aca="false">2*PI()/$C$8</f>
        <v>6.94921882872379</v>
      </c>
      <c r="D9" s="15" t="s">
        <v>136</v>
      </c>
      <c r="E9" s="15" t="s">
        <v>176</v>
      </c>
      <c r="F9" s="15" t="s">
        <v>185</v>
      </c>
      <c r="G9" s="15" t="s">
        <v>194</v>
      </c>
      <c r="H9" s="15" t="s">
        <v>195</v>
      </c>
    </row>
    <row r="10" customFormat="false" ht="14.25" hidden="false" customHeight="false" outlineLevel="0" collapsed="false">
      <c r="A10" s="15" t="s">
        <v>196</v>
      </c>
      <c r="B10" s="15" t="s">
        <v>197</v>
      </c>
      <c r="C10" s="16" t="n">
        <v>0.12</v>
      </c>
      <c r="D10" s="15" t="s">
        <v>60</v>
      </c>
      <c r="E10" s="15" t="s">
        <v>161</v>
      </c>
      <c r="F10" s="15" t="s">
        <v>198</v>
      </c>
      <c r="G10" s="15" t="s">
        <v>167</v>
      </c>
      <c r="H10" s="15" t="s">
        <v>199</v>
      </c>
    </row>
    <row r="11" customFormat="false" ht="14.25" hidden="false" customHeight="false" outlineLevel="0" collapsed="false">
      <c r="A11" s="15" t="s">
        <v>200</v>
      </c>
      <c r="B11" s="15" t="s">
        <v>201</v>
      </c>
      <c r="C11" s="16" t="n">
        <v>0.5</v>
      </c>
      <c r="D11" s="15" t="s">
        <v>63</v>
      </c>
      <c r="E11" s="15" t="s">
        <v>161</v>
      </c>
      <c r="F11" s="15" t="s">
        <v>202</v>
      </c>
      <c r="G11" s="15" t="s">
        <v>203</v>
      </c>
      <c r="H11" s="15" t="s">
        <v>204</v>
      </c>
    </row>
    <row r="12" customFormat="false" ht="14.25" hidden="false" customHeight="false" outlineLevel="0" collapsed="false">
      <c r="A12" s="15" t="s">
        <v>205</v>
      </c>
      <c r="B12" s="15" t="s">
        <v>206</v>
      </c>
      <c r="C12" s="16" t="n">
        <v>2</v>
      </c>
      <c r="D12" s="15" t="s">
        <v>66</v>
      </c>
      <c r="E12" s="15" t="s">
        <v>161</v>
      </c>
      <c r="F12" s="15" t="s">
        <v>202</v>
      </c>
      <c r="G12" s="15" t="s">
        <v>203</v>
      </c>
      <c r="H12" s="15" t="s">
        <v>207</v>
      </c>
    </row>
    <row r="13" customFormat="false" ht="14.25" hidden="false" customHeight="false" outlineLevel="0" collapsed="false">
      <c r="A13" s="15" t="s">
        <v>208</v>
      </c>
      <c r="B13" s="15" t="s">
        <v>209</v>
      </c>
      <c r="C13" s="16" t="n">
        <v>0.25</v>
      </c>
      <c r="D13" s="15" t="s">
        <v>57</v>
      </c>
      <c r="E13" s="15" t="s">
        <v>171</v>
      </c>
      <c r="F13" s="15" t="s">
        <v>210</v>
      </c>
      <c r="G13" s="15" t="s">
        <v>211</v>
      </c>
      <c r="H13" s="15" t="s">
        <v>212</v>
      </c>
    </row>
    <row r="14" customFormat="false" ht="14.25" hidden="false" customHeight="false" outlineLevel="0" collapsed="false">
      <c r="A14" s="15" t="s">
        <v>213</v>
      </c>
      <c r="B14" s="15" t="s">
        <v>214</v>
      </c>
      <c r="C14" s="16" t="n">
        <v>0.015</v>
      </c>
      <c r="D14" s="15" t="s">
        <v>69</v>
      </c>
      <c r="E14" s="15" t="s">
        <v>171</v>
      </c>
      <c r="F14" s="15" t="s">
        <v>162</v>
      </c>
      <c r="G14" s="15" t="s">
        <v>215</v>
      </c>
      <c r="H14" s="15" t="s">
        <v>216</v>
      </c>
    </row>
    <row r="15" customFormat="false" ht="14.25" hidden="false" customHeight="false" outlineLevel="0" collapsed="false">
      <c r="A15" s="15" t="s">
        <v>217</v>
      </c>
      <c r="B15" s="15" t="s">
        <v>218</v>
      </c>
      <c r="C15" s="16" t="n">
        <v>0.2</v>
      </c>
      <c r="D15" s="15" t="s">
        <v>69</v>
      </c>
      <c r="E15" s="15" t="s">
        <v>171</v>
      </c>
      <c r="F15" s="15" t="s">
        <v>162</v>
      </c>
      <c r="G15" s="15" t="s">
        <v>219</v>
      </c>
      <c r="H15" s="15" t="s">
        <v>220</v>
      </c>
    </row>
    <row r="16" customFormat="false" ht="14.25" hidden="false" customHeight="false" outlineLevel="0" collapsed="false">
      <c r="A16" s="15" t="s">
        <v>221</v>
      </c>
      <c r="B16" s="15" t="s">
        <v>222</v>
      </c>
      <c r="C16" s="16" t="n">
        <v>0.9</v>
      </c>
      <c r="D16" s="15" t="s">
        <v>69</v>
      </c>
      <c r="E16" s="15" t="s">
        <v>171</v>
      </c>
      <c r="F16" s="15" t="s">
        <v>162</v>
      </c>
      <c r="G16" s="15" t="s">
        <v>223</v>
      </c>
      <c r="H16" s="15" t="s">
        <v>224</v>
      </c>
    </row>
    <row r="17" customFormat="false" ht="14.25" hidden="false" customHeight="false" outlineLevel="0" collapsed="false">
      <c r="A17" s="15" t="s">
        <v>225</v>
      </c>
      <c r="B17" s="15" t="s">
        <v>226</v>
      </c>
      <c r="C17" s="16" t="n">
        <v>150</v>
      </c>
      <c r="D17" s="15" t="s">
        <v>69</v>
      </c>
      <c r="E17" s="15" t="s">
        <v>171</v>
      </c>
      <c r="F17" s="15" t="s">
        <v>210</v>
      </c>
      <c r="G17" s="15" t="s">
        <v>227</v>
      </c>
      <c r="H17" s="15" t="s">
        <v>228</v>
      </c>
    </row>
    <row r="18" customFormat="false" ht="14.25" hidden="false" customHeight="false" outlineLevel="0" collapsed="false">
      <c r="A18" s="15" t="s">
        <v>70</v>
      </c>
      <c r="B18" s="15" t="s">
        <v>229</v>
      </c>
      <c r="C18" s="16" t="s">
        <v>230</v>
      </c>
      <c r="D18" s="15" t="s">
        <v>69</v>
      </c>
      <c r="E18" s="15" t="s">
        <v>171</v>
      </c>
      <c r="F18" s="15" t="s">
        <v>231</v>
      </c>
      <c r="G18" s="15" t="s">
        <v>232</v>
      </c>
      <c r="H18" s="15" t="s">
        <v>233</v>
      </c>
    </row>
    <row r="19" customFormat="false" ht="14.25" hidden="false" customHeight="false" outlineLevel="0" collapsed="false">
      <c r="A19" s="15" t="s">
        <v>234</v>
      </c>
      <c r="B19" s="15" t="s">
        <v>235</v>
      </c>
      <c r="C19" s="16" t="n">
        <v>9.81</v>
      </c>
      <c r="D19" s="15" t="s">
        <v>63</v>
      </c>
      <c r="E19" s="15" t="s">
        <v>171</v>
      </c>
      <c r="F19" s="15" t="s">
        <v>236</v>
      </c>
      <c r="G19" s="15" t="s">
        <v>237</v>
      </c>
      <c r="H19" s="15" t="s">
        <v>238</v>
      </c>
    </row>
    <row r="20" customFormat="false" ht="14.25" hidden="false" customHeight="false" outlineLevel="0" collapsed="false">
      <c r="A20" s="15" t="s">
        <v>239</v>
      </c>
      <c r="B20" s="15" t="s">
        <v>240</v>
      </c>
      <c r="C20" s="16" t="n">
        <v>380</v>
      </c>
      <c r="D20" s="15" t="s">
        <v>241</v>
      </c>
      <c r="E20" s="15" t="s">
        <v>171</v>
      </c>
      <c r="F20" s="15" t="s">
        <v>231</v>
      </c>
      <c r="G20" s="15" t="s">
        <v>242</v>
      </c>
      <c r="H20" s="15" t="s">
        <v>243</v>
      </c>
    </row>
    <row r="21" customFormat="false" ht="14.25" hidden="false" customHeight="false" outlineLevel="0" collapsed="false">
      <c r="A21" s="15" t="s">
        <v>244</v>
      </c>
      <c r="B21" s="15" t="s">
        <v>245</v>
      </c>
      <c r="C21" s="15" t="n">
        <f aca="false">$C$5*$C$19*$C$14</f>
        <v>2096.0046</v>
      </c>
      <c r="D21" s="15" t="s">
        <v>100</v>
      </c>
      <c r="E21" s="15" t="s">
        <v>176</v>
      </c>
      <c r="F21" s="15" t="s">
        <v>162</v>
      </c>
      <c r="G21" s="15" t="s">
        <v>246</v>
      </c>
      <c r="H21" s="15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52"/>
    <col collapsed="false" customWidth="true" hidden="false" outlineLevel="0" max="7" min="7" style="1" width="30"/>
  </cols>
  <sheetData>
    <row r="1" customFormat="false" ht="15" hidden="false" customHeight="true" outlineLevel="0" collapsed="false">
      <c r="A1" s="14" t="s">
        <v>248</v>
      </c>
      <c r="B1" s="14" t="s">
        <v>45</v>
      </c>
      <c r="C1" s="14" t="s">
        <v>155</v>
      </c>
      <c r="D1" s="14" t="s">
        <v>46</v>
      </c>
      <c r="E1" s="14" t="s">
        <v>47</v>
      </c>
      <c r="F1" s="14" t="s">
        <v>249</v>
      </c>
      <c r="G1" s="14" t="s">
        <v>250</v>
      </c>
    </row>
    <row r="2" customFormat="false" ht="15" hidden="false" customHeight="true" outlineLevel="0" collapsed="false">
      <c r="A2" s="5" t="s">
        <v>251</v>
      </c>
      <c r="B2" s="17"/>
      <c r="C2" s="17"/>
      <c r="D2" s="17"/>
      <c r="E2" s="17"/>
      <c r="F2" s="17"/>
      <c r="G2" s="17"/>
    </row>
    <row r="3" customFormat="false" ht="14.25" hidden="false" customHeight="false" outlineLevel="0" collapsed="false">
      <c r="A3" s="18" t="s">
        <v>252</v>
      </c>
      <c r="B3" s="18" t="s">
        <v>253</v>
      </c>
      <c r="C3" s="18" t="s">
        <v>252</v>
      </c>
      <c r="D3" s="19" t="n">
        <v>0.4</v>
      </c>
      <c r="E3" s="18" t="s">
        <v>69</v>
      </c>
      <c r="F3" s="18" t="s">
        <v>254</v>
      </c>
      <c r="G3" s="18" t="s">
        <v>255</v>
      </c>
    </row>
    <row r="4" customFormat="false" ht="14.25" hidden="false" customHeight="false" outlineLevel="0" collapsed="false">
      <c r="A4" s="18" t="s">
        <v>256</v>
      </c>
      <c r="B4" s="18" t="s">
        <v>257</v>
      </c>
      <c r="C4" s="18" t="s">
        <v>258</v>
      </c>
      <c r="D4" s="20" t="n">
        <v>600</v>
      </c>
      <c r="E4" s="18" t="s">
        <v>136</v>
      </c>
      <c r="F4" s="18" t="s">
        <v>259</v>
      </c>
      <c r="G4" s="18" t="s">
        <v>231</v>
      </c>
    </row>
    <row r="5" customFormat="false" ht="14.25" hidden="false" customHeight="false" outlineLevel="0" collapsed="false">
      <c r="A5" s="18" t="s">
        <v>260</v>
      </c>
      <c r="B5" s="18" t="s">
        <v>261</v>
      </c>
      <c r="C5" s="18" t="s">
        <v>262</v>
      </c>
      <c r="D5" s="19" t="n">
        <v>0.1</v>
      </c>
      <c r="E5" s="18" t="s">
        <v>69</v>
      </c>
      <c r="F5" s="18" t="s">
        <v>263</v>
      </c>
      <c r="G5" s="18" t="s">
        <v>239</v>
      </c>
    </row>
    <row r="6" customFormat="false" ht="14.25" hidden="false" customHeight="false" outlineLevel="0" collapsed="false">
      <c r="A6" s="18" t="s">
        <v>264</v>
      </c>
      <c r="B6" s="18" t="s">
        <v>265</v>
      </c>
      <c r="C6" s="18" t="s">
        <v>266</v>
      </c>
      <c r="D6" s="20" t="n">
        <v>50</v>
      </c>
      <c r="E6" s="18" t="s">
        <v>267</v>
      </c>
      <c r="F6" s="18" t="s">
        <v>239</v>
      </c>
      <c r="G6" s="18" t="s">
        <v>239</v>
      </c>
    </row>
    <row r="7" customFormat="false" ht="15" hidden="false" customHeight="true" outlineLevel="0" collapsed="false">
      <c r="A7" s="5" t="s">
        <v>268</v>
      </c>
      <c r="B7" s="17"/>
      <c r="C7" s="17"/>
      <c r="D7" s="17"/>
      <c r="E7" s="17"/>
      <c r="F7" s="17"/>
      <c r="G7" s="17"/>
    </row>
    <row r="8" customFormat="false" ht="28.5" hidden="false" customHeight="true" outlineLevel="0" collapsed="false">
      <c r="A8" s="18" t="s">
        <v>269</v>
      </c>
      <c r="B8" s="18" t="s">
        <v>270</v>
      </c>
      <c r="C8" s="18" t="s">
        <v>271</v>
      </c>
      <c r="D8" s="19" t="n">
        <v>1.15</v>
      </c>
      <c r="E8" s="18" t="s">
        <v>69</v>
      </c>
      <c r="F8" s="18" t="s">
        <v>272</v>
      </c>
      <c r="G8" s="18" t="s">
        <v>273</v>
      </c>
    </row>
    <row r="9" customFormat="false" ht="14.25" hidden="false" customHeight="false" outlineLevel="0" collapsed="false">
      <c r="A9" s="18" t="s">
        <v>274</v>
      </c>
      <c r="B9" s="18" t="s">
        <v>275</v>
      </c>
      <c r="C9" s="18" t="s">
        <v>276</v>
      </c>
      <c r="D9" s="19" t="n">
        <v>0.5</v>
      </c>
      <c r="E9" s="18" t="s">
        <v>69</v>
      </c>
      <c r="F9" s="18" t="s">
        <v>277</v>
      </c>
      <c r="G9" s="18" t="s">
        <v>278</v>
      </c>
    </row>
    <row r="10" customFormat="false" ht="28.5" hidden="false" customHeight="true" outlineLevel="0" collapsed="false">
      <c r="A10" s="18" t="s">
        <v>279</v>
      </c>
      <c r="B10" s="18" t="s">
        <v>280</v>
      </c>
      <c r="C10" s="18" t="s">
        <v>281</v>
      </c>
      <c r="D10" s="20" t="n">
        <v>2</v>
      </c>
      <c r="E10" s="18" t="s">
        <v>69</v>
      </c>
      <c r="F10" s="18" t="s">
        <v>282</v>
      </c>
      <c r="G10" s="18" t="s">
        <v>283</v>
      </c>
    </row>
    <row r="11" customFormat="false" ht="14.25" hidden="false" customHeight="false" outlineLevel="0" collapsed="false">
      <c r="A11" s="18" t="s">
        <v>284</v>
      </c>
      <c r="B11" s="18" t="s">
        <v>285</v>
      </c>
      <c r="C11" s="18" t="s">
        <v>286</v>
      </c>
      <c r="D11" s="21" t="n">
        <v>0.45</v>
      </c>
      <c r="E11" s="18" t="s">
        <v>63</v>
      </c>
      <c r="F11" s="18" t="s">
        <v>287</v>
      </c>
      <c r="G11" s="18" t="s">
        <v>288</v>
      </c>
    </row>
    <row r="12" customFormat="false" ht="14.25" hidden="false" customHeight="false" outlineLevel="0" collapsed="false">
      <c r="A12" s="18" t="s">
        <v>289</v>
      </c>
      <c r="B12" s="18" t="s">
        <v>290</v>
      </c>
      <c r="C12" s="18" t="s">
        <v>291</v>
      </c>
      <c r="D12" s="21" t="n">
        <v>1.8</v>
      </c>
      <c r="E12" s="18" t="s">
        <v>66</v>
      </c>
      <c r="F12" s="18" t="s">
        <v>292</v>
      </c>
      <c r="G12" s="18" t="s">
        <v>288</v>
      </c>
    </row>
    <row r="13" customFormat="false" ht="14.25" hidden="false" customHeight="false" outlineLevel="0" collapsed="false">
      <c r="A13" s="18" t="s">
        <v>293</v>
      </c>
      <c r="B13" s="18" t="s">
        <v>294</v>
      </c>
      <c r="C13" s="18" t="s">
        <v>295</v>
      </c>
      <c r="D13" s="19" t="n">
        <v>0.97</v>
      </c>
      <c r="E13" s="18" t="s">
        <v>69</v>
      </c>
      <c r="F13" s="18" t="s">
        <v>296</v>
      </c>
      <c r="G13" s="18" t="s">
        <v>297</v>
      </c>
    </row>
    <row r="14" customFormat="false" ht="28.5" hidden="false" customHeight="true" outlineLevel="0" collapsed="false">
      <c r="A14" s="18" t="s">
        <v>298</v>
      </c>
      <c r="B14" s="18" t="s">
        <v>299</v>
      </c>
      <c r="C14" s="18" t="s">
        <v>298</v>
      </c>
      <c r="D14" s="20" t="n">
        <v>700</v>
      </c>
      <c r="E14" s="18" t="s">
        <v>300</v>
      </c>
      <c r="F14" s="18" t="s">
        <v>301</v>
      </c>
      <c r="G14" s="18" t="s">
        <v>302</v>
      </c>
    </row>
    <row r="15" customFormat="false" ht="14.25" hidden="false" customHeight="false" outlineLevel="0" collapsed="false">
      <c r="A15" s="18" t="s">
        <v>303</v>
      </c>
      <c r="B15" s="18" t="s">
        <v>304</v>
      </c>
      <c r="C15" s="18" t="s">
        <v>305</v>
      </c>
      <c r="D15" s="20" t="n">
        <v>780</v>
      </c>
      <c r="E15" s="18" t="s">
        <v>300</v>
      </c>
      <c r="F15" s="18" t="s">
        <v>306</v>
      </c>
      <c r="G15" s="18" t="s">
        <v>302</v>
      </c>
    </row>
    <row r="16" customFormat="false" ht="14.25" hidden="false" customHeight="false" outlineLevel="0" collapsed="false">
      <c r="A16" s="18" t="s">
        <v>307</v>
      </c>
      <c r="B16" s="18" t="s">
        <v>308</v>
      </c>
      <c r="C16" s="18" t="s">
        <v>307</v>
      </c>
      <c r="D16" s="20" t="n">
        <v>800</v>
      </c>
      <c r="E16" s="18" t="s">
        <v>300</v>
      </c>
      <c r="F16" s="18" t="s">
        <v>309</v>
      </c>
      <c r="G16" s="18" t="s">
        <v>302</v>
      </c>
    </row>
    <row r="17" customFormat="false" ht="28.5" hidden="false" customHeight="true" outlineLevel="0" collapsed="false">
      <c r="A17" s="18" t="s">
        <v>310</v>
      </c>
      <c r="B17" s="18" t="s">
        <v>311</v>
      </c>
      <c r="C17" s="18" t="s">
        <v>312</v>
      </c>
      <c r="D17" s="19" t="n">
        <v>1.25</v>
      </c>
      <c r="E17" s="18" t="s">
        <v>69</v>
      </c>
      <c r="F17" s="18" t="s">
        <v>313</v>
      </c>
      <c r="G17" s="18" t="s">
        <v>314</v>
      </c>
    </row>
    <row r="18" customFormat="false" ht="14.25" hidden="false" customHeight="false" outlineLevel="0" collapsed="false">
      <c r="A18" s="18" t="s">
        <v>315</v>
      </c>
      <c r="B18" s="18" t="s">
        <v>316</v>
      </c>
      <c r="C18" s="18" t="s">
        <v>317</v>
      </c>
      <c r="D18" s="19" t="n">
        <v>1</v>
      </c>
      <c r="E18" s="18" t="s">
        <v>69</v>
      </c>
      <c r="F18" s="18" t="s">
        <v>318</v>
      </c>
      <c r="G18" s="18" t="s">
        <v>319</v>
      </c>
    </row>
    <row r="19" customFormat="false" ht="14.25" hidden="false" customHeight="false" outlineLevel="0" collapsed="false">
      <c r="A19" s="18" t="s">
        <v>320</v>
      </c>
      <c r="B19" s="18" t="s">
        <v>321</v>
      </c>
      <c r="C19" s="18" t="s">
        <v>322</v>
      </c>
      <c r="D19" s="19" t="n">
        <v>1.2</v>
      </c>
      <c r="E19" s="18" t="s">
        <v>69</v>
      </c>
      <c r="F19" s="18" t="s">
        <v>323</v>
      </c>
      <c r="G19" s="18" t="s">
        <v>297</v>
      </c>
    </row>
    <row r="20" customFormat="false" ht="28.5" hidden="false" customHeight="true" outlineLevel="0" collapsed="false">
      <c r="A20" s="18" t="s">
        <v>324</v>
      </c>
      <c r="B20" s="18" t="s">
        <v>325</v>
      </c>
      <c r="C20" s="18" t="s">
        <v>326</v>
      </c>
      <c r="D20" s="22" t="n">
        <v>7</v>
      </c>
      <c r="E20" s="18" t="s">
        <v>112</v>
      </c>
      <c r="F20" s="18" t="s">
        <v>327</v>
      </c>
      <c r="G20" s="18" t="s">
        <v>328</v>
      </c>
    </row>
    <row r="21" customFormat="false" ht="14.25" hidden="false" customHeight="false" outlineLevel="0" collapsed="false">
      <c r="A21" s="18" t="s">
        <v>329</v>
      </c>
      <c r="B21" s="18" t="s">
        <v>330</v>
      </c>
      <c r="C21" s="18" t="s">
        <v>331</v>
      </c>
      <c r="D21" s="19" t="n">
        <v>0.05</v>
      </c>
      <c r="E21" s="18" t="s">
        <v>136</v>
      </c>
      <c r="F21" s="18" t="s">
        <v>332</v>
      </c>
      <c r="G21" s="18" t="s">
        <v>297</v>
      </c>
    </row>
    <row r="22" customFormat="false" ht="14.25" hidden="false" customHeight="false" outlineLevel="0" collapsed="false">
      <c r="A22" s="18" t="s">
        <v>333</v>
      </c>
      <c r="B22" s="18" t="s">
        <v>334</v>
      </c>
      <c r="C22" s="18" t="s">
        <v>333</v>
      </c>
      <c r="D22" s="20" t="n">
        <v>4000</v>
      </c>
      <c r="E22" s="18" t="s">
        <v>267</v>
      </c>
      <c r="F22" s="18" t="s">
        <v>335</v>
      </c>
      <c r="G22" s="18" t="s">
        <v>336</v>
      </c>
    </row>
    <row r="23" customFormat="false" ht="14.25" hidden="false" customHeight="false" outlineLevel="0" collapsed="false">
      <c r="A23" s="18" t="s">
        <v>337</v>
      </c>
      <c r="B23" s="18" t="s">
        <v>338</v>
      </c>
      <c r="C23" s="18" t="s">
        <v>339</v>
      </c>
      <c r="D23" s="19" t="n">
        <v>1.5</v>
      </c>
      <c r="E23" s="18" t="s">
        <v>69</v>
      </c>
      <c r="F23" s="18" t="s">
        <v>340</v>
      </c>
      <c r="G23" s="18" t="s">
        <v>341</v>
      </c>
    </row>
    <row r="24" customFormat="false" ht="14.25" hidden="false" customHeight="false" outlineLevel="0" collapsed="false">
      <c r="A24" s="18" t="s">
        <v>342</v>
      </c>
      <c r="B24" s="18" t="s">
        <v>343</v>
      </c>
      <c r="C24" s="18" t="s">
        <v>344</v>
      </c>
      <c r="D24" s="19" t="n">
        <v>0.001</v>
      </c>
      <c r="E24" s="18" t="s">
        <v>136</v>
      </c>
      <c r="F24" s="18" t="s">
        <v>345</v>
      </c>
      <c r="G24" s="18" t="s">
        <v>297</v>
      </c>
    </row>
    <row r="25" customFormat="false" ht="14.25" hidden="false" customHeight="false" outlineLevel="0" collapsed="false">
      <c r="A25" s="18" t="s">
        <v>346</v>
      </c>
      <c r="B25" s="18" t="s">
        <v>347</v>
      </c>
      <c r="C25" s="18" t="s">
        <v>348</v>
      </c>
      <c r="D25" s="19" t="n">
        <v>0.001</v>
      </c>
      <c r="E25" s="18" t="s">
        <v>136</v>
      </c>
      <c r="F25" s="18" t="s">
        <v>349</v>
      </c>
      <c r="G25" s="18" t="s">
        <v>297</v>
      </c>
    </row>
    <row r="26" customFormat="false" ht="14.25" hidden="false" customHeight="false" outlineLevel="0" collapsed="false">
      <c r="A26" s="18" t="s">
        <v>350</v>
      </c>
      <c r="B26" s="18" t="s">
        <v>351</v>
      </c>
      <c r="C26" s="18" t="s">
        <v>352</v>
      </c>
      <c r="D26" s="19" t="n">
        <v>0.3</v>
      </c>
      <c r="E26" s="18" t="s">
        <v>69</v>
      </c>
      <c r="F26" s="18" t="s">
        <v>353</v>
      </c>
      <c r="G26" s="18" t="s">
        <v>297</v>
      </c>
    </row>
    <row r="27" customFormat="false" ht="14.25" hidden="false" customHeight="false" outlineLevel="0" collapsed="false">
      <c r="A27" s="18" t="s">
        <v>354</v>
      </c>
      <c r="B27" s="18" t="s">
        <v>355</v>
      </c>
      <c r="C27" s="18" t="s">
        <v>356</v>
      </c>
      <c r="D27" s="19" t="n">
        <v>0.5</v>
      </c>
      <c r="E27" s="18" t="s">
        <v>69</v>
      </c>
      <c r="F27" s="18" t="s">
        <v>357</v>
      </c>
      <c r="G27" s="18" t="s">
        <v>297</v>
      </c>
    </row>
    <row r="28" customFormat="false" ht="14.25" hidden="false" customHeight="false" outlineLevel="0" collapsed="false">
      <c r="A28" s="18" t="s">
        <v>358</v>
      </c>
      <c r="B28" s="18" t="s">
        <v>359</v>
      </c>
      <c r="C28" s="18" t="s">
        <v>360</v>
      </c>
      <c r="D28" s="20" t="n">
        <v>2</v>
      </c>
      <c r="E28" s="18" t="s">
        <v>69</v>
      </c>
      <c r="F28" s="18" t="s">
        <v>361</v>
      </c>
      <c r="G28" s="18" t="s">
        <v>362</v>
      </c>
    </row>
    <row r="29" customFormat="false" ht="14.25" hidden="false" customHeight="false" outlineLevel="0" collapsed="false">
      <c r="A29" s="18" t="s">
        <v>363</v>
      </c>
      <c r="B29" s="18" t="s">
        <v>364</v>
      </c>
      <c r="C29" s="18" t="s">
        <v>363</v>
      </c>
      <c r="D29" s="20" t="n">
        <v>400</v>
      </c>
      <c r="E29" s="18" t="s">
        <v>300</v>
      </c>
      <c r="F29" s="18" t="s">
        <v>365</v>
      </c>
      <c r="G29" s="18" t="s">
        <v>362</v>
      </c>
    </row>
    <row r="30" customFormat="false" ht="14.25" hidden="false" customHeight="false" outlineLevel="0" collapsed="false">
      <c r="A30" s="18" t="s">
        <v>366</v>
      </c>
      <c r="B30" s="18" t="s">
        <v>367</v>
      </c>
      <c r="C30" s="18" t="s">
        <v>368</v>
      </c>
      <c r="D30" s="21" t="n">
        <v>0.275</v>
      </c>
      <c r="E30" s="18" t="s">
        <v>69</v>
      </c>
      <c r="F30" s="18" t="s">
        <v>369</v>
      </c>
      <c r="G30" s="18" t="s">
        <v>370</v>
      </c>
    </row>
    <row r="31" customFormat="false" ht="14.25" hidden="false" customHeight="false" outlineLevel="0" collapsed="false">
      <c r="A31" s="18" t="s">
        <v>371</v>
      </c>
      <c r="B31" s="18" t="s">
        <v>372</v>
      </c>
      <c r="C31" s="18" t="s">
        <v>373</v>
      </c>
      <c r="D31" s="19" t="n">
        <v>0.005</v>
      </c>
      <c r="E31" s="18" t="s">
        <v>60</v>
      </c>
      <c r="F31" s="18" t="s">
        <v>374</v>
      </c>
      <c r="G31" s="18" t="s">
        <v>319</v>
      </c>
    </row>
    <row r="32" customFormat="false" ht="14.25" hidden="false" customHeight="false" outlineLevel="0" collapsed="false">
      <c r="A32" s="18" t="s">
        <v>375</v>
      </c>
      <c r="B32" s="18" t="s">
        <v>376</v>
      </c>
      <c r="C32" s="18" t="s">
        <v>377</v>
      </c>
      <c r="D32" s="19" t="n">
        <v>0.002</v>
      </c>
      <c r="E32" s="18" t="s">
        <v>60</v>
      </c>
      <c r="F32" s="18" t="s">
        <v>374</v>
      </c>
      <c r="G32" s="18" t="s">
        <v>319</v>
      </c>
    </row>
    <row r="33" customFormat="false" ht="14.25" hidden="false" customHeight="false" outlineLevel="0" collapsed="false">
      <c r="A33" s="18" t="s">
        <v>378</v>
      </c>
      <c r="B33" s="18" t="s">
        <v>379</v>
      </c>
      <c r="C33" s="18" t="s">
        <v>378</v>
      </c>
      <c r="D33" s="20" t="n">
        <v>1024</v>
      </c>
      <c r="E33" s="18" t="s">
        <v>380</v>
      </c>
      <c r="F33" s="18" t="s">
        <v>83</v>
      </c>
      <c r="G33" s="18" t="s">
        <v>84</v>
      </c>
    </row>
    <row r="34" customFormat="false" ht="14.25" hidden="false" customHeight="false" outlineLevel="0" collapsed="false">
      <c r="A34" s="18" t="s">
        <v>381</v>
      </c>
      <c r="B34" s="18" t="s">
        <v>382</v>
      </c>
      <c r="C34" s="18" t="s">
        <v>383</v>
      </c>
      <c r="D34" s="19" t="n">
        <v>0.005</v>
      </c>
      <c r="E34" s="18" t="s">
        <v>136</v>
      </c>
      <c r="F34" s="18" t="s">
        <v>384</v>
      </c>
      <c r="G34" s="18" t="s">
        <v>385</v>
      </c>
    </row>
    <row r="35" customFormat="false" ht="14.25" hidden="false" customHeight="false" outlineLevel="0" collapsed="false">
      <c r="A35" s="18" t="s">
        <v>386</v>
      </c>
      <c r="B35" s="18" t="s">
        <v>387</v>
      </c>
      <c r="C35" s="18" t="s">
        <v>388</v>
      </c>
      <c r="D35" s="19" t="n">
        <v>0.05</v>
      </c>
      <c r="E35" s="18" t="s">
        <v>69</v>
      </c>
      <c r="F35" s="18" t="s">
        <v>389</v>
      </c>
      <c r="G35" s="18" t="s">
        <v>390</v>
      </c>
    </row>
    <row r="36" customFormat="false" ht="14.25" hidden="false" customHeight="false" outlineLevel="0" collapsed="false">
      <c r="A36" s="18" t="s">
        <v>391</v>
      </c>
      <c r="B36" s="18" t="s">
        <v>392</v>
      </c>
      <c r="C36" s="18" t="s">
        <v>391</v>
      </c>
      <c r="D36" s="20" t="n">
        <v>30</v>
      </c>
      <c r="E36" s="18" t="s">
        <v>393</v>
      </c>
      <c r="F36" s="18" t="s">
        <v>394</v>
      </c>
      <c r="G36" s="18" t="s">
        <v>297</v>
      </c>
    </row>
    <row r="37" customFormat="false" ht="15" hidden="false" customHeight="true" outlineLevel="0" collapsed="false">
      <c r="A37" s="5" t="s">
        <v>395</v>
      </c>
      <c r="B37" s="17"/>
      <c r="C37" s="17"/>
      <c r="D37" s="17"/>
      <c r="E37" s="17"/>
      <c r="F37" s="17"/>
      <c r="G37" s="17"/>
    </row>
    <row r="38" customFormat="false" ht="28.5" hidden="false" customHeight="true" outlineLevel="0" collapsed="false">
      <c r="A38" s="18" t="s">
        <v>396</v>
      </c>
      <c r="B38" s="18" t="s">
        <v>397</v>
      </c>
      <c r="C38" s="18" t="s">
        <v>396</v>
      </c>
      <c r="D38" s="22" t="n">
        <v>1</v>
      </c>
      <c r="E38" s="18" t="s">
        <v>69</v>
      </c>
      <c r="F38" s="18" t="s">
        <v>398</v>
      </c>
      <c r="G38" s="18" t="s">
        <v>399</v>
      </c>
    </row>
    <row r="39" customFormat="false" ht="28.5" hidden="false" customHeight="true" outlineLevel="0" collapsed="false">
      <c r="A39" s="18" t="s">
        <v>400</v>
      </c>
      <c r="B39" s="18" t="s">
        <v>401</v>
      </c>
      <c r="C39" s="18" t="s">
        <v>402</v>
      </c>
      <c r="D39" s="21" t="n">
        <v>155.34</v>
      </c>
      <c r="E39" s="18" t="s">
        <v>69</v>
      </c>
      <c r="F39" s="18" t="s">
        <v>403</v>
      </c>
      <c r="G39" s="18" t="s">
        <v>79</v>
      </c>
    </row>
    <row r="40" customFormat="false" ht="14.25" hidden="false" customHeight="false" outlineLevel="0" collapsed="false">
      <c r="A40" s="18" t="s">
        <v>404</v>
      </c>
      <c r="B40" s="18" t="s">
        <v>405</v>
      </c>
      <c r="C40" s="18" t="s">
        <v>406</v>
      </c>
      <c r="D40" s="20" t="n">
        <v>1550</v>
      </c>
      <c r="E40" s="18" t="s">
        <v>112</v>
      </c>
      <c r="F40" s="18" t="s">
        <v>407</v>
      </c>
      <c r="G40" s="18" t="s">
        <v>79</v>
      </c>
    </row>
    <row r="41" customFormat="false" ht="14.25" hidden="false" customHeight="false" outlineLevel="0" collapsed="false">
      <c r="A41" s="18" t="s">
        <v>408</v>
      </c>
      <c r="B41" s="18" t="s">
        <v>409</v>
      </c>
      <c r="C41" s="18" t="s">
        <v>410</v>
      </c>
      <c r="D41" s="20" t="n">
        <v>17100</v>
      </c>
      <c r="E41" s="18" t="s">
        <v>100</v>
      </c>
      <c r="F41" s="18" t="s">
        <v>411</v>
      </c>
      <c r="G41" s="18" t="s">
        <v>79</v>
      </c>
    </row>
    <row r="42" customFormat="false" ht="42.75" hidden="false" customHeight="true" outlineLevel="0" collapsed="false">
      <c r="A42" s="18" t="s">
        <v>412</v>
      </c>
      <c r="B42" s="18" t="s">
        <v>413</v>
      </c>
      <c r="C42" s="18" t="s">
        <v>414</v>
      </c>
      <c r="D42" s="22" t="n">
        <v>210</v>
      </c>
      <c r="E42" s="18" t="s">
        <v>128</v>
      </c>
      <c r="F42" s="18" t="s">
        <v>415</v>
      </c>
      <c r="G42" s="18" t="s">
        <v>416</v>
      </c>
    </row>
    <row r="43" customFormat="false" ht="14.25" hidden="false" customHeight="false" outlineLevel="0" collapsed="false">
      <c r="A43" s="5" t="s">
        <v>417</v>
      </c>
      <c r="B43" s="17"/>
      <c r="C43" s="17"/>
      <c r="D43" s="17"/>
      <c r="E43" s="17"/>
      <c r="F43" s="17"/>
      <c r="G43" s="17"/>
    </row>
    <row r="44" customFormat="false" ht="26.85" hidden="false" customHeight="false" outlineLevel="0" collapsed="false">
      <c r="A44" s="18" t="s">
        <v>418</v>
      </c>
      <c r="B44" s="18" t="s">
        <v>419</v>
      </c>
      <c r="C44" s="18" t="s">
        <v>418</v>
      </c>
      <c r="D44" s="19" t="n">
        <v>0.95</v>
      </c>
      <c r="E44" s="18" t="s">
        <v>69</v>
      </c>
      <c r="F44" s="18" t="s">
        <v>420</v>
      </c>
      <c r="G44" s="18" t="s">
        <v>297</v>
      </c>
    </row>
    <row r="45" customFormat="false" ht="14.25" hidden="false" customHeight="false" outlineLevel="0" collapsed="false">
      <c r="A45" s="18" t="s">
        <v>421</v>
      </c>
      <c r="B45" s="18" t="s">
        <v>422</v>
      </c>
      <c r="C45" s="18" t="s">
        <v>423</v>
      </c>
      <c r="D45" s="19" t="n">
        <v>0</v>
      </c>
      <c r="E45" s="18" t="s">
        <v>69</v>
      </c>
      <c r="F45" s="18" t="s">
        <v>424</v>
      </c>
      <c r="G45" s="18" t="s">
        <v>297</v>
      </c>
    </row>
    <row r="46" customFormat="false" ht="26.85" hidden="false" customHeight="false" outlineLevel="0" collapsed="false">
      <c r="A46" s="18" t="s">
        <v>425</v>
      </c>
      <c r="B46" s="18" t="s">
        <v>426</v>
      </c>
      <c r="C46" s="18" t="s">
        <v>425</v>
      </c>
      <c r="D46" s="23" t="n">
        <v>0.00022</v>
      </c>
      <c r="E46" s="18" t="s">
        <v>427</v>
      </c>
      <c r="F46" s="18" t="s">
        <v>428</v>
      </c>
      <c r="G46" s="18" t="s">
        <v>297</v>
      </c>
    </row>
    <row r="47" customFormat="false" ht="14.25" hidden="false" customHeight="false" outlineLevel="0" collapsed="false">
      <c r="A47" s="18" t="s">
        <v>429</v>
      </c>
      <c r="B47" s="18" t="s">
        <v>430</v>
      </c>
      <c r="C47" s="18" t="s">
        <v>431</v>
      </c>
      <c r="D47" s="19" t="n">
        <v>20</v>
      </c>
      <c r="E47" s="18" t="s">
        <v>300</v>
      </c>
      <c r="F47" s="18" t="s">
        <v>432</v>
      </c>
      <c r="G47" s="18" t="s">
        <v>297</v>
      </c>
    </row>
    <row r="48" customFormat="false" ht="26.85" hidden="false" customHeight="false" outlineLevel="0" collapsed="false">
      <c r="A48" s="18" t="s">
        <v>433</v>
      </c>
      <c r="B48" s="18" t="s">
        <v>434</v>
      </c>
      <c r="C48" s="18" t="s">
        <v>435</v>
      </c>
      <c r="D48" s="23" t="n">
        <v>5E-005</v>
      </c>
      <c r="E48" s="18" t="s">
        <v>136</v>
      </c>
      <c r="F48" s="18" t="s">
        <v>436</v>
      </c>
      <c r="G48" s="18" t="s">
        <v>437</v>
      </c>
    </row>
    <row r="49" customFormat="false" ht="39.55" hidden="false" customHeight="false" outlineLevel="0" collapsed="false">
      <c r="A49" s="18" t="s">
        <v>438</v>
      </c>
      <c r="B49" s="18" t="s">
        <v>439</v>
      </c>
      <c r="C49" s="18" t="s">
        <v>440</v>
      </c>
      <c r="D49" s="19" t="n">
        <v>0</v>
      </c>
      <c r="E49" s="18" t="s">
        <v>69</v>
      </c>
      <c r="F49" s="18" t="s">
        <v>441</v>
      </c>
      <c r="G49" s="18" t="s">
        <v>297</v>
      </c>
    </row>
    <row r="50" customFormat="false" ht="14.25" hidden="false" customHeight="false" outlineLevel="0" collapsed="false">
      <c r="A50" s="18" t="s">
        <v>442</v>
      </c>
      <c r="B50" s="18" t="s">
        <v>443</v>
      </c>
      <c r="C50" s="18" t="s">
        <v>442</v>
      </c>
      <c r="D50" s="19" t="n">
        <v>0.5</v>
      </c>
      <c r="E50" s="18" t="s">
        <v>136</v>
      </c>
      <c r="F50" s="18" t="s">
        <v>444</v>
      </c>
      <c r="G50" s="18" t="s">
        <v>445</v>
      </c>
    </row>
    <row r="51" customFormat="false" ht="14.25" hidden="false" customHeight="false" outlineLevel="0" collapsed="false">
      <c r="A51" s="18" t="s">
        <v>446</v>
      </c>
      <c r="B51" s="18" t="s">
        <v>447</v>
      </c>
      <c r="C51" s="18" t="s">
        <v>446</v>
      </c>
      <c r="D51" s="19" t="n">
        <v>0.2</v>
      </c>
      <c r="E51" s="18" t="s">
        <v>136</v>
      </c>
      <c r="F51" s="18" t="s">
        <v>448</v>
      </c>
      <c r="G51" s="18" t="s">
        <v>445</v>
      </c>
    </row>
    <row r="52" customFormat="false" ht="14.25" hidden="false" customHeight="false" outlineLevel="0" collapsed="false">
      <c r="A52" s="18" t="s">
        <v>449</v>
      </c>
      <c r="B52" s="18" t="s">
        <v>450</v>
      </c>
      <c r="C52" s="18" t="s">
        <v>449</v>
      </c>
      <c r="D52" s="19" t="n">
        <v>0.1</v>
      </c>
      <c r="E52" s="18" t="s">
        <v>136</v>
      </c>
      <c r="F52" s="18" t="s">
        <v>451</v>
      </c>
      <c r="G52" s="18" t="s">
        <v>445</v>
      </c>
    </row>
    <row r="53" customFormat="false" ht="14.25" hidden="false" customHeight="false" outlineLevel="0" collapsed="false">
      <c r="A53" s="18" t="s">
        <v>452</v>
      </c>
      <c r="B53" s="18" t="s">
        <v>453</v>
      </c>
      <c r="C53" s="18" t="s">
        <v>452</v>
      </c>
      <c r="D53" s="19" t="n">
        <v>0.05</v>
      </c>
      <c r="E53" s="18" t="s">
        <v>136</v>
      </c>
      <c r="F53" s="18" t="s">
        <v>454</v>
      </c>
      <c r="G53" s="18" t="s">
        <v>445</v>
      </c>
    </row>
    <row r="54" customFormat="false" ht="14.25" hidden="false" customHeight="false" outlineLevel="0" collapsed="false">
      <c r="A54" s="18" t="s">
        <v>455</v>
      </c>
      <c r="B54" s="18" t="s">
        <v>456</v>
      </c>
      <c r="C54" s="18" t="s">
        <v>455</v>
      </c>
      <c r="D54" s="19" t="n">
        <v>0.5</v>
      </c>
      <c r="E54" s="18" t="s">
        <v>136</v>
      </c>
      <c r="F54" s="18" t="s">
        <v>457</v>
      </c>
      <c r="G54" s="18" t="s">
        <v>297</v>
      </c>
    </row>
    <row r="55" customFormat="false" ht="26.85" hidden="false" customHeight="false" outlineLevel="0" collapsed="false">
      <c r="A55" s="18" t="s">
        <v>458</v>
      </c>
      <c r="B55" s="18" t="s">
        <v>459</v>
      </c>
      <c r="C55" s="18" t="s">
        <v>458</v>
      </c>
      <c r="D55" s="19" t="n">
        <v>10</v>
      </c>
      <c r="E55" s="18" t="s">
        <v>136</v>
      </c>
      <c r="F55" s="18" t="s">
        <v>460</v>
      </c>
      <c r="G55" s="18" t="s">
        <v>297</v>
      </c>
    </row>
    <row r="56" customFormat="false" ht="14.25" hidden="false" customHeight="false" outlineLevel="0" collapsed="false">
      <c r="A56" s="18" t="s">
        <v>461</v>
      </c>
      <c r="B56" s="18" t="s">
        <v>462</v>
      </c>
      <c r="C56" s="18" t="s">
        <v>461</v>
      </c>
      <c r="D56" s="19" t="n">
        <v>10</v>
      </c>
      <c r="E56" s="18" t="s">
        <v>136</v>
      </c>
      <c r="F56" s="18" t="s">
        <v>463</v>
      </c>
      <c r="G56" s="18" t="s">
        <v>297</v>
      </c>
    </row>
    <row r="57" customFormat="false" ht="14.25" hidden="false" customHeight="false" outlineLevel="0" collapsed="false">
      <c r="A57" s="18" t="s">
        <v>464</v>
      </c>
      <c r="B57" s="18" t="s">
        <v>465</v>
      </c>
      <c r="C57" s="18" t="s">
        <v>464</v>
      </c>
      <c r="D57" s="19" t="n">
        <v>3</v>
      </c>
      <c r="E57" s="18" t="s">
        <v>136</v>
      </c>
      <c r="F57" s="18" t="s">
        <v>466</v>
      </c>
      <c r="G57" s="18" t="s">
        <v>297</v>
      </c>
    </row>
    <row r="58" customFormat="false" ht="52.2" hidden="false" customHeight="false" outlineLevel="0" collapsed="false">
      <c r="A58" s="18" t="s">
        <v>467</v>
      </c>
      <c r="B58" s="18" t="s">
        <v>468</v>
      </c>
      <c r="C58" s="18" t="s">
        <v>469</v>
      </c>
      <c r="D58" s="19" t="n">
        <v>0</v>
      </c>
      <c r="E58" s="18" t="s">
        <v>69</v>
      </c>
      <c r="F58" s="18" t="s">
        <v>470</v>
      </c>
      <c r="G58" s="18" t="s">
        <v>297</v>
      </c>
    </row>
    <row r="59" customFormat="false" ht="14.25" hidden="false" customHeight="false" outlineLevel="0" collapsed="false">
      <c r="A59" s="5" t="s">
        <v>471</v>
      </c>
      <c r="B59" s="6"/>
      <c r="C59" s="6"/>
      <c r="D59" s="6"/>
      <c r="E59" s="6"/>
      <c r="F59" s="6"/>
      <c r="G59" s="6"/>
    </row>
    <row r="60" customFormat="false" ht="26.85" hidden="false" customHeight="false" outlineLevel="0" collapsed="false">
      <c r="A60" s="8" t="s">
        <v>472</v>
      </c>
      <c r="B60" s="8" t="s">
        <v>473</v>
      </c>
      <c r="C60" s="8" t="s">
        <v>472</v>
      </c>
      <c r="D60" s="24" t="n">
        <v>200</v>
      </c>
      <c r="E60" s="8" t="s">
        <v>106</v>
      </c>
      <c r="F60" s="8" t="s">
        <v>474</v>
      </c>
      <c r="G60" s="8" t="s">
        <v>475</v>
      </c>
    </row>
    <row r="61" customFormat="false" ht="14.25" hidden="false" customHeight="false" outlineLevel="0" collapsed="false">
      <c r="A61" s="1" t="s">
        <v>476</v>
      </c>
      <c r="B61" s="1" t="s">
        <v>477</v>
      </c>
      <c r="C61" s="1" t="s">
        <v>478</v>
      </c>
      <c r="D61" s="1" t="n">
        <v>1.5</v>
      </c>
      <c r="E61" s="1" t="s">
        <v>69</v>
      </c>
      <c r="F61" s="1" t="s">
        <v>479</v>
      </c>
      <c r="G61" s="1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4"/>
    <col collapsed="false" customWidth="true" hidden="false" outlineLevel="0" max="3" min="3" style="1" width="12"/>
    <col collapsed="false" customWidth="true" hidden="false" outlineLevel="0" max="5" min="4" style="1" width="18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60"/>
  </cols>
  <sheetData>
    <row r="1" customFormat="false" ht="15" hidden="false" customHeight="true" outlineLevel="0" collapsed="false">
      <c r="A1" s="14" t="s">
        <v>248</v>
      </c>
      <c r="B1" s="14" t="s">
        <v>480</v>
      </c>
      <c r="C1" s="14" t="s">
        <v>155</v>
      </c>
      <c r="D1" s="14" t="s">
        <v>481</v>
      </c>
      <c r="E1" s="14" t="s">
        <v>482</v>
      </c>
      <c r="F1" s="14" t="s">
        <v>483</v>
      </c>
      <c r="G1" s="14" t="s">
        <v>47</v>
      </c>
      <c r="H1" s="14" t="s">
        <v>484</v>
      </c>
    </row>
    <row r="2" customFormat="false" ht="15" hidden="false" customHeight="true" outlineLevel="0" collapsed="false">
      <c r="A2" s="5" t="s">
        <v>485</v>
      </c>
      <c r="B2" s="17"/>
      <c r="C2" s="17"/>
      <c r="D2" s="17"/>
      <c r="E2" s="17"/>
      <c r="F2" s="17"/>
      <c r="G2" s="17"/>
      <c r="H2" s="17"/>
    </row>
    <row r="3" customFormat="false" ht="14.25" hidden="false" customHeight="false" outlineLevel="0" collapsed="false">
      <c r="A3" s="15" t="s">
        <v>486</v>
      </c>
      <c r="B3" s="15" t="s">
        <v>487</v>
      </c>
      <c r="C3" s="15"/>
      <c r="D3" s="16" t="s">
        <v>488</v>
      </c>
      <c r="E3" s="16" t="s">
        <v>489</v>
      </c>
      <c r="F3" s="25" t="str">
        <f aca="false">INDEX(D3:E3,1,GiaDinh_K3!$D$38)</f>
        <v>DRN80M4</v>
      </c>
      <c r="G3" s="15" t="s">
        <v>69</v>
      </c>
      <c r="H3" s="15" t="s">
        <v>490</v>
      </c>
    </row>
    <row r="4" customFormat="false" ht="14.25" hidden="false" customHeight="false" outlineLevel="0" collapsed="false">
      <c r="A4" s="15" t="s">
        <v>491</v>
      </c>
      <c r="B4" s="15" t="s">
        <v>492</v>
      </c>
      <c r="C4" s="15" t="s">
        <v>491</v>
      </c>
      <c r="D4" s="16" t="n">
        <v>0.75</v>
      </c>
      <c r="E4" s="16" t="n">
        <v>1.1</v>
      </c>
      <c r="F4" s="25" t="n">
        <f aca="false">INDEX(D4:E4,1,GiaDinh_K3!$D$38)</f>
        <v>0.75</v>
      </c>
      <c r="G4" s="15" t="s">
        <v>493</v>
      </c>
      <c r="H4" s="15" t="s">
        <v>490</v>
      </c>
    </row>
    <row r="5" customFormat="false" ht="14.25" hidden="false" customHeight="false" outlineLevel="0" collapsed="false">
      <c r="A5" s="15" t="s">
        <v>494</v>
      </c>
      <c r="B5" s="15" t="s">
        <v>495</v>
      </c>
      <c r="C5" s="15" t="s">
        <v>494</v>
      </c>
      <c r="D5" s="16" t="n">
        <v>4.95</v>
      </c>
      <c r="E5" s="16" t="n">
        <v>7.2</v>
      </c>
      <c r="F5" s="25" t="n">
        <f aca="false">INDEX(D5:E5,1,GiaDinh_K3!$D$38)</f>
        <v>4.95</v>
      </c>
      <c r="G5" s="15" t="s">
        <v>112</v>
      </c>
      <c r="H5" s="15" t="s">
        <v>490</v>
      </c>
    </row>
    <row r="6" customFormat="false" ht="14.25" hidden="false" customHeight="false" outlineLevel="0" collapsed="false">
      <c r="A6" s="15" t="s">
        <v>496</v>
      </c>
      <c r="B6" s="15" t="s">
        <v>497</v>
      </c>
      <c r="C6" s="15" t="s">
        <v>496</v>
      </c>
      <c r="D6" s="16" t="n">
        <v>1440</v>
      </c>
      <c r="E6" s="16" t="n">
        <v>1455</v>
      </c>
      <c r="F6" s="25" t="n">
        <f aca="false">INDEX(D6:E6,1,GiaDinh_K3!$D$38)</f>
        <v>1440</v>
      </c>
      <c r="G6" s="15" t="s">
        <v>498</v>
      </c>
      <c r="H6" s="15" t="s">
        <v>490</v>
      </c>
    </row>
    <row r="7" customFormat="false" ht="14.25" hidden="false" customHeight="false" outlineLevel="0" collapsed="false">
      <c r="A7" s="15" t="s">
        <v>499</v>
      </c>
      <c r="B7" s="15" t="s">
        <v>500</v>
      </c>
      <c r="C7" s="15" t="s">
        <v>499</v>
      </c>
      <c r="D7" s="16" t="n">
        <v>1.75</v>
      </c>
      <c r="E7" s="16" t="n">
        <v>2.55</v>
      </c>
      <c r="F7" s="25" t="n">
        <f aca="false">INDEX(D7:E7,1,GiaDinh_K3!$D$38)</f>
        <v>1.75</v>
      </c>
      <c r="G7" s="15" t="s">
        <v>121</v>
      </c>
      <c r="H7" s="15" t="s">
        <v>490</v>
      </c>
    </row>
    <row r="8" customFormat="false" ht="14.25" hidden="false" customHeight="false" outlineLevel="0" collapsed="false">
      <c r="A8" s="15" t="s">
        <v>501</v>
      </c>
      <c r="B8" s="15" t="s">
        <v>502</v>
      </c>
      <c r="C8" s="15" t="s">
        <v>503</v>
      </c>
      <c r="D8" s="16" t="n">
        <v>0.74</v>
      </c>
      <c r="E8" s="16" t="n">
        <v>0.73</v>
      </c>
      <c r="F8" s="25" t="n">
        <f aca="false">INDEX(D8:E8,1,GiaDinh_K3!$D$38)</f>
        <v>0.74</v>
      </c>
      <c r="G8" s="15" t="s">
        <v>69</v>
      </c>
      <c r="H8" s="15" t="s">
        <v>490</v>
      </c>
    </row>
    <row r="9" customFormat="false" ht="14.25" hidden="false" customHeight="false" outlineLevel="0" collapsed="false">
      <c r="A9" s="15" t="s">
        <v>504</v>
      </c>
      <c r="B9" s="15" t="s">
        <v>505</v>
      </c>
      <c r="C9" s="15" t="s">
        <v>506</v>
      </c>
      <c r="D9" s="16" t="n">
        <v>0.829</v>
      </c>
      <c r="E9" s="16" t="n">
        <v>0.845</v>
      </c>
      <c r="F9" s="25" t="n">
        <f aca="false">INDEX(D9:E9,1,GiaDinh_K3!$D$38)</f>
        <v>0.829</v>
      </c>
      <c r="G9" s="15" t="s">
        <v>69</v>
      </c>
      <c r="H9" s="15" t="s">
        <v>490</v>
      </c>
    </row>
    <row r="10" customFormat="false" ht="14.25" hidden="false" customHeight="false" outlineLevel="0" collapsed="false">
      <c r="A10" s="15" t="s">
        <v>507</v>
      </c>
      <c r="B10" s="15" t="s">
        <v>508</v>
      </c>
      <c r="C10" s="15" t="s">
        <v>509</v>
      </c>
      <c r="D10" s="16" t="n">
        <v>6.7</v>
      </c>
      <c r="E10" s="16" t="n">
        <v>6.9</v>
      </c>
      <c r="F10" s="25" t="n">
        <f aca="false">INDEX(D10:E10,1,GiaDinh_K3!$D$38)</f>
        <v>6.7</v>
      </c>
      <c r="G10" s="15" t="s">
        <v>69</v>
      </c>
      <c r="H10" s="15" t="s">
        <v>490</v>
      </c>
    </row>
    <row r="11" customFormat="false" ht="14.25" hidden="false" customHeight="false" outlineLevel="0" collapsed="false">
      <c r="A11" s="15" t="s">
        <v>510</v>
      </c>
      <c r="B11" s="15" t="s">
        <v>511</v>
      </c>
      <c r="C11" s="15" t="s">
        <v>512</v>
      </c>
      <c r="D11" s="16" t="n">
        <v>3.1</v>
      </c>
      <c r="E11" s="16" t="n">
        <v>2.7</v>
      </c>
      <c r="F11" s="25" t="n">
        <f aca="false">INDEX(D11:E11,1,GiaDinh_K3!$D$38)</f>
        <v>3.1</v>
      </c>
      <c r="G11" s="15" t="s">
        <v>69</v>
      </c>
      <c r="H11" s="15" t="s">
        <v>490</v>
      </c>
    </row>
    <row r="12" customFormat="false" ht="14.25" hidden="false" customHeight="false" outlineLevel="0" collapsed="false">
      <c r="A12" s="15" t="s">
        <v>513</v>
      </c>
      <c r="B12" s="15" t="s">
        <v>514</v>
      </c>
      <c r="C12" s="15" t="s">
        <v>515</v>
      </c>
      <c r="D12" s="16" t="n">
        <v>3.4</v>
      </c>
      <c r="E12" s="16" t="n">
        <v>3.3</v>
      </c>
      <c r="F12" s="25" t="n">
        <f aca="false">INDEX(D12:E12,1,GiaDinh_K3!$D$38)</f>
        <v>3.4</v>
      </c>
      <c r="G12" s="15" t="s">
        <v>69</v>
      </c>
      <c r="H12" s="15" t="s">
        <v>490</v>
      </c>
    </row>
    <row r="13" customFormat="false" ht="14.25" hidden="false" customHeight="false" outlineLevel="0" collapsed="false">
      <c r="A13" s="15" t="s">
        <v>516</v>
      </c>
      <c r="B13" s="15" t="s">
        <v>517</v>
      </c>
      <c r="C13" s="15" t="s">
        <v>518</v>
      </c>
      <c r="D13" s="16" t="n">
        <v>2.7</v>
      </c>
      <c r="E13" s="16" t="n">
        <v>2.1</v>
      </c>
      <c r="F13" s="25" t="n">
        <f aca="false">INDEX(D13:E13,1,GiaDinh_K3!$D$38)</f>
        <v>2.7</v>
      </c>
      <c r="G13" s="15" t="s">
        <v>69</v>
      </c>
      <c r="H13" s="15" t="s">
        <v>490</v>
      </c>
    </row>
    <row r="14" customFormat="false" ht="14.25" hidden="false" customHeight="false" outlineLevel="0" collapsed="false">
      <c r="A14" s="15" t="s">
        <v>519</v>
      </c>
      <c r="B14" s="15" t="s">
        <v>520</v>
      </c>
      <c r="C14" s="15" t="s">
        <v>521</v>
      </c>
      <c r="D14" s="16" t="n">
        <v>0.00247</v>
      </c>
      <c r="E14" s="16" t="n">
        <v>0.0054</v>
      </c>
      <c r="F14" s="25" t="n">
        <f aca="false">INDEX(D14:E14,1,GiaDinh_K3!$D$38)</f>
        <v>0.00247</v>
      </c>
      <c r="G14" s="15" t="s">
        <v>110</v>
      </c>
      <c r="H14" s="15" t="s">
        <v>522</v>
      </c>
    </row>
    <row r="15" customFormat="false" ht="14.25" hidden="false" customHeight="false" outlineLevel="0" collapsed="false">
      <c r="A15" s="15" t="s">
        <v>523</v>
      </c>
      <c r="B15" s="15" t="s">
        <v>524</v>
      </c>
      <c r="C15" s="15" t="s">
        <v>525</v>
      </c>
      <c r="D15" s="16" t="n">
        <v>0.00262</v>
      </c>
      <c r="E15" s="16" t="n">
        <v>0.00587</v>
      </c>
      <c r="F15" s="25" t="n">
        <f aca="false">INDEX(D15:E15,1,GiaDinh_K3!$D$38)</f>
        <v>0.00262</v>
      </c>
      <c r="G15" s="15" t="s">
        <v>110</v>
      </c>
      <c r="H15" s="15" t="s">
        <v>526</v>
      </c>
    </row>
    <row r="16" customFormat="false" ht="14.25" hidden="false" customHeight="false" outlineLevel="0" collapsed="false">
      <c r="A16" s="15" t="s">
        <v>527</v>
      </c>
      <c r="B16" s="15" t="s">
        <v>528</v>
      </c>
      <c r="C16" s="15" t="s">
        <v>529</v>
      </c>
      <c r="D16" s="16" t="s">
        <v>530</v>
      </c>
      <c r="E16" s="16" t="s">
        <v>531</v>
      </c>
      <c r="F16" s="25" t="str">
        <f aca="false">INDEX(D16:E16,1,GiaDinh_K3!$D$38)</f>
        <v>BE1</v>
      </c>
      <c r="G16" s="15" t="s">
        <v>69</v>
      </c>
      <c r="H16" s="15" t="s">
        <v>532</v>
      </c>
    </row>
    <row r="17" customFormat="false" ht="15" hidden="false" customHeight="true" outlineLevel="0" collapsed="false">
      <c r="A17" s="5" t="s">
        <v>533</v>
      </c>
      <c r="B17" s="17"/>
      <c r="C17" s="17"/>
      <c r="D17" s="17"/>
      <c r="E17" s="17"/>
      <c r="F17" s="17"/>
      <c r="G17" s="17"/>
      <c r="H17" s="17"/>
    </row>
    <row r="18" customFormat="false" ht="14.25" hidden="false" customHeight="false" outlineLevel="0" collapsed="false">
      <c r="A18" s="15" t="s">
        <v>534</v>
      </c>
      <c r="B18" s="15" t="s">
        <v>535</v>
      </c>
      <c r="C18" s="15"/>
      <c r="D18" s="16" t="s">
        <v>536</v>
      </c>
      <c r="E18" s="16" t="s">
        <v>537</v>
      </c>
      <c r="F18" s="25" t="str">
        <f aca="false">INDEX(D18:E18,1,GiaDinh_K3!$D$38)</f>
        <v>ACS380-04xS-03A3-4</v>
      </c>
      <c r="G18" s="15" t="s">
        <v>69</v>
      </c>
      <c r="H18" s="15" t="s">
        <v>86</v>
      </c>
    </row>
    <row r="19" customFormat="false" ht="14.25" hidden="false" customHeight="false" outlineLevel="0" collapsed="false">
      <c r="A19" s="15" t="s">
        <v>538</v>
      </c>
      <c r="B19" s="15" t="s">
        <v>539</v>
      </c>
      <c r="C19" s="15" t="s">
        <v>540</v>
      </c>
      <c r="D19" s="16" t="n">
        <v>3.3</v>
      </c>
      <c r="E19" s="16" t="n">
        <v>4</v>
      </c>
      <c r="F19" s="25" t="n">
        <f aca="false">INDEX(D19:E19,1,GiaDinh_K3!$D$38)</f>
        <v>3.3</v>
      </c>
      <c r="G19" s="15" t="s">
        <v>121</v>
      </c>
      <c r="H19" s="15" t="s">
        <v>541</v>
      </c>
    </row>
    <row r="20" customFormat="false" ht="14.25" hidden="false" customHeight="false" outlineLevel="0" collapsed="false">
      <c r="A20" s="15" t="s">
        <v>542</v>
      </c>
      <c r="B20" s="15" t="s">
        <v>543</v>
      </c>
      <c r="C20" s="15" t="s">
        <v>544</v>
      </c>
      <c r="D20" s="16" t="n">
        <v>1.1</v>
      </c>
      <c r="E20" s="16" t="n">
        <v>1.5</v>
      </c>
      <c r="F20" s="25" t="n">
        <f aca="false">INDEX(D20:E20,1,GiaDinh_K3!$D$38)</f>
        <v>1.1</v>
      </c>
      <c r="G20" s="15" t="s">
        <v>493</v>
      </c>
      <c r="H20" s="15" t="s">
        <v>86</v>
      </c>
    </row>
    <row r="21" customFormat="false" ht="14.25" hidden="false" customHeight="false" outlineLevel="0" collapsed="false">
      <c r="A21" s="15" t="s">
        <v>545</v>
      </c>
      <c r="B21" s="15" t="s">
        <v>546</v>
      </c>
      <c r="C21" s="15" t="s">
        <v>545</v>
      </c>
      <c r="D21" s="16" t="n">
        <v>2.6</v>
      </c>
      <c r="E21" s="16" t="n">
        <v>3.3</v>
      </c>
      <c r="F21" s="25" t="n">
        <f aca="false">INDEX(D21:E21,1,GiaDinh_K3!$D$38)</f>
        <v>2.6</v>
      </c>
      <c r="G21" s="15" t="s">
        <v>121</v>
      </c>
      <c r="H21" s="15" t="s">
        <v>86</v>
      </c>
    </row>
    <row r="22" customFormat="false" ht="14.25" hidden="false" customHeight="false" outlineLevel="0" collapsed="false">
      <c r="A22" s="15" t="s">
        <v>547</v>
      </c>
      <c r="B22" s="15" t="s">
        <v>548</v>
      </c>
      <c r="C22" s="15" t="s">
        <v>547</v>
      </c>
      <c r="D22" s="16" t="n">
        <v>0.75</v>
      </c>
      <c r="E22" s="16" t="n">
        <v>1.1</v>
      </c>
      <c r="F22" s="25" t="n">
        <f aca="false">INDEX(D22:E22,1,GiaDinh_K3!$D$38)</f>
        <v>0.75</v>
      </c>
      <c r="G22" s="15" t="s">
        <v>493</v>
      </c>
      <c r="H22" s="15" t="s">
        <v>86</v>
      </c>
    </row>
    <row r="23" customFormat="false" ht="14.25" hidden="false" customHeight="false" outlineLevel="0" collapsed="false">
      <c r="A23" s="15" t="s">
        <v>549</v>
      </c>
      <c r="B23" s="15" t="s">
        <v>550</v>
      </c>
      <c r="C23" s="15" t="s">
        <v>549</v>
      </c>
      <c r="D23" s="16" t="n">
        <v>4.7</v>
      </c>
      <c r="E23" s="16" t="n">
        <v>5.9</v>
      </c>
      <c r="F23" s="25" t="n">
        <f aca="false">INDEX(D23:E23,1,GiaDinh_K3!$D$38)</f>
        <v>4.7</v>
      </c>
      <c r="G23" s="15" t="s">
        <v>121</v>
      </c>
      <c r="H23" s="15" t="s">
        <v>86</v>
      </c>
    </row>
    <row r="24" customFormat="false" ht="14.25" hidden="false" customHeight="false" outlineLevel="0" collapsed="false">
      <c r="A24" s="15" t="s">
        <v>551</v>
      </c>
      <c r="B24" s="15" t="s">
        <v>552</v>
      </c>
      <c r="C24" s="15" t="s">
        <v>551</v>
      </c>
      <c r="D24" s="16" t="n">
        <v>99</v>
      </c>
      <c r="E24" s="16" t="n">
        <v>99</v>
      </c>
      <c r="F24" s="25" t="n">
        <f aca="false">INDEX(D24:E24,1,GiaDinh_K3!$D$38)</f>
        <v>99</v>
      </c>
      <c r="G24" s="15" t="s">
        <v>128</v>
      </c>
      <c r="H24" s="15" t="s">
        <v>553</v>
      </c>
    </row>
    <row r="25" customFormat="false" ht="14.25" hidden="false" customHeight="false" outlineLevel="0" collapsed="false">
      <c r="A25" s="15" t="s">
        <v>554</v>
      </c>
      <c r="B25" s="15" t="s">
        <v>555</v>
      </c>
      <c r="C25" s="15" t="s">
        <v>554</v>
      </c>
      <c r="D25" s="16" t="n">
        <v>428</v>
      </c>
      <c r="E25" s="16" t="n">
        <v>285</v>
      </c>
      <c r="F25" s="25" t="n">
        <f aca="false">INDEX(D25:E25,1,GiaDinh_K3!$D$38)</f>
        <v>428</v>
      </c>
      <c r="G25" s="15" t="s">
        <v>128</v>
      </c>
      <c r="H25" s="15" t="s">
        <v>553</v>
      </c>
    </row>
    <row r="26" customFormat="false" ht="14.25" hidden="false" customHeight="false" outlineLevel="0" collapsed="false">
      <c r="A26" s="15" t="s">
        <v>556</v>
      </c>
      <c r="B26" s="15" t="s">
        <v>557</v>
      </c>
      <c r="C26" s="15" t="s">
        <v>558</v>
      </c>
      <c r="D26" s="16" t="n">
        <v>0.75</v>
      </c>
      <c r="E26" s="16" t="n">
        <v>1.1</v>
      </c>
      <c r="F26" s="25" t="n">
        <f aca="false">INDEX(D26:E26,1,GiaDinh_K3!$D$38)</f>
        <v>0.75</v>
      </c>
      <c r="G26" s="15" t="s">
        <v>493</v>
      </c>
      <c r="H26" s="15" t="s">
        <v>553</v>
      </c>
    </row>
    <row r="27" customFormat="false" ht="14.25" hidden="false" customHeight="false" outlineLevel="0" collapsed="false">
      <c r="A27" s="15" t="s">
        <v>559</v>
      </c>
      <c r="B27" s="15" t="s">
        <v>560</v>
      </c>
      <c r="C27" s="15" t="s">
        <v>561</v>
      </c>
      <c r="D27" s="16" t="n">
        <v>1.13</v>
      </c>
      <c r="E27" s="16" t="n">
        <v>1.65</v>
      </c>
      <c r="F27" s="25" t="n">
        <f aca="false">INDEX(D27:E27,1,GiaDinh_K3!$D$38)</f>
        <v>1.13</v>
      </c>
      <c r="G27" s="15" t="s">
        <v>493</v>
      </c>
      <c r="H27" s="15" t="s">
        <v>553</v>
      </c>
    </row>
    <row r="28" customFormat="false" ht="14.25" hidden="false" customHeight="false" outlineLevel="0" collapsed="false">
      <c r="A28" s="15" t="s">
        <v>562</v>
      </c>
      <c r="B28" s="15" t="s">
        <v>563</v>
      </c>
      <c r="C28" s="15" t="s">
        <v>564</v>
      </c>
      <c r="D28" s="16" t="n">
        <v>0.01</v>
      </c>
      <c r="E28" s="16" t="n">
        <v>0.01</v>
      </c>
      <c r="F28" s="25" t="n">
        <f aca="false">INDEX(D28:E28,1,GiaDinh_K3!$D$38)</f>
        <v>0.01</v>
      </c>
      <c r="G28" s="15" t="s">
        <v>136</v>
      </c>
      <c r="H28" s="15" t="s"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52"/>
    <col collapsed="false" customWidth="true" hidden="false" outlineLevel="0" max="7" min="7" style="1" width="30"/>
  </cols>
  <sheetData>
    <row r="1" customFormat="false" ht="15" hidden="false" customHeight="true" outlineLevel="0" collapsed="false">
      <c r="A1" s="14" t="s">
        <v>248</v>
      </c>
      <c r="B1" s="14" t="s">
        <v>45</v>
      </c>
      <c r="C1" s="14" t="s">
        <v>155</v>
      </c>
      <c r="D1" s="14" t="s">
        <v>46</v>
      </c>
      <c r="E1" s="14" t="s">
        <v>47</v>
      </c>
      <c r="F1" s="14" t="s">
        <v>249</v>
      </c>
      <c r="G1" s="14" t="s">
        <v>250</v>
      </c>
    </row>
    <row r="2" customFormat="false" ht="15" hidden="false" customHeight="true" outlineLevel="0" collapsed="false">
      <c r="A2" s="5" t="s">
        <v>566</v>
      </c>
      <c r="B2" s="17"/>
      <c r="C2" s="17"/>
      <c r="D2" s="17"/>
      <c r="E2" s="17"/>
      <c r="F2" s="17"/>
      <c r="G2" s="17"/>
    </row>
    <row r="3" customFormat="false" ht="14.25" hidden="false" customHeight="false" outlineLevel="0" collapsed="false">
      <c r="A3" s="18" t="s">
        <v>567</v>
      </c>
      <c r="B3" s="18" t="s">
        <v>568</v>
      </c>
      <c r="C3" s="18" t="s">
        <v>569</v>
      </c>
      <c r="D3" s="26" t="n">
        <f aca="false">2*Params!$C$10/Params!$C$13</f>
        <v>0.96</v>
      </c>
      <c r="E3" s="18" t="s">
        <v>189</v>
      </c>
      <c r="F3" s="18" t="s">
        <v>570</v>
      </c>
      <c r="G3" s="18" t="s">
        <v>571</v>
      </c>
    </row>
    <row r="4" customFormat="false" ht="14.25" hidden="false" customHeight="false" outlineLevel="0" collapsed="false">
      <c r="A4" s="18" t="s">
        <v>572</v>
      </c>
      <c r="B4" s="18" t="s">
        <v>573</v>
      </c>
      <c r="C4" s="18" t="s">
        <v>572</v>
      </c>
      <c r="D4" s="27" t="n">
        <f aca="false">$D$3*60/(2*PI())</f>
        <v>9.16732472209317</v>
      </c>
      <c r="E4" s="18" t="s">
        <v>498</v>
      </c>
      <c r="F4" s="18" t="s">
        <v>574</v>
      </c>
      <c r="G4" s="18" t="s">
        <v>571</v>
      </c>
    </row>
    <row r="5" customFormat="false" ht="14.25" hidden="false" customHeight="false" outlineLevel="0" collapsed="false">
      <c r="A5" s="18" t="s">
        <v>575</v>
      </c>
      <c r="B5" s="18" t="s">
        <v>576</v>
      </c>
      <c r="C5" s="18" t="s">
        <v>245</v>
      </c>
      <c r="D5" s="26" t="n">
        <f aca="false">Params!$C$5*Params!$C$19*Params!$C$14</f>
        <v>2096.0046</v>
      </c>
      <c r="E5" s="18" t="s">
        <v>100</v>
      </c>
      <c r="F5" s="18" t="s">
        <v>577</v>
      </c>
      <c r="G5" s="18" t="s">
        <v>578</v>
      </c>
    </row>
    <row r="6" customFormat="false" ht="14.25" hidden="false" customHeight="false" outlineLevel="0" collapsed="false">
      <c r="A6" s="18" t="s">
        <v>579</v>
      </c>
      <c r="B6" s="18" t="s">
        <v>580</v>
      </c>
      <c r="C6" s="18" t="s">
        <v>581</v>
      </c>
      <c r="D6" s="26" t="n">
        <f aca="false">Params!$C$6*Params!$C$19*Params!$C$14</f>
        <v>297.5373</v>
      </c>
      <c r="E6" s="18" t="s">
        <v>100</v>
      </c>
      <c r="F6" s="18" t="s">
        <v>582</v>
      </c>
      <c r="G6" s="18" t="s">
        <v>578</v>
      </c>
    </row>
    <row r="7" customFormat="false" ht="14.25" hidden="false" customHeight="false" outlineLevel="0" collapsed="false">
      <c r="A7" s="18" t="s">
        <v>583</v>
      </c>
      <c r="B7" s="18" t="s">
        <v>584</v>
      </c>
      <c r="C7" s="18" t="s">
        <v>585</v>
      </c>
      <c r="D7" s="26" t="n">
        <f aca="false">Params!$C$21*Params!$C$10/Params!$C$16</f>
        <v>279.46728</v>
      </c>
      <c r="E7" s="18" t="s">
        <v>106</v>
      </c>
      <c r="F7" s="18" t="s">
        <v>586</v>
      </c>
      <c r="G7" s="18" t="s">
        <v>587</v>
      </c>
    </row>
    <row r="8" customFormat="false" ht="15" hidden="false" customHeight="true" outlineLevel="0" collapsed="false">
      <c r="A8" s="5" t="s">
        <v>588</v>
      </c>
      <c r="B8" s="17"/>
      <c r="C8" s="17"/>
      <c r="D8" s="17"/>
      <c r="E8" s="17"/>
      <c r="F8" s="17"/>
      <c r="G8" s="17"/>
    </row>
    <row r="9" customFormat="false" ht="14.25" hidden="false" customHeight="false" outlineLevel="0" collapsed="false">
      <c r="A9" s="18" t="s">
        <v>589</v>
      </c>
      <c r="B9" s="18" t="s">
        <v>590</v>
      </c>
      <c r="C9" s="18" t="s">
        <v>591</v>
      </c>
      <c r="D9" s="26" t="n">
        <f aca="false">Params!$C$5*Params!$C$11</f>
        <v>7122</v>
      </c>
      <c r="E9" s="18" t="s">
        <v>100</v>
      </c>
      <c r="F9" s="18" t="s">
        <v>592</v>
      </c>
      <c r="G9" s="18" t="s">
        <v>593</v>
      </c>
    </row>
    <row r="10" customFormat="false" ht="14.25" hidden="false" customHeight="false" outlineLevel="0" collapsed="false">
      <c r="A10" s="18" t="s">
        <v>594</v>
      </c>
      <c r="B10" s="18" t="s">
        <v>595</v>
      </c>
      <c r="C10" s="18" t="s">
        <v>596</v>
      </c>
      <c r="D10" s="26" t="n">
        <f aca="false">Params!$C$21+$D$9</f>
        <v>9218.0046</v>
      </c>
      <c r="E10" s="18" t="s">
        <v>100</v>
      </c>
      <c r="F10" s="18" t="s">
        <v>597</v>
      </c>
      <c r="G10" s="18" t="s">
        <v>593</v>
      </c>
    </row>
    <row r="11" customFormat="false" ht="14.25" hidden="false" customHeight="false" outlineLevel="0" collapsed="false">
      <c r="A11" s="18" t="s">
        <v>598</v>
      </c>
      <c r="B11" s="18" t="s">
        <v>599</v>
      </c>
      <c r="C11" s="18" t="s">
        <v>600</v>
      </c>
      <c r="D11" s="26" t="n">
        <f aca="false">$D$10*Params!$C$10/Params!$C$16</f>
        <v>1229.06728</v>
      </c>
      <c r="E11" s="18" t="s">
        <v>106</v>
      </c>
      <c r="F11" s="18" t="s">
        <v>601</v>
      </c>
      <c r="G11" s="18" t="s">
        <v>602</v>
      </c>
    </row>
    <row r="12" customFormat="false" ht="14.25" hidden="false" customHeight="false" outlineLevel="0" collapsed="false">
      <c r="A12" s="18" t="s">
        <v>603</v>
      </c>
      <c r="B12" s="18" t="s">
        <v>604</v>
      </c>
      <c r="C12" s="18" t="s">
        <v>605</v>
      </c>
      <c r="D12" s="26" t="n">
        <f aca="false">Params!$C$15*GiaDinh_K3!$D$9*Params!$C$5*Params!$C$19</f>
        <v>13973.364</v>
      </c>
      <c r="E12" s="18" t="s">
        <v>100</v>
      </c>
      <c r="F12" s="18" t="s">
        <v>606</v>
      </c>
      <c r="G12" s="18" t="s">
        <v>607</v>
      </c>
    </row>
    <row r="13" customFormat="false" ht="14.25" hidden="false" customHeight="false" outlineLevel="0" collapsed="false">
      <c r="A13" s="18" t="s">
        <v>608</v>
      </c>
      <c r="B13" s="18" t="s">
        <v>609</v>
      </c>
      <c r="C13" s="18" t="s">
        <v>610</v>
      </c>
      <c r="D13" s="27" t="n">
        <f aca="false">$D$12/$D$10</f>
        <v>1.51587730819748</v>
      </c>
      <c r="E13" s="18" t="s">
        <v>69</v>
      </c>
      <c r="F13" s="18" t="s">
        <v>611</v>
      </c>
      <c r="G13" s="18" t="s">
        <v>607</v>
      </c>
    </row>
    <row r="14" customFormat="false" ht="14.25" hidden="false" customHeight="false" outlineLevel="0" collapsed="false">
      <c r="A14" s="18" t="s">
        <v>612</v>
      </c>
      <c r="B14" s="18" t="s">
        <v>613</v>
      </c>
      <c r="C14" s="18" t="s">
        <v>614</v>
      </c>
      <c r="D14" s="26" t="n">
        <f aca="false">Params!$C$15*GiaDinh_K3!$D$9*Params!$C$6*Params!$C$19</f>
        <v>1983.582</v>
      </c>
      <c r="E14" s="18" t="s">
        <v>100</v>
      </c>
      <c r="F14" s="18" t="s">
        <v>615</v>
      </c>
      <c r="G14" s="18" t="s">
        <v>607</v>
      </c>
    </row>
    <row r="15" customFormat="false" ht="14.25" hidden="false" customHeight="false" outlineLevel="0" collapsed="false">
      <c r="A15" s="18" t="s">
        <v>616</v>
      </c>
      <c r="B15" s="18" t="s">
        <v>617</v>
      </c>
      <c r="C15" s="18" t="s">
        <v>618</v>
      </c>
      <c r="D15" s="26" t="n">
        <f aca="false">$D$6+Params!$C$6*Params!$C$11</f>
        <v>1308.5373</v>
      </c>
      <c r="E15" s="18" t="s">
        <v>100</v>
      </c>
      <c r="F15" s="18" t="s">
        <v>619</v>
      </c>
      <c r="G15" s="18" t="s">
        <v>607</v>
      </c>
    </row>
    <row r="16" customFormat="false" ht="14.25" hidden="false" customHeight="false" outlineLevel="0" collapsed="false">
      <c r="A16" s="18" t="s">
        <v>620</v>
      </c>
      <c r="B16" s="18" t="s">
        <v>621</v>
      </c>
      <c r="C16" s="18" t="s">
        <v>622</v>
      </c>
      <c r="D16" s="27" t="n">
        <f aca="false">$D$14/$D$15</f>
        <v>1.51587730819748</v>
      </c>
      <c r="E16" s="18" t="s">
        <v>69</v>
      </c>
      <c r="F16" s="18"/>
      <c r="G16" s="18" t="s">
        <v>607</v>
      </c>
    </row>
    <row r="17" customFormat="false" ht="15" hidden="false" customHeight="true" outlineLevel="0" collapsed="false">
      <c r="A17" s="5" t="s">
        <v>623</v>
      </c>
      <c r="B17" s="17"/>
      <c r="C17" s="17"/>
      <c r="D17" s="17"/>
      <c r="E17" s="17"/>
      <c r="F17" s="17"/>
      <c r="G17" s="17"/>
    </row>
    <row r="18" customFormat="false" ht="14.25" hidden="false" customHeight="false" outlineLevel="0" collapsed="false">
      <c r="A18" s="18" t="s">
        <v>624</v>
      </c>
      <c r="B18" s="18" t="s">
        <v>625</v>
      </c>
      <c r="C18" s="18" t="s">
        <v>626</v>
      </c>
      <c r="D18" s="26" t="n">
        <f aca="false">Catalogue!$F$6*2*PI()/60</f>
        <v>150.79644737231</v>
      </c>
      <c r="E18" s="18" t="s">
        <v>189</v>
      </c>
      <c r="F18" s="18" t="s">
        <v>627</v>
      </c>
      <c r="G18" s="18" t="s">
        <v>362</v>
      </c>
    </row>
    <row r="19" customFormat="false" ht="14.25" hidden="false" customHeight="false" outlineLevel="0" collapsed="false">
      <c r="A19" s="18" t="s">
        <v>628</v>
      </c>
      <c r="B19" s="18" t="s">
        <v>629</v>
      </c>
      <c r="C19" s="18" t="s">
        <v>628</v>
      </c>
      <c r="D19" s="27" t="n">
        <f aca="false">$D$18/$D$3</f>
        <v>157.07963267949</v>
      </c>
      <c r="E19" s="18" t="s">
        <v>69</v>
      </c>
      <c r="F19" s="18" t="s">
        <v>630</v>
      </c>
      <c r="G19" s="18" t="s">
        <v>631</v>
      </c>
    </row>
    <row r="20" customFormat="false" ht="14.25" hidden="false" customHeight="false" outlineLevel="0" collapsed="false">
      <c r="A20" s="18" t="s">
        <v>632</v>
      </c>
      <c r="B20" s="18" t="s">
        <v>633</v>
      </c>
      <c r="C20" s="18" t="s">
        <v>402</v>
      </c>
      <c r="D20" s="26" t="n">
        <f aca="false">IF(ISBLANK(GiaDinh_K3!$D$39),$D$19,GiaDinh_K3!$D$39)</f>
        <v>155.34</v>
      </c>
      <c r="E20" s="18" t="s">
        <v>69</v>
      </c>
      <c r="F20" s="18" t="s">
        <v>634</v>
      </c>
      <c r="G20" s="18" t="s">
        <v>635</v>
      </c>
    </row>
    <row r="21" customFormat="false" ht="14.25" hidden="false" customHeight="false" outlineLevel="0" collapsed="false">
      <c r="A21" s="18" t="s">
        <v>636</v>
      </c>
      <c r="B21" s="18" t="s">
        <v>637</v>
      </c>
      <c r="C21" s="18" t="s">
        <v>638</v>
      </c>
      <c r="D21" s="27" t="n">
        <f aca="false">$D$19/$D$20-1</f>
        <v>0.0111988713756255</v>
      </c>
      <c r="E21" s="18" t="s">
        <v>69</v>
      </c>
      <c r="F21" s="18" t="s">
        <v>639</v>
      </c>
      <c r="G21" s="18" t="s">
        <v>198</v>
      </c>
    </row>
    <row r="22" customFormat="false" ht="14.25" hidden="false" customHeight="false" outlineLevel="0" collapsed="false">
      <c r="A22" s="18" t="s">
        <v>640</v>
      </c>
      <c r="B22" s="18" t="s">
        <v>641</v>
      </c>
      <c r="C22" s="18" t="s">
        <v>642</v>
      </c>
      <c r="D22" s="26" t="n">
        <f aca="false">$D$19/Params!$C$17-1</f>
        <v>0.0471975511965979</v>
      </c>
      <c r="E22" s="18" t="s">
        <v>69</v>
      </c>
      <c r="F22" s="18" t="s">
        <v>643</v>
      </c>
      <c r="G22" s="18" t="s">
        <v>225</v>
      </c>
    </row>
    <row r="23" customFormat="false" ht="14.25" hidden="false" customHeight="false" outlineLevel="0" collapsed="false">
      <c r="A23" s="18" t="s">
        <v>644</v>
      </c>
      <c r="B23" s="18" t="s">
        <v>645</v>
      </c>
      <c r="C23" s="18" t="s">
        <v>646</v>
      </c>
      <c r="D23" s="26" t="n">
        <f aca="false">Params!$C$13/(2*$D$20)</f>
        <v>0.000804686494141882</v>
      </c>
      <c r="E23" s="18" t="s">
        <v>647</v>
      </c>
      <c r="F23" s="18" t="s">
        <v>648</v>
      </c>
      <c r="G23" s="18" t="s">
        <v>649</v>
      </c>
    </row>
    <row r="24" customFormat="false" ht="14.25" hidden="false" customHeight="false" outlineLevel="0" collapsed="false">
      <c r="A24" s="18" t="s">
        <v>650</v>
      </c>
      <c r="B24" s="18" t="s">
        <v>651</v>
      </c>
      <c r="C24" s="18" t="s">
        <v>652</v>
      </c>
      <c r="D24" s="26" t="n">
        <f aca="false">GiaDinh_K3!$D$11/$D$23</f>
        <v>559.224</v>
      </c>
      <c r="E24" s="18" t="s">
        <v>653</v>
      </c>
      <c r="F24" s="18" t="s">
        <v>654</v>
      </c>
      <c r="G24" s="18" t="s">
        <v>655</v>
      </c>
    </row>
    <row r="25" customFormat="false" ht="14.25" hidden="false" customHeight="false" outlineLevel="0" collapsed="false">
      <c r="A25" s="18" t="s">
        <v>656</v>
      </c>
      <c r="B25" s="18" t="s">
        <v>657</v>
      </c>
      <c r="C25" s="18" t="s">
        <v>658</v>
      </c>
      <c r="D25" s="26" t="n">
        <f aca="false">Params!$C$21*$D$23/Params!$C$16</f>
        <v>1.87402954808807</v>
      </c>
      <c r="E25" s="18" t="s">
        <v>112</v>
      </c>
      <c r="F25" s="18" t="s">
        <v>659</v>
      </c>
      <c r="G25" s="18" t="s">
        <v>649</v>
      </c>
    </row>
    <row r="26" customFormat="false" ht="14.25" hidden="false" customHeight="false" outlineLevel="0" collapsed="false">
      <c r="A26" s="18" t="s">
        <v>660</v>
      </c>
      <c r="B26" s="18" t="s">
        <v>661</v>
      </c>
      <c r="C26" s="18" t="s">
        <v>662</v>
      </c>
      <c r="D26" s="26" t="n">
        <f aca="false">$D$6*$D$23/Params!$C$16</f>
        <v>0.266026940903824</v>
      </c>
      <c r="E26" s="18" t="s">
        <v>112</v>
      </c>
      <c r="F26" s="18"/>
      <c r="G26" s="18" t="s">
        <v>649</v>
      </c>
    </row>
    <row r="27" customFormat="false" ht="14.25" hidden="false" customHeight="false" outlineLevel="0" collapsed="false">
      <c r="A27" s="18" t="s">
        <v>663</v>
      </c>
      <c r="B27" s="18" t="s">
        <v>664</v>
      </c>
      <c r="C27" s="18" t="s">
        <v>665</v>
      </c>
      <c r="D27" s="26" t="n">
        <f aca="false">Params!$C$21*$D$23*Params!$C$16</f>
        <v>1.51796393395133</v>
      </c>
      <c r="E27" s="18" t="s">
        <v>112</v>
      </c>
      <c r="F27" s="18" t="s">
        <v>666</v>
      </c>
      <c r="G27" s="18" t="s">
        <v>649</v>
      </c>
    </row>
    <row r="28" customFormat="false" ht="14.25" hidden="false" customHeight="false" outlineLevel="0" collapsed="false">
      <c r="A28" s="18" t="s">
        <v>667</v>
      </c>
      <c r="B28" s="18" t="s">
        <v>668</v>
      </c>
      <c r="C28" s="18" t="s">
        <v>669</v>
      </c>
      <c r="D28" s="26" t="n">
        <f aca="false">GiaDinh_K3!$D$8*Params!$C$5*$D$23^2</f>
        <v>0.0106067719083466</v>
      </c>
      <c r="E28" s="18" t="s">
        <v>110</v>
      </c>
      <c r="F28" s="18" t="s">
        <v>670</v>
      </c>
      <c r="G28" s="18" t="s">
        <v>649</v>
      </c>
    </row>
    <row r="29" customFormat="false" ht="14.25" hidden="false" customHeight="false" outlineLevel="0" collapsed="false">
      <c r="A29" s="18" t="s">
        <v>671</v>
      </c>
      <c r="B29" s="18" t="s">
        <v>672</v>
      </c>
      <c r="C29" s="18" t="s">
        <v>673</v>
      </c>
      <c r="D29" s="26" t="n">
        <f aca="false">GiaDinh_K3!$D$8*Params!$C$6*$D$23^2</f>
        <v>0.00150567907881753</v>
      </c>
      <c r="E29" s="18" t="s">
        <v>110</v>
      </c>
      <c r="F29" s="18" t="s">
        <v>674</v>
      </c>
      <c r="G29" s="18" t="s">
        <v>649</v>
      </c>
    </row>
    <row r="30" customFormat="false" ht="14.25" hidden="false" customHeight="false" outlineLevel="0" collapsed="false">
      <c r="A30" s="18" t="s">
        <v>675</v>
      </c>
      <c r="B30" s="18" t="s">
        <v>676</v>
      </c>
      <c r="C30" s="18" t="s">
        <v>677</v>
      </c>
      <c r="D30" s="26" t="n">
        <f aca="false">Catalogue!$F$15+$D$28</f>
        <v>0.0132267719083466</v>
      </c>
      <c r="E30" s="18" t="s">
        <v>110</v>
      </c>
      <c r="F30" s="18" t="s">
        <v>678</v>
      </c>
      <c r="G30" s="18" t="s">
        <v>649</v>
      </c>
    </row>
    <row r="31" customFormat="false" ht="14.25" hidden="false" customHeight="false" outlineLevel="0" collapsed="false">
      <c r="A31" s="18" t="s">
        <v>679</v>
      </c>
      <c r="B31" s="18" t="s">
        <v>680</v>
      </c>
      <c r="C31" s="18" t="s">
        <v>681</v>
      </c>
      <c r="D31" s="26" t="n">
        <f aca="false">Catalogue!$F$15+$D$29</f>
        <v>0.00412567907881753</v>
      </c>
      <c r="E31" s="18" t="s">
        <v>110</v>
      </c>
      <c r="F31" s="18"/>
      <c r="G31" s="18" t="s">
        <v>649</v>
      </c>
    </row>
    <row r="32" customFormat="false" ht="15" hidden="false" customHeight="true" outlineLevel="0" collapsed="false">
      <c r="A32" s="5" t="s">
        <v>682</v>
      </c>
      <c r="B32" s="17"/>
      <c r="C32" s="17"/>
      <c r="D32" s="17"/>
      <c r="E32" s="17"/>
      <c r="F32" s="17"/>
      <c r="G32" s="17"/>
    </row>
    <row r="33" customFormat="false" ht="14.25" hidden="false" customHeight="false" outlineLevel="0" collapsed="false">
      <c r="A33" s="18" t="s">
        <v>683</v>
      </c>
      <c r="B33" s="18" t="s">
        <v>684</v>
      </c>
      <c r="C33" s="18" t="s">
        <v>685</v>
      </c>
      <c r="D33" s="26" t="n">
        <f aca="false">(Params!$C$21+GiaDinh_K3!$D$8*Params!$C$5*Params!$C$11)*$D$23/Params!$C$16+Catalogue!$F$15*Params!$C$11/$D$23</f>
        <v>10.8249080736106</v>
      </c>
      <c r="E33" s="18" t="s">
        <v>112</v>
      </c>
      <c r="F33" s="18" t="s">
        <v>686</v>
      </c>
      <c r="G33" s="18" t="s">
        <v>687</v>
      </c>
    </row>
    <row r="34" customFormat="false" ht="14.25" hidden="false" customHeight="false" outlineLevel="0" collapsed="false">
      <c r="A34" s="18" t="s">
        <v>688</v>
      </c>
      <c r="B34" s="18" t="s">
        <v>689</v>
      </c>
      <c r="C34" s="18" t="s">
        <v>690</v>
      </c>
      <c r="D34" s="26" t="n">
        <f aca="false">($D$6+GiaDinh_K3!$D$8*Params!$C$6*Params!$C$11)*$D$23/Params!$C$16+Catalogue!$F$15*Params!$C$11/$D$23</f>
        <v>2.93351097691945</v>
      </c>
      <c r="E34" s="18" t="s">
        <v>112</v>
      </c>
      <c r="F34" s="18"/>
      <c r="G34" s="18" t="s">
        <v>649</v>
      </c>
    </row>
    <row r="35" customFormat="false" ht="14.25" hidden="false" customHeight="false" outlineLevel="0" collapsed="false">
      <c r="A35" s="18" t="s">
        <v>691</v>
      </c>
      <c r="B35" s="18" t="s">
        <v>692</v>
      </c>
      <c r="C35" s="18" t="s">
        <v>693</v>
      </c>
      <c r="D35" s="26" t="n">
        <f aca="false">$D$33/Catalogue!$F$5</f>
        <v>2.18685011588092</v>
      </c>
      <c r="E35" s="18" t="s">
        <v>69</v>
      </c>
      <c r="F35" s="18"/>
      <c r="G35" s="18" t="s">
        <v>694</v>
      </c>
    </row>
    <row r="36" customFormat="false" ht="28.5" hidden="false" customHeight="true" outlineLevel="0" collapsed="false">
      <c r="A36" s="18" t="s">
        <v>695</v>
      </c>
      <c r="B36" s="18" t="s">
        <v>696</v>
      </c>
      <c r="C36" s="18" t="s">
        <v>697</v>
      </c>
      <c r="D36" s="26" t="n">
        <f aca="false">Catalogue!$F$12*(Params!$C$20*(1-GiaDinh_K3!$D$5)/GiaDinh_K3!$D$29)^2</f>
        <v>2.485485</v>
      </c>
      <c r="E36" s="18" t="s">
        <v>69</v>
      </c>
      <c r="F36" s="18" t="s">
        <v>698</v>
      </c>
      <c r="G36" s="18" t="s">
        <v>694</v>
      </c>
    </row>
    <row r="37" customFormat="false" ht="28.5" hidden="false" customHeight="true" outlineLevel="0" collapsed="false">
      <c r="A37" s="18" t="s">
        <v>699</v>
      </c>
      <c r="B37" s="18" t="s">
        <v>700</v>
      </c>
      <c r="C37" s="18" t="s">
        <v>701</v>
      </c>
      <c r="D37" s="26" t="n">
        <f aca="false">($D$36*Catalogue!$F$5-Catalogue!$F$15*Params!$C$11/$D$23)*Params!$C$16/$D$23</f>
        <v>11939.6421649224</v>
      </c>
      <c r="E37" s="18" t="s">
        <v>100</v>
      </c>
      <c r="F37" s="18" t="s">
        <v>702</v>
      </c>
      <c r="G37" s="18" t="s">
        <v>703</v>
      </c>
    </row>
    <row r="38" customFormat="false" ht="15" hidden="false" customHeight="true" outlineLevel="0" collapsed="false">
      <c r="A38" s="5" t="s">
        <v>704</v>
      </c>
      <c r="B38" s="17"/>
      <c r="C38" s="17"/>
      <c r="D38" s="17"/>
      <c r="E38" s="17"/>
      <c r="F38" s="17"/>
      <c r="G38" s="17"/>
    </row>
    <row r="39" customFormat="false" ht="14.25" hidden="false" customHeight="false" outlineLevel="0" collapsed="false">
      <c r="A39" s="18" t="s">
        <v>705</v>
      </c>
      <c r="B39" s="18" t="s">
        <v>706</v>
      </c>
      <c r="C39" s="18" t="s">
        <v>707</v>
      </c>
      <c r="D39" s="26" t="n">
        <f aca="false">GiaDinh_K3!$D$11/GiaDinh_K3!$D$12</f>
        <v>0.25</v>
      </c>
      <c r="E39" s="18" t="s">
        <v>136</v>
      </c>
      <c r="F39" s="18" t="s">
        <v>708</v>
      </c>
      <c r="G39" s="18" t="s">
        <v>709</v>
      </c>
    </row>
    <row r="40" customFormat="false" ht="14.25" hidden="false" customHeight="false" outlineLevel="0" collapsed="false">
      <c r="A40" s="18" t="s">
        <v>710</v>
      </c>
      <c r="B40" s="18" t="s">
        <v>711</v>
      </c>
      <c r="C40" s="18" t="s">
        <v>712</v>
      </c>
      <c r="D40" s="26" t="n">
        <f aca="false">Params!$C$10/GiaDinh_K3!$D$11-$D$39</f>
        <v>0.0166666666666667</v>
      </c>
      <c r="E40" s="18" t="s">
        <v>136</v>
      </c>
      <c r="F40" s="18" t="s">
        <v>713</v>
      </c>
      <c r="G40" s="18" t="s">
        <v>709</v>
      </c>
    </row>
    <row r="41" customFormat="false" ht="14.25" hidden="false" customHeight="false" outlineLevel="0" collapsed="false">
      <c r="A41" s="18" t="s">
        <v>714</v>
      </c>
      <c r="B41" s="18" t="s">
        <v>715</v>
      </c>
      <c r="C41" s="18" t="s">
        <v>716</v>
      </c>
      <c r="D41" s="27" t="n">
        <f aca="false">2*$D$39+$D$40</f>
        <v>0.516666666666667</v>
      </c>
      <c r="E41" s="18" t="s">
        <v>136</v>
      </c>
      <c r="F41" s="18" t="s">
        <v>717</v>
      </c>
      <c r="G41" s="18" t="s">
        <v>709</v>
      </c>
    </row>
    <row r="42" customFormat="false" ht="14.25" hidden="false" customHeight="false" outlineLevel="0" collapsed="false">
      <c r="A42" s="18" t="s">
        <v>718</v>
      </c>
      <c r="B42" s="18" t="s">
        <v>719</v>
      </c>
      <c r="C42" s="18" t="s">
        <v>720</v>
      </c>
      <c r="D42" s="26" t="n">
        <f aca="false">Params!$C$10*$D$41/2</f>
        <v>0.031</v>
      </c>
      <c r="E42" s="18" t="s">
        <v>57</v>
      </c>
      <c r="F42" s="18" t="s">
        <v>721</v>
      </c>
      <c r="G42" s="18" t="s">
        <v>722</v>
      </c>
    </row>
    <row r="43" customFormat="false" ht="14.25" hidden="false" customHeight="false" outlineLevel="0" collapsed="false">
      <c r="A43" s="18" t="s">
        <v>723</v>
      </c>
      <c r="B43" s="18" t="s">
        <v>724</v>
      </c>
      <c r="C43" s="18" t="s">
        <v>725</v>
      </c>
      <c r="D43" s="26" t="n">
        <f aca="false">GiaDinh_K3!$D$11^2/GiaDinh_K3!$D$12</f>
        <v>0.1125</v>
      </c>
      <c r="E43" s="18" t="s">
        <v>60</v>
      </c>
      <c r="F43" s="18" t="s">
        <v>726</v>
      </c>
      <c r="G43" s="18" t="s">
        <v>709</v>
      </c>
    </row>
    <row r="44" customFormat="false" ht="14.25" hidden="false" customHeight="false" outlineLevel="0" collapsed="false">
      <c r="A44" s="18" t="s">
        <v>727</v>
      </c>
      <c r="B44" s="18" t="s">
        <v>728</v>
      </c>
      <c r="C44" s="18" t="s">
        <v>729</v>
      </c>
      <c r="D44" s="27" t="n">
        <f aca="false">($D$39+$D$40)/$D$41</f>
        <v>0.516129032258065</v>
      </c>
      <c r="E44" s="18" t="s">
        <v>69</v>
      </c>
      <c r="F44" s="18" t="s">
        <v>730</v>
      </c>
      <c r="G44" s="18" t="s">
        <v>731</v>
      </c>
    </row>
    <row r="45" customFormat="false" ht="14.25" hidden="false" customHeight="false" outlineLevel="0" collapsed="false">
      <c r="A45" s="18" t="s">
        <v>732</v>
      </c>
      <c r="B45" s="18" t="s">
        <v>733</v>
      </c>
      <c r="C45" s="18" t="s">
        <v>734</v>
      </c>
      <c r="D45" s="27" t="n">
        <f aca="false">(2*$D$39/3+$D$40)/$D$41</f>
        <v>0.354838709677419</v>
      </c>
      <c r="E45" s="18" t="s">
        <v>69</v>
      </c>
      <c r="F45" s="18" t="s">
        <v>730</v>
      </c>
      <c r="G45" s="18" t="s">
        <v>731</v>
      </c>
    </row>
    <row r="46" customFormat="false" ht="26.85" hidden="false" customHeight="false" outlineLevel="0" collapsed="false">
      <c r="A46" s="18" t="s">
        <v>735</v>
      </c>
      <c r="B46" s="18" t="s">
        <v>736</v>
      </c>
      <c r="C46" s="18" t="s">
        <v>737</v>
      </c>
      <c r="D46" s="26" t="n">
        <f aca="false">DEGREES(2*Params!$C$10*Params!$C$8/Params!$C$19)</f>
        <v>1.26738553880865</v>
      </c>
      <c r="E46" s="18" t="s">
        <v>393</v>
      </c>
      <c r="F46" s="18" t="s">
        <v>738</v>
      </c>
      <c r="G46" s="18" t="s">
        <v>739</v>
      </c>
    </row>
    <row r="47" customFormat="false" ht="14.25" hidden="false" customHeight="false" outlineLevel="0" collapsed="false">
      <c r="A47" s="18" t="s">
        <v>740</v>
      </c>
      <c r="B47" s="18" t="s">
        <v>741</v>
      </c>
      <c r="C47" s="18" t="s">
        <v>742</v>
      </c>
      <c r="D47" s="26" t="n">
        <f aca="false">DEGREES(ATAN(Params!$C$11/Params!$C$19))</f>
        <v>2.91774937823045</v>
      </c>
      <c r="E47" s="18" t="s">
        <v>393</v>
      </c>
      <c r="F47" s="18" t="s">
        <v>743</v>
      </c>
      <c r="G47" s="18" t="s">
        <v>744</v>
      </c>
    </row>
    <row r="48" customFormat="false" ht="15" hidden="false" customHeight="true" outlineLevel="0" collapsed="false">
      <c r="A48" s="5" t="s">
        <v>745</v>
      </c>
      <c r="B48" s="17"/>
      <c r="C48" s="17"/>
      <c r="D48" s="17"/>
      <c r="E48" s="17"/>
      <c r="F48" s="17"/>
      <c r="G48" s="17"/>
    </row>
    <row r="49" customFormat="false" ht="14.25" hidden="false" customHeight="false" outlineLevel="0" collapsed="false">
      <c r="A49" s="18" t="s">
        <v>746</v>
      </c>
      <c r="B49" s="18" t="s">
        <v>747</v>
      </c>
      <c r="C49" s="18" t="s">
        <v>748</v>
      </c>
      <c r="D49" s="26" t="n">
        <f aca="false">GiaDinh_K3!$D$3*GiaDinh_K3!$D$4</f>
        <v>240</v>
      </c>
      <c r="E49" s="18" t="s">
        <v>136</v>
      </c>
      <c r="F49" s="18" t="s">
        <v>749</v>
      </c>
      <c r="G49" s="18" t="s">
        <v>750</v>
      </c>
    </row>
    <row r="50" customFormat="false" ht="14.25" hidden="false" customHeight="false" outlineLevel="0" collapsed="false">
      <c r="A50" s="18" t="s">
        <v>751</v>
      </c>
      <c r="B50" s="18" t="s">
        <v>752</v>
      </c>
      <c r="C50" s="18" t="s">
        <v>753</v>
      </c>
      <c r="D50" s="26" t="n">
        <f aca="false">GiaDinh_K3!$D$4-$D$49</f>
        <v>360</v>
      </c>
      <c r="E50" s="18" t="s">
        <v>136</v>
      </c>
      <c r="F50" s="18"/>
      <c r="G50" s="18"/>
    </row>
    <row r="51" customFormat="false" ht="14.25" hidden="false" customHeight="false" outlineLevel="0" collapsed="false">
      <c r="A51" s="18" t="s">
        <v>754</v>
      </c>
      <c r="B51" s="18" t="s">
        <v>755</v>
      </c>
      <c r="C51" s="18" t="s">
        <v>756</v>
      </c>
      <c r="D51" s="26" t="n">
        <f aca="false">$D$49/GiaDinh_K3!$D$10</f>
        <v>120</v>
      </c>
      <c r="E51" s="18" t="s">
        <v>136</v>
      </c>
      <c r="F51" s="18"/>
      <c r="G51" s="18" t="s">
        <v>757</v>
      </c>
    </row>
    <row r="52" customFormat="false" ht="14.25" hidden="false" customHeight="false" outlineLevel="0" collapsed="false">
      <c r="A52" s="18" t="s">
        <v>758</v>
      </c>
      <c r="B52" s="18" t="s">
        <v>759</v>
      </c>
      <c r="C52" s="18" t="s">
        <v>760</v>
      </c>
      <c r="D52" s="27" t="n">
        <f aca="false">$D$51-2*$D$41</f>
        <v>118.966666666667</v>
      </c>
      <c r="E52" s="18" t="s">
        <v>136</v>
      </c>
      <c r="F52" s="18"/>
      <c r="G52" s="18"/>
    </row>
    <row r="53" customFormat="false" ht="14.25" hidden="false" customHeight="false" outlineLevel="0" collapsed="false">
      <c r="A53" s="18" t="s">
        <v>761</v>
      </c>
      <c r="B53" s="18" t="s">
        <v>762</v>
      </c>
      <c r="C53" s="18" t="s">
        <v>763</v>
      </c>
      <c r="D53" s="26" t="n">
        <f aca="false">Params!$C$10*($D$52+$D$41)</f>
        <v>14.338</v>
      </c>
      <c r="E53" s="18" t="s">
        <v>57</v>
      </c>
      <c r="F53" s="18" t="s">
        <v>764</v>
      </c>
      <c r="G53" s="18" t="s">
        <v>765</v>
      </c>
    </row>
    <row r="54" customFormat="false" ht="14.25" hidden="false" customHeight="false" outlineLevel="0" collapsed="false">
      <c r="A54" s="18" t="s">
        <v>766</v>
      </c>
      <c r="B54" s="18" t="s">
        <v>767</v>
      </c>
      <c r="C54" s="18" t="s">
        <v>768</v>
      </c>
      <c r="D54" s="26" t="n">
        <f aca="false">GiaDinh_K3!$D$8*Params!$C$5*GiaDinh_K3!$D$11*$D$23/Params!$C$16+Catalogue!$F$15*$D$24</f>
        <v>8.05579067297026</v>
      </c>
      <c r="E54" s="18" t="s">
        <v>112</v>
      </c>
      <c r="F54" s="18" t="s">
        <v>769</v>
      </c>
      <c r="G54" s="18" t="s">
        <v>770</v>
      </c>
    </row>
    <row r="55" customFormat="false" ht="14.25" hidden="false" customHeight="false" outlineLevel="0" collapsed="false">
      <c r="A55" s="18" t="s">
        <v>771</v>
      </c>
      <c r="B55" s="18" t="s">
        <v>772</v>
      </c>
      <c r="C55" s="18" t="s">
        <v>773</v>
      </c>
      <c r="D55" s="26" t="n">
        <f aca="false">GiaDinh_K3!$D$8*Params!$C$6*GiaDinh_K3!$D$11*$D$23/Params!$C$16+Catalogue!$F$15*$D$24</f>
        <v>2.40073563241406</v>
      </c>
      <c r="E55" s="18" t="s">
        <v>112</v>
      </c>
      <c r="F55" s="18"/>
      <c r="G55" s="18" t="s">
        <v>770</v>
      </c>
    </row>
    <row r="56" customFormat="false" ht="14.25" hidden="false" customHeight="false" outlineLevel="0" collapsed="false">
      <c r="A56" s="18" t="s">
        <v>774</v>
      </c>
      <c r="B56" s="18" t="s">
        <v>775</v>
      </c>
      <c r="C56" s="18" t="s">
        <v>776</v>
      </c>
      <c r="D56" s="27" t="n">
        <f aca="false">$D$25^2*(2*$D$41+$D$52)+2*$D$41*$D$54^2*$D$45</f>
        <v>445.233522887321</v>
      </c>
      <c r="E56" s="18" t="s">
        <v>777</v>
      </c>
      <c r="F56" s="18" t="s">
        <v>778</v>
      </c>
      <c r="G56" s="18" t="s">
        <v>779</v>
      </c>
    </row>
    <row r="57" customFormat="false" ht="14.25" hidden="false" customHeight="false" outlineLevel="0" collapsed="false">
      <c r="A57" s="18" t="s">
        <v>780</v>
      </c>
      <c r="B57" s="18" t="s">
        <v>781</v>
      </c>
      <c r="C57" s="18" t="s">
        <v>782</v>
      </c>
      <c r="D57" s="27" t="n">
        <f aca="false">$D$26^2*(2*$D$41+$D$52)+2*$D$41*$D$55^2*$D$45</f>
        <v>10.6057349058699</v>
      </c>
      <c r="E57" s="18" t="s">
        <v>777</v>
      </c>
      <c r="F57" s="18"/>
      <c r="G57" s="18"/>
    </row>
    <row r="58" customFormat="false" ht="14.25" hidden="false" customHeight="false" outlineLevel="0" collapsed="false">
      <c r="A58" s="18" t="s">
        <v>783</v>
      </c>
      <c r="B58" s="18" t="s">
        <v>784</v>
      </c>
      <c r="C58" s="18" t="s">
        <v>785</v>
      </c>
      <c r="D58" s="27" t="n">
        <f aca="false">SQRT(($D$56+$D$57)/$D$49)</f>
        <v>1.37816190660059</v>
      </c>
      <c r="E58" s="18" t="s">
        <v>112</v>
      </c>
      <c r="F58" s="18" t="s">
        <v>786</v>
      </c>
      <c r="G58" s="18" t="s">
        <v>787</v>
      </c>
    </row>
    <row r="59" customFormat="false" ht="14.25" hidden="false" customHeight="false" outlineLevel="0" collapsed="false">
      <c r="A59" s="18" t="s">
        <v>788</v>
      </c>
      <c r="B59" s="18" t="s">
        <v>789</v>
      </c>
      <c r="C59" s="18" t="s">
        <v>790</v>
      </c>
      <c r="D59" s="27" t="n">
        <f aca="false">$D$58*$D$18</f>
        <v>207.821919419218</v>
      </c>
      <c r="E59" s="18" t="s">
        <v>106</v>
      </c>
      <c r="F59" s="18" t="s">
        <v>791</v>
      </c>
      <c r="G59" s="18" t="s">
        <v>787</v>
      </c>
    </row>
    <row r="60" customFormat="false" ht="14.25" hidden="false" customHeight="false" outlineLevel="0" collapsed="false">
      <c r="A60" s="18" t="s">
        <v>792</v>
      </c>
      <c r="B60" s="18" t="s">
        <v>793</v>
      </c>
      <c r="C60" s="18" t="s">
        <v>794</v>
      </c>
      <c r="D60" s="26" t="n">
        <f aca="false">Catalogue!$F$4*1000/$D$59</f>
        <v>3.60885897934136</v>
      </c>
      <c r="E60" s="18" t="s">
        <v>69</v>
      </c>
      <c r="F60" s="18" t="s">
        <v>795</v>
      </c>
      <c r="G60" s="18" t="s">
        <v>231</v>
      </c>
    </row>
    <row r="61" customFormat="false" ht="14.25" hidden="false" customHeight="false" outlineLevel="0" collapsed="false">
      <c r="A61" s="18" t="s">
        <v>796</v>
      </c>
      <c r="B61" s="18" t="s">
        <v>797</v>
      </c>
      <c r="C61" s="18" t="s">
        <v>798</v>
      </c>
      <c r="D61" s="26" t="n">
        <f aca="false">$D$59*SQRT(GiaDinh_K3!$D$3)</f>
        <v>131.438122614541</v>
      </c>
      <c r="E61" s="18" t="s">
        <v>106</v>
      </c>
      <c r="F61" s="18" t="s">
        <v>799</v>
      </c>
      <c r="G61" s="18" t="s">
        <v>800</v>
      </c>
    </row>
    <row r="62" customFormat="false" ht="14.25" hidden="false" customHeight="false" outlineLevel="0" collapsed="false">
      <c r="A62" s="18" t="s">
        <v>801</v>
      </c>
      <c r="B62" s="18" t="s">
        <v>802</v>
      </c>
      <c r="C62" s="18" t="s">
        <v>803</v>
      </c>
      <c r="D62" s="27" t="n">
        <f aca="false">$D$25+$D$54</f>
        <v>9.92982022105833</v>
      </c>
      <c r="E62" s="18" t="s">
        <v>112</v>
      </c>
      <c r="F62" s="18" t="s">
        <v>804</v>
      </c>
      <c r="G62" s="18"/>
    </row>
    <row r="63" customFormat="false" ht="14.25" hidden="false" customHeight="false" outlineLevel="0" collapsed="false">
      <c r="A63" s="18" t="s">
        <v>805</v>
      </c>
      <c r="B63" s="18" t="s">
        <v>806</v>
      </c>
      <c r="C63" s="18" t="s">
        <v>807</v>
      </c>
      <c r="D63" s="27" t="n">
        <f aca="false">$D$25-$D$54</f>
        <v>-6.18176112488219</v>
      </c>
      <c r="E63" s="18" t="s">
        <v>112</v>
      </c>
      <c r="F63" s="18" t="s">
        <v>808</v>
      </c>
      <c r="G63" s="18"/>
    </row>
    <row r="64" customFormat="false" ht="14.25" hidden="false" customHeight="false" outlineLevel="0" collapsed="false">
      <c r="A64" s="18" t="s">
        <v>809</v>
      </c>
      <c r="B64" s="18" t="s">
        <v>810</v>
      </c>
      <c r="C64" s="18" t="s">
        <v>811</v>
      </c>
      <c r="D64" s="27" t="n">
        <f aca="false">$D$26+$D$55</f>
        <v>2.66676257331788</v>
      </c>
      <c r="E64" s="18" t="s">
        <v>112</v>
      </c>
      <c r="F64" s="18"/>
      <c r="G64" s="18"/>
    </row>
    <row r="65" customFormat="false" ht="14.25" hidden="false" customHeight="false" outlineLevel="0" collapsed="false">
      <c r="A65" s="18" t="s">
        <v>812</v>
      </c>
      <c r="B65" s="18" t="s">
        <v>813</v>
      </c>
      <c r="C65" s="18" t="s">
        <v>814</v>
      </c>
      <c r="D65" s="27" t="n">
        <f aca="false">$D$26-$D$55</f>
        <v>-2.13470869151024</v>
      </c>
      <c r="E65" s="18" t="s">
        <v>112</v>
      </c>
      <c r="F65" s="18" t="s">
        <v>815</v>
      </c>
      <c r="G65" s="18"/>
    </row>
    <row r="66" customFormat="false" ht="15" hidden="false" customHeight="true" outlineLevel="0" collapsed="false">
      <c r="A66" s="5" t="s">
        <v>816</v>
      </c>
      <c r="B66" s="17"/>
      <c r="C66" s="17"/>
      <c r="D66" s="17"/>
      <c r="E66" s="17"/>
      <c r="F66" s="17"/>
      <c r="G66" s="17"/>
    </row>
    <row r="67" customFormat="false" ht="14.25" hidden="false" customHeight="false" outlineLevel="0" collapsed="false">
      <c r="A67" s="18" t="s">
        <v>817</v>
      </c>
      <c r="B67" s="18" t="s">
        <v>818</v>
      </c>
      <c r="C67" s="18" t="s">
        <v>819</v>
      </c>
      <c r="D67" s="26" t="n">
        <f aca="false">ACOS(Catalogue!$F$8)</f>
        <v>0.737725968453249</v>
      </c>
      <c r="E67" s="18" t="s">
        <v>820</v>
      </c>
      <c r="F67" s="18"/>
      <c r="G67" s="18"/>
    </row>
    <row r="68" customFormat="false" ht="14.25" hidden="false" customHeight="false" outlineLevel="0" collapsed="false">
      <c r="A68" s="18" t="s">
        <v>821</v>
      </c>
      <c r="B68" s="18" t="s">
        <v>822</v>
      </c>
      <c r="C68" s="18" t="s">
        <v>823</v>
      </c>
      <c r="D68" s="26" t="n">
        <f aca="false">Catalogue!$F$12+SQRT(Catalogue!$F$12^2-1)</f>
        <v>6.64961536185438</v>
      </c>
      <c r="E68" s="18" t="s">
        <v>69</v>
      </c>
      <c r="F68" s="18" t="s">
        <v>824</v>
      </c>
      <c r="G68" s="18" t="s">
        <v>825</v>
      </c>
    </row>
    <row r="69" customFormat="false" ht="14.25" hidden="false" customHeight="false" outlineLevel="0" collapsed="false">
      <c r="A69" s="18" t="s">
        <v>826</v>
      </c>
      <c r="B69" s="18" t="s">
        <v>827</v>
      </c>
      <c r="C69" s="18" t="s">
        <v>828</v>
      </c>
      <c r="D69" s="26" t="n">
        <f aca="false">Catalogue!$F$7*(SIN($D$67)-Catalogue!$F$8/$D$68)</f>
        <v>0.982313914057444</v>
      </c>
      <c r="E69" s="18" t="s">
        <v>121</v>
      </c>
      <c r="F69" s="18" t="s">
        <v>829</v>
      </c>
      <c r="G69" s="18" t="s">
        <v>830</v>
      </c>
    </row>
    <row r="70" customFormat="false" ht="14.25" hidden="false" customHeight="false" outlineLevel="0" collapsed="false">
      <c r="A70" s="18" t="s">
        <v>831</v>
      </c>
      <c r="B70" s="18" t="s">
        <v>832</v>
      </c>
      <c r="C70" s="18" t="s">
        <v>833</v>
      </c>
      <c r="D70" s="26" t="n">
        <f aca="false">SQRT(Catalogue!$F$7^2-$D$69^2)</f>
        <v>1.44829533391817</v>
      </c>
      <c r="E70" s="18" t="s">
        <v>121</v>
      </c>
      <c r="F70" s="18"/>
      <c r="G70" s="18"/>
    </row>
    <row r="71" customFormat="false" ht="14.25" hidden="false" customHeight="false" outlineLevel="0" collapsed="false">
      <c r="A71" s="18" t="s">
        <v>834</v>
      </c>
      <c r="B71" s="18" t="s">
        <v>835</v>
      </c>
      <c r="C71" s="18" t="s">
        <v>836</v>
      </c>
      <c r="D71" s="27" t="n">
        <f aca="false">SQRT($D$69^2+($D$70*$D$35)^2)</f>
        <v>3.3160408607308</v>
      </c>
      <c r="E71" s="18" t="s">
        <v>121</v>
      </c>
      <c r="F71" s="18" t="s">
        <v>837</v>
      </c>
      <c r="G71" s="18" t="s">
        <v>838</v>
      </c>
    </row>
    <row r="72" customFormat="false" ht="14.25" hidden="false" customHeight="false" outlineLevel="0" collapsed="false">
      <c r="A72" s="18" t="s">
        <v>839</v>
      </c>
      <c r="B72" s="18" t="s">
        <v>840</v>
      </c>
      <c r="C72" s="18" t="s">
        <v>841</v>
      </c>
      <c r="D72" s="26" t="n">
        <f aca="false">1.5*Catalogue!$F$21</f>
        <v>3.9</v>
      </c>
      <c r="E72" s="18" t="s">
        <v>121</v>
      </c>
      <c r="F72" s="18" t="s">
        <v>842</v>
      </c>
      <c r="G72" s="18" t="s">
        <v>86</v>
      </c>
    </row>
    <row r="73" customFormat="false" ht="15" hidden="false" customHeight="true" outlineLevel="0" collapsed="false">
      <c r="A73" s="5" t="s">
        <v>843</v>
      </c>
      <c r="B73" s="17"/>
      <c r="C73" s="17"/>
      <c r="D73" s="17"/>
      <c r="E73" s="17"/>
      <c r="F73" s="17"/>
      <c r="G73" s="17"/>
    </row>
    <row r="74" customFormat="false" ht="14.25" hidden="false" customHeight="false" outlineLevel="0" collapsed="false">
      <c r="A74" s="18" t="s">
        <v>844</v>
      </c>
      <c r="B74" s="18" t="s">
        <v>845</v>
      </c>
      <c r="C74" s="18" t="s">
        <v>846</v>
      </c>
      <c r="D74" s="26" t="n">
        <f aca="false">Params!$C$5*Params!$C$11-Params!$C$21</f>
        <v>5025.9954</v>
      </c>
      <c r="E74" s="18" t="s">
        <v>100</v>
      </c>
      <c r="F74" s="18" t="s">
        <v>847</v>
      </c>
      <c r="G74" s="18" t="s">
        <v>848</v>
      </c>
    </row>
    <row r="75" customFormat="false" ht="14.25" hidden="false" customHeight="false" outlineLevel="0" collapsed="false">
      <c r="A75" s="18" t="s">
        <v>849</v>
      </c>
      <c r="B75" s="18" t="s">
        <v>123</v>
      </c>
      <c r="C75" s="18" t="s">
        <v>850</v>
      </c>
      <c r="D75" s="26" t="n">
        <f aca="false">$D$74*Params!$C$10*Params!$C$16*Catalogue!$F$9*GiaDinh_K3!$D$13</f>
        <v>436.487797548216</v>
      </c>
      <c r="E75" s="18" t="s">
        <v>106</v>
      </c>
      <c r="F75" s="18" t="s">
        <v>851</v>
      </c>
      <c r="G75" s="18" t="s">
        <v>848</v>
      </c>
    </row>
    <row r="76" customFormat="false" ht="14.25" hidden="false" customHeight="false" outlineLevel="0" collapsed="false">
      <c r="A76" s="18" t="s">
        <v>852</v>
      </c>
      <c r="B76" s="18" t="s">
        <v>853</v>
      </c>
      <c r="C76" s="18" t="s">
        <v>854</v>
      </c>
      <c r="D76" s="26" t="n">
        <f aca="false">GiaDinh_K3!$D$14^2/$D$75</f>
        <v>1122.59724728244</v>
      </c>
      <c r="E76" s="18" t="s">
        <v>128</v>
      </c>
      <c r="F76" s="18"/>
      <c r="G76" s="18" t="s">
        <v>848</v>
      </c>
    </row>
    <row r="77" customFormat="false" ht="14.25" hidden="false" customHeight="false" outlineLevel="0" collapsed="false">
      <c r="A77" s="18" t="s">
        <v>855</v>
      </c>
      <c r="B77" s="18" t="s">
        <v>856</v>
      </c>
      <c r="C77" s="18" t="s">
        <v>857</v>
      </c>
      <c r="D77" s="26" t="n">
        <f aca="false">MIN($D$76,Catalogue!$F$25)</f>
        <v>428</v>
      </c>
      <c r="E77" s="18" t="s">
        <v>128</v>
      </c>
      <c r="F77" s="18" t="s">
        <v>858</v>
      </c>
      <c r="G77" s="18" t="s">
        <v>553</v>
      </c>
    </row>
    <row r="78" customFormat="false" ht="14.25" hidden="false" customHeight="false" outlineLevel="0" collapsed="false">
      <c r="A78" s="18" t="s">
        <v>859</v>
      </c>
      <c r="B78" s="18" t="s">
        <v>860</v>
      </c>
      <c r="C78" s="18" t="s">
        <v>861</v>
      </c>
      <c r="D78" s="26" t="n">
        <f aca="false">Catalogue!$F$24</f>
        <v>99</v>
      </c>
      <c r="E78" s="18" t="s">
        <v>128</v>
      </c>
      <c r="F78" s="18" t="s">
        <v>862</v>
      </c>
      <c r="G78" s="18" t="s">
        <v>553</v>
      </c>
    </row>
    <row r="79" customFormat="false" ht="14.25" hidden="false" customHeight="false" outlineLevel="0" collapsed="false">
      <c r="A79" s="18" t="s">
        <v>863</v>
      </c>
      <c r="B79" s="18" t="s">
        <v>864</v>
      </c>
      <c r="C79" s="18" t="s">
        <v>865</v>
      </c>
      <c r="D79" s="26" t="n">
        <f aca="false">GiaDinh_K3!$D$14/GiaDinh_K3!$D$42</f>
        <v>3.33333333333333</v>
      </c>
      <c r="E79" s="18" t="s">
        <v>121</v>
      </c>
      <c r="F79" s="18"/>
      <c r="G79" s="18"/>
    </row>
    <row r="80" customFormat="false" ht="14.25" hidden="false" customHeight="false" outlineLevel="0" collapsed="false">
      <c r="A80" s="18" t="s">
        <v>866</v>
      </c>
      <c r="B80" s="18" t="s">
        <v>867</v>
      </c>
      <c r="C80" s="18" t="s">
        <v>868</v>
      </c>
      <c r="D80" s="26" t="n">
        <f aca="false">GiaDinh_K3!$D$14^2/GiaDinh_K3!$D$42</f>
        <v>2333.33333333333</v>
      </c>
      <c r="E80" s="18" t="s">
        <v>106</v>
      </c>
      <c r="F80" s="18" t="s">
        <v>869</v>
      </c>
      <c r="G80" s="18"/>
    </row>
    <row r="81" customFormat="false" ht="26.85" hidden="false" customHeight="false" outlineLevel="0" collapsed="false">
      <c r="A81" s="18" t="s">
        <v>870</v>
      </c>
      <c r="B81" s="18" t="s">
        <v>871</v>
      </c>
      <c r="C81" s="18" t="s">
        <v>872</v>
      </c>
      <c r="D81" s="26" t="n">
        <f aca="false">0.5*GiaDinh_K3!$D$8*Params!$C$5*Params!$C$10^2+0.5*Catalogue!$F$15*$D$191^2</f>
        <v>147.072994961818</v>
      </c>
      <c r="E81" s="18" t="s">
        <v>131</v>
      </c>
      <c r="F81" s="8" t="s">
        <v>873</v>
      </c>
      <c r="G81" s="18" t="s">
        <v>874</v>
      </c>
    </row>
    <row r="82" customFormat="false" ht="64.9" hidden="false" customHeight="false" outlineLevel="0" collapsed="false">
      <c r="A82" s="18" t="s">
        <v>875</v>
      </c>
      <c r="B82" s="18" t="s">
        <v>876</v>
      </c>
      <c r="C82" s="18" t="s">
        <v>877</v>
      </c>
      <c r="D82" s="26" t="n">
        <f aca="false">MAX(0,($D$81-Params!$C$21*$D$42)*Params!$C$16*Catalogue!$F$9*GiaDinh_K3!$D$13)</f>
        <v>59.4148877007375</v>
      </c>
      <c r="E82" s="18" t="s">
        <v>131</v>
      </c>
      <c r="F82" s="18" t="s">
        <v>878</v>
      </c>
      <c r="G82" s="18" t="s">
        <v>874</v>
      </c>
    </row>
    <row r="83" customFormat="false" ht="28.5" hidden="false" customHeight="true" outlineLevel="0" collapsed="false">
      <c r="A83" s="18" t="s">
        <v>879</v>
      </c>
      <c r="B83" s="18" t="s">
        <v>880</v>
      </c>
      <c r="C83" s="18" t="s">
        <v>881</v>
      </c>
      <c r="D83" s="26" t="n">
        <f aca="false">$D$82*GiaDinh_K3!$D$10/GiaDinh_K3!$D$4</f>
        <v>0.198049625669125</v>
      </c>
      <c r="E83" s="18" t="s">
        <v>106</v>
      </c>
      <c r="F83" s="18"/>
      <c r="G83" s="18"/>
    </row>
    <row r="84" customFormat="false" ht="14.25" hidden="false" customHeight="false" outlineLevel="0" collapsed="false">
      <c r="A84" s="18" t="s">
        <v>882</v>
      </c>
      <c r="B84" s="18" t="s">
        <v>883</v>
      </c>
      <c r="C84" s="18" t="s">
        <v>884</v>
      </c>
      <c r="D84" s="26" t="n">
        <f aca="false">SQRT(2)*Params!$C$20*(1+GiaDinh_K3!$D$5)</f>
        <v>591.141269071954</v>
      </c>
      <c r="E84" s="18" t="s">
        <v>300</v>
      </c>
      <c r="F84" s="18" t="s">
        <v>885</v>
      </c>
      <c r="G84" s="18" t="s">
        <v>886</v>
      </c>
    </row>
    <row r="85" customFormat="false" ht="14.25" hidden="false" customHeight="false" outlineLevel="0" collapsed="false">
      <c r="A85" s="18" t="s">
        <v>887</v>
      </c>
      <c r="B85" s="18" t="s">
        <v>888</v>
      </c>
      <c r="C85" s="18" t="s">
        <v>889</v>
      </c>
      <c r="D85" s="26" t="n">
        <f aca="false">1.35*Params!$C$20</f>
        <v>513</v>
      </c>
      <c r="E85" s="18" t="s">
        <v>300</v>
      </c>
      <c r="F85" s="18" t="s">
        <v>890</v>
      </c>
      <c r="G85" s="18" t="s">
        <v>886</v>
      </c>
    </row>
    <row r="86" customFormat="false" ht="15" hidden="false" customHeight="true" outlineLevel="0" collapsed="false">
      <c r="A86" s="5" t="s">
        <v>891</v>
      </c>
      <c r="B86" s="17"/>
      <c r="C86" s="17"/>
      <c r="D86" s="17"/>
      <c r="E86" s="17"/>
      <c r="F86" s="17"/>
      <c r="G86" s="17"/>
    </row>
    <row r="87" customFormat="false" ht="14.25" hidden="false" customHeight="false" outlineLevel="0" collapsed="false">
      <c r="A87" s="18" t="s">
        <v>892</v>
      </c>
      <c r="B87" s="18" t="s">
        <v>893</v>
      </c>
      <c r="C87" s="18" t="s">
        <v>892</v>
      </c>
      <c r="D87" s="26" t="n">
        <f aca="false">GiaDinh_K3!$D$18*Catalogue!$F$5</f>
        <v>4.95</v>
      </c>
      <c r="E87" s="18" t="s">
        <v>112</v>
      </c>
      <c r="F87" s="18" t="s">
        <v>374</v>
      </c>
      <c r="G87" s="18" t="s">
        <v>894</v>
      </c>
    </row>
    <row r="88" customFormat="false" ht="57" hidden="false" customHeight="true" outlineLevel="0" collapsed="false">
      <c r="A88" s="18" t="s">
        <v>895</v>
      </c>
      <c r="B88" s="18" t="s">
        <v>896</v>
      </c>
      <c r="C88" s="18" t="s">
        <v>897</v>
      </c>
      <c r="D88" s="26" t="n">
        <f aca="false">MAX(GiaDinh_K3!$D$17*$D$25,GiaDinh_K3!$D$19*$D$87)</f>
        <v>5.94</v>
      </c>
      <c r="E88" s="18" t="s">
        <v>112</v>
      </c>
      <c r="F88" s="18" t="s">
        <v>898</v>
      </c>
      <c r="G88" s="18" t="s">
        <v>899</v>
      </c>
    </row>
    <row r="89" customFormat="false" ht="14.25" hidden="false" customHeight="false" outlineLevel="0" collapsed="false">
      <c r="A89" s="18" t="s">
        <v>900</v>
      </c>
      <c r="B89" s="18" t="s">
        <v>901</v>
      </c>
      <c r="C89" s="18" t="s">
        <v>902</v>
      </c>
      <c r="D89" s="26" t="n">
        <f aca="false">$D$12*$D$23*Params!$C$16</f>
        <v>10.1197595596756</v>
      </c>
      <c r="E89" s="18" t="s">
        <v>112</v>
      </c>
      <c r="F89" s="18" t="s">
        <v>903</v>
      </c>
      <c r="G89" s="18" t="s">
        <v>703</v>
      </c>
    </row>
    <row r="90" customFormat="false" ht="14.25" hidden="false" customHeight="false" outlineLevel="0" collapsed="false">
      <c r="A90" s="18" t="s">
        <v>904</v>
      </c>
      <c r="B90" s="18" t="s">
        <v>905</v>
      </c>
      <c r="C90" s="18" t="s">
        <v>906</v>
      </c>
      <c r="D90" s="26" t="n">
        <f aca="false">$D$14*$D$23*Params!$C$16</f>
        <v>1.43654548088065</v>
      </c>
      <c r="E90" s="18" t="s">
        <v>112</v>
      </c>
      <c r="F90" s="18" t="s">
        <v>907</v>
      </c>
      <c r="G90" s="18" t="s">
        <v>703</v>
      </c>
    </row>
    <row r="91" customFormat="false" ht="14.25" hidden="false" customHeight="false" outlineLevel="0" collapsed="false">
      <c r="A91" s="18" t="s">
        <v>908</v>
      </c>
      <c r="B91" s="18" t="s">
        <v>909</v>
      </c>
      <c r="C91" s="18" t="s">
        <v>910</v>
      </c>
      <c r="D91" s="26" t="n">
        <f aca="false">(GiaDinh_K3!$D$20/($D$23*Params!$C$16)+Params!$C$21)/(GiaDinh_K3!$D$8*Params!$C$5+Catalogue!$F$15/($D$23^2*Params!$C$16))</f>
        <v>0.563392830188325</v>
      </c>
      <c r="E91" s="18" t="s">
        <v>63</v>
      </c>
      <c r="F91" s="18"/>
      <c r="G91" s="18"/>
    </row>
    <row r="92" customFormat="false" ht="26.85" hidden="false" customHeight="false" outlineLevel="0" collapsed="false">
      <c r="A92" s="18" t="s">
        <v>911</v>
      </c>
      <c r="B92" s="18" t="s">
        <v>912</v>
      </c>
      <c r="C92" s="18" t="s">
        <v>913</v>
      </c>
      <c r="D92" s="26" t="n">
        <f aca="false">MIN((GiaDinh_K3!$D$20/($D$23*Params!$C$16)+$D$6)/(GiaDinh_K3!$D$8*Params!$C$6+Catalogue!$F$15/($D$23^2*Params!$C$16)),($D$14+$D$6)/Params!$C$6)</f>
        <v>1.12815</v>
      </c>
      <c r="E92" s="18" t="s">
        <v>63</v>
      </c>
      <c r="F92" s="18"/>
      <c r="G92" s="18"/>
    </row>
    <row r="93" customFormat="false" ht="14.25" hidden="false" customHeight="false" outlineLevel="0" collapsed="false">
      <c r="A93" s="18" t="s">
        <v>914</v>
      </c>
      <c r="B93" s="18" t="s">
        <v>915</v>
      </c>
      <c r="C93" s="18" t="s">
        <v>916</v>
      </c>
      <c r="D93" s="26" t="n">
        <f aca="false">Params!$C$10^2/(2*$D$91)+Params!$C$10*GiaDinh_K3!$D$21</f>
        <v>0.0187797153499331</v>
      </c>
      <c r="E93" s="18" t="s">
        <v>57</v>
      </c>
      <c r="F93" s="18"/>
      <c r="G93" s="18"/>
    </row>
    <row r="94" customFormat="false" ht="14.25" hidden="false" customHeight="false" outlineLevel="0" collapsed="false">
      <c r="A94" s="18" t="s">
        <v>917</v>
      </c>
      <c r="B94" s="18" t="s">
        <v>918</v>
      </c>
      <c r="C94" s="18" t="s">
        <v>919</v>
      </c>
      <c r="D94" s="26" t="n">
        <f aca="false">GiaDinh_K3!$D$31*GiaDinh_K3!$D$21*1000</f>
        <v>0.25</v>
      </c>
      <c r="E94" s="18" t="s">
        <v>920</v>
      </c>
      <c r="F94" s="18" t="s">
        <v>921</v>
      </c>
      <c r="G94" s="18" t="s">
        <v>922</v>
      </c>
    </row>
    <row r="95" customFormat="false" ht="15" hidden="false" customHeight="true" outlineLevel="0" collapsed="false">
      <c r="A95" s="5" t="s">
        <v>923</v>
      </c>
      <c r="B95" s="17"/>
      <c r="C95" s="17"/>
      <c r="D95" s="17"/>
      <c r="E95" s="17"/>
      <c r="F95" s="17"/>
      <c r="G95" s="17"/>
    </row>
    <row r="96" customFormat="false" ht="14.25" hidden="false" customHeight="false" outlineLevel="0" collapsed="false">
      <c r="A96" s="18" t="s">
        <v>924</v>
      </c>
      <c r="B96" s="18" t="s">
        <v>925</v>
      </c>
      <c r="C96" s="18" t="s">
        <v>926</v>
      </c>
      <c r="D96" s="26" t="n">
        <f aca="false">60*GiaDinh_K3!$D$6/GiaDinh_K3!$D$28</f>
        <v>1500</v>
      </c>
      <c r="E96" s="18" t="s">
        <v>498</v>
      </c>
      <c r="F96" s="18"/>
      <c r="G96" s="18"/>
    </row>
    <row r="97" customFormat="false" ht="14.25" hidden="false" customHeight="false" outlineLevel="0" collapsed="false">
      <c r="A97" s="18" t="s">
        <v>927</v>
      </c>
      <c r="B97" s="18" t="s">
        <v>928</v>
      </c>
      <c r="C97" s="18" t="s">
        <v>929</v>
      </c>
      <c r="D97" s="26" t="n">
        <f aca="false">($D$96-Catalogue!$F$6)/$D$96</f>
        <v>0.04</v>
      </c>
      <c r="E97" s="18" t="s">
        <v>69</v>
      </c>
      <c r="F97" s="18"/>
      <c r="G97" s="18"/>
    </row>
    <row r="98" customFormat="false" ht="14.25" hidden="false" customHeight="false" outlineLevel="0" collapsed="false">
      <c r="A98" s="18" t="s">
        <v>930</v>
      </c>
      <c r="B98" s="18" t="s">
        <v>931</v>
      </c>
      <c r="C98" s="18" t="s">
        <v>932</v>
      </c>
      <c r="D98" s="26" t="n">
        <f aca="false">GiaDinh_K3!$D$29/SQRT(3)</f>
        <v>230.94010767585</v>
      </c>
      <c r="E98" s="18" t="s">
        <v>300</v>
      </c>
      <c r="F98" s="18" t="s">
        <v>933</v>
      </c>
      <c r="G98" s="18"/>
    </row>
    <row r="99" customFormat="false" ht="14.25" hidden="false" customHeight="false" outlineLevel="0" collapsed="false">
      <c r="A99" s="18" t="s">
        <v>934</v>
      </c>
      <c r="B99" s="18" t="s">
        <v>935</v>
      </c>
      <c r="C99" s="18" t="s">
        <v>936</v>
      </c>
      <c r="D99" s="26" t="n">
        <f aca="false">2*PI()*GiaDinh_K3!$D$6</f>
        <v>314.159265358979</v>
      </c>
      <c r="E99" s="18" t="s">
        <v>189</v>
      </c>
      <c r="F99" s="18"/>
      <c r="G99" s="18"/>
    </row>
    <row r="100" customFormat="false" ht="14.25" hidden="false" customHeight="false" outlineLevel="0" collapsed="false">
      <c r="A100" s="18" t="s">
        <v>937</v>
      </c>
      <c r="B100" s="18" t="s">
        <v>938</v>
      </c>
      <c r="C100" s="18" t="s">
        <v>939</v>
      </c>
      <c r="D100" s="27" t="n">
        <f aca="false">$D$98/$D$69</f>
        <v>235.098072389052</v>
      </c>
      <c r="E100" s="18" t="s">
        <v>128</v>
      </c>
      <c r="F100" s="18"/>
      <c r="G100" s="18" t="s">
        <v>940</v>
      </c>
    </row>
    <row r="101" customFormat="false" ht="14.25" hidden="false" customHeight="false" outlineLevel="0" collapsed="false">
      <c r="A101" s="18" t="s">
        <v>941</v>
      </c>
      <c r="B101" s="18" t="s">
        <v>942</v>
      </c>
      <c r="C101" s="18" t="s">
        <v>943</v>
      </c>
      <c r="D101" s="27" t="n">
        <f aca="false">$D$68/SQRT(1+$D$68^2)</f>
        <v>0.988880484202924</v>
      </c>
      <c r="E101" s="18" t="s">
        <v>69</v>
      </c>
      <c r="F101" s="18"/>
      <c r="G101" s="18"/>
    </row>
    <row r="102" customFormat="false" ht="14.25" hidden="false" customHeight="false" outlineLevel="0" collapsed="false">
      <c r="A102" s="18" t="s">
        <v>944</v>
      </c>
      <c r="B102" s="18" t="s">
        <v>945</v>
      </c>
      <c r="C102" s="18" t="s">
        <v>946</v>
      </c>
      <c r="D102" s="26" t="n">
        <f aca="false">Catalogue!$F$7*Catalogue!$F$8/$D$101</f>
        <v>1.30956169192056</v>
      </c>
      <c r="E102" s="18" t="s">
        <v>121</v>
      </c>
      <c r="F102" s="18"/>
      <c r="G102" s="18"/>
    </row>
    <row r="103" customFormat="false" ht="14.25" hidden="false" customHeight="false" outlineLevel="0" collapsed="false">
      <c r="A103" s="18" t="s">
        <v>947</v>
      </c>
      <c r="B103" s="18" t="s">
        <v>948</v>
      </c>
      <c r="C103" s="18" t="s">
        <v>949</v>
      </c>
      <c r="D103" s="27" t="n">
        <f aca="false">$D$98/$D$102</f>
        <v>176.349162548549</v>
      </c>
      <c r="E103" s="18" t="s">
        <v>128</v>
      </c>
      <c r="F103" s="18"/>
      <c r="G103" s="18"/>
    </row>
    <row r="104" customFormat="false" ht="14.25" hidden="false" customHeight="false" outlineLevel="0" collapsed="false">
      <c r="A104" s="18" t="s">
        <v>950</v>
      </c>
      <c r="B104" s="18" t="s">
        <v>951</v>
      </c>
      <c r="C104" s="18" t="s">
        <v>952</v>
      </c>
      <c r="D104" s="27" t="n">
        <f aca="false">UocLuong_TS!D62</f>
        <v>6.641</v>
      </c>
      <c r="E104" s="18" t="s">
        <v>128</v>
      </c>
      <c r="F104" s="18" t="s">
        <v>953</v>
      </c>
      <c r="G104" s="18"/>
    </row>
    <row r="105" customFormat="false" ht="14.25" hidden="false" customHeight="false" outlineLevel="0" collapsed="false">
      <c r="A105" s="18" t="s">
        <v>954</v>
      </c>
      <c r="B105" s="18" t="s">
        <v>955</v>
      </c>
      <c r="C105" s="18" t="s">
        <v>956</v>
      </c>
      <c r="D105" s="27" t="n">
        <f aca="false">$D$103*SQRT(1-$D$101^2)</f>
        <v>26.2253131587384</v>
      </c>
      <c r="E105" s="18" t="s">
        <v>128</v>
      </c>
      <c r="F105" s="18"/>
      <c r="G105" s="18"/>
    </row>
    <row r="106" customFormat="false" ht="14.25" hidden="false" customHeight="false" outlineLevel="0" collapsed="false">
      <c r="A106" s="18" t="s">
        <v>957</v>
      </c>
      <c r="B106" s="18" t="s">
        <v>958</v>
      </c>
      <c r="C106" s="18" t="s">
        <v>959</v>
      </c>
      <c r="D106" s="26" t="n">
        <f aca="false">Catalogue!$F$4*1000/Catalogue!$F$9-Catalogue!$F$4*1000</f>
        <v>154.704463208685</v>
      </c>
      <c r="E106" s="18" t="s">
        <v>106</v>
      </c>
      <c r="F106" s="18"/>
      <c r="G106" s="18"/>
    </row>
    <row r="107" customFormat="false" ht="14.25" hidden="false" customHeight="false" outlineLevel="0" collapsed="false">
      <c r="A107" s="18" t="s">
        <v>960</v>
      </c>
      <c r="B107" s="18" t="s">
        <v>961</v>
      </c>
      <c r="C107" s="18" t="s">
        <v>962</v>
      </c>
      <c r="D107" s="26" t="n">
        <f aca="false">$D$97/(1-$D$97)*Catalogue!$F$4*1000</f>
        <v>31.25</v>
      </c>
      <c r="E107" s="18" t="s">
        <v>106</v>
      </c>
      <c r="F107" s="18"/>
      <c r="G107" s="18"/>
    </row>
    <row r="108" customFormat="false" ht="14.25" hidden="false" customHeight="false" outlineLevel="0" collapsed="false">
      <c r="A108" s="18" t="s">
        <v>963</v>
      </c>
      <c r="B108" s="18" t="s">
        <v>964</v>
      </c>
      <c r="C108" s="18" t="s">
        <v>965</v>
      </c>
      <c r="D108" s="26" t="n">
        <f aca="false">$D$106*(1-GiaDinh_K3!$D$26)-$D$107</f>
        <v>77.0431242460796</v>
      </c>
      <c r="E108" s="18" t="s">
        <v>106</v>
      </c>
      <c r="F108" s="18"/>
      <c r="G108" s="18"/>
    </row>
    <row r="109" customFormat="false" ht="14.25" hidden="false" customHeight="false" outlineLevel="0" collapsed="false">
      <c r="A109" s="18" t="s">
        <v>966</v>
      </c>
      <c r="B109" s="18" t="s">
        <v>967</v>
      </c>
      <c r="C109" s="18" t="s">
        <v>968</v>
      </c>
      <c r="D109" s="26" t="n">
        <f aca="false">UocLuong_TS!D61</f>
        <v>8.386</v>
      </c>
      <c r="E109" s="18" t="s">
        <v>128</v>
      </c>
      <c r="F109" s="18"/>
      <c r="G109" s="18"/>
    </row>
    <row r="110" customFormat="false" ht="14.25" hidden="false" customHeight="false" outlineLevel="0" collapsed="false">
      <c r="A110" s="18" t="s">
        <v>969</v>
      </c>
      <c r="B110" s="18" t="s">
        <v>970</v>
      </c>
      <c r="C110" s="18" t="s">
        <v>971</v>
      </c>
      <c r="D110" s="27" t="n">
        <f aca="false">UocLuong_TS!D65</f>
        <v>0.603</v>
      </c>
      <c r="E110" s="18" t="s">
        <v>972</v>
      </c>
      <c r="F110" s="18" t="s">
        <v>973</v>
      </c>
      <c r="G110" s="18"/>
    </row>
    <row r="111" customFormat="false" ht="14.25" hidden="false" customHeight="false" outlineLevel="0" collapsed="false">
      <c r="A111" s="18" t="s">
        <v>974</v>
      </c>
      <c r="B111" s="18" t="s">
        <v>975</v>
      </c>
      <c r="C111" s="18" t="s">
        <v>976</v>
      </c>
      <c r="D111" s="26" t="n">
        <f aca="false">UocLuong_TS!D63</f>
        <v>0.0294</v>
      </c>
      <c r="E111" s="18" t="s">
        <v>972</v>
      </c>
      <c r="F111" s="18"/>
      <c r="G111" s="18"/>
    </row>
    <row r="112" customFormat="false" ht="14.25" hidden="false" customHeight="false" outlineLevel="0" collapsed="false">
      <c r="A112" s="18" t="s">
        <v>977</v>
      </c>
      <c r="B112" s="18" t="s">
        <v>978</v>
      </c>
      <c r="C112" s="18" t="s">
        <v>979</v>
      </c>
      <c r="D112" s="26" t="n">
        <f aca="false">UocLuong_TS!D64</f>
        <v>0.0294</v>
      </c>
      <c r="E112" s="18" t="s">
        <v>972</v>
      </c>
      <c r="F112" s="18"/>
      <c r="G112" s="18"/>
    </row>
    <row r="113" customFormat="false" ht="14.25" hidden="false" customHeight="false" outlineLevel="0" collapsed="false">
      <c r="A113" s="18" t="s">
        <v>980</v>
      </c>
      <c r="B113" s="18" t="s">
        <v>981</v>
      </c>
      <c r="C113" s="18" t="s">
        <v>982</v>
      </c>
      <c r="D113" s="27" t="n">
        <f aca="false">$D$110+$D$111</f>
        <v>0.6324</v>
      </c>
      <c r="E113" s="18" t="s">
        <v>972</v>
      </c>
      <c r="F113" s="18"/>
      <c r="G113" s="18"/>
    </row>
    <row r="114" customFormat="false" ht="14.25" hidden="false" customHeight="false" outlineLevel="0" collapsed="false">
      <c r="A114" s="18" t="s">
        <v>983</v>
      </c>
      <c r="B114" s="18" t="s">
        <v>984</v>
      </c>
      <c r="C114" s="18" t="s">
        <v>985</v>
      </c>
      <c r="D114" s="27" t="n">
        <f aca="false">$D$110+$D$112</f>
        <v>0.6324</v>
      </c>
      <c r="E114" s="18" t="s">
        <v>972</v>
      </c>
      <c r="F114" s="18"/>
      <c r="G114" s="18"/>
    </row>
    <row r="115" customFormat="false" ht="14.25" hidden="false" customHeight="false" outlineLevel="0" collapsed="false">
      <c r="A115" s="18" t="s">
        <v>986</v>
      </c>
      <c r="B115" s="18" t="s">
        <v>987</v>
      </c>
      <c r="C115" s="18" t="s">
        <v>988</v>
      </c>
      <c r="D115" s="27" t="n">
        <f aca="false">1-$D$110^2/($D$113*$D$114)</f>
        <v>0.0908178476140411</v>
      </c>
      <c r="E115" s="18" t="s">
        <v>69</v>
      </c>
      <c r="F115" s="18"/>
      <c r="G115" s="18"/>
    </row>
    <row r="116" customFormat="false" ht="14.25" hidden="false" customHeight="false" outlineLevel="0" collapsed="false">
      <c r="A116" s="18" t="s">
        <v>989</v>
      </c>
      <c r="B116" s="18" t="s">
        <v>990</v>
      </c>
      <c r="C116" s="18" t="s">
        <v>991</v>
      </c>
      <c r="D116" s="27" t="n">
        <f aca="false">$D$114/$D$104</f>
        <v>0.095226622496612</v>
      </c>
      <c r="E116" s="18" t="s">
        <v>136</v>
      </c>
      <c r="F116" s="18"/>
      <c r="G116" s="18" t="s">
        <v>992</v>
      </c>
    </row>
    <row r="117" customFormat="false" ht="14.25" hidden="false" customHeight="false" outlineLevel="0" collapsed="false">
      <c r="A117" s="18" t="s">
        <v>993</v>
      </c>
      <c r="B117" s="18" t="s">
        <v>994</v>
      </c>
      <c r="C117" s="18" t="s">
        <v>995</v>
      </c>
      <c r="D117" s="27" t="n">
        <f aca="false">$D$110/$D$114</f>
        <v>0.953510436432638</v>
      </c>
      <c r="E117" s="18" t="s">
        <v>69</v>
      </c>
      <c r="F117" s="18"/>
      <c r="G117" s="18" t="s">
        <v>992</v>
      </c>
    </row>
    <row r="118" customFormat="false" ht="14.25" hidden="false" customHeight="false" outlineLevel="0" collapsed="false">
      <c r="A118" s="18" t="s">
        <v>996</v>
      </c>
      <c r="B118" s="18" t="s">
        <v>997</v>
      </c>
      <c r="C118" s="18" t="s">
        <v>998</v>
      </c>
      <c r="D118" s="27" t="n">
        <f aca="false">$D$109+$D$117^2*$D$104</f>
        <v>14.4238786739952</v>
      </c>
      <c r="E118" s="18" t="s">
        <v>128</v>
      </c>
      <c r="F118" s="18" t="s">
        <v>999</v>
      </c>
      <c r="G118" s="18" t="s">
        <v>1000</v>
      </c>
    </row>
    <row r="119" customFormat="false" ht="14.25" hidden="false" customHeight="false" outlineLevel="0" collapsed="false">
      <c r="A119" s="18" t="s">
        <v>1001</v>
      </c>
      <c r="B119" s="18" t="s">
        <v>1002</v>
      </c>
      <c r="C119" s="18" t="s">
        <v>1003</v>
      </c>
      <c r="D119" s="27" t="n">
        <f aca="false">$D$115*$D$113</f>
        <v>0.0574332068311196</v>
      </c>
      <c r="E119" s="18" t="s">
        <v>972</v>
      </c>
      <c r="F119" s="18"/>
      <c r="G119" s="18" t="s">
        <v>1000</v>
      </c>
    </row>
    <row r="120" customFormat="false" ht="14.25" hidden="false" customHeight="false" outlineLevel="0" collapsed="false">
      <c r="A120" s="18" t="s">
        <v>1004</v>
      </c>
      <c r="B120" s="18" t="s">
        <v>1005</v>
      </c>
      <c r="C120" s="18" t="s">
        <v>1006</v>
      </c>
      <c r="D120" s="27" t="n">
        <f aca="false">$D$119/$D$118</f>
        <v>0.00398181433227569</v>
      </c>
      <c r="E120" s="18" t="s">
        <v>136</v>
      </c>
      <c r="F120" s="18"/>
      <c r="G120" s="18" t="s">
        <v>992</v>
      </c>
    </row>
    <row r="121" customFormat="false" ht="14.25" hidden="false" customHeight="false" outlineLevel="0" collapsed="false">
      <c r="A121" s="18" t="s">
        <v>1007</v>
      </c>
      <c r="B121" s="18" t="s">
        <v>1008</v>
      </c>
      <c r="C121" s="18" t="s">
        <v>1009</v>
      </c>
      <c r="D121" s="27" t="n">
        <f aca="false">UocLuong_TS!D66</f>
        <v>1.56172538826136</v>
      </c>
      <c r="E121" s="18" t="s">
        <v>121</v>
      </c>
      <c r="F121" s="18" t="s">
        <v>1010</v>
      </c>
      <c r="G121" s="18"/>
    </row>
    <row r="122" customFormat="false" ht="14.25" hidden="false" customHeight="false" outlineLevel="0" collapsed="false">
      <c r="A122" s="18" t="s">
        <v>1011</v>
      </c>
      <c r="B122" s="18" t="s">
        <v>1012</v>
      </c>
      <c r="C122" s="18" t="s">
        <v>1013</v>
      </c>
      <c r="D122" s="27" t="n">
        <f aca="false">$D$110*$D$121</f>
        <v>0.941720409121602</v>
      </c>
      <c r="E122" s="18" t="s">
        <v>1014</v>
      </c>
      <c r="F122" s="18"/>
      <c r="G122" s="18"/>
    </row>
    <row r="123" customFormat="false" ht="14.25" hidden="false" customHeight="false" outlineLevel="0" collapsed="false">
      <c r="A123" s="18" t="s">
        <v>1015</v>
      </c>
      <c r="B123" s="18" t="s">
        <v>1016</v>
      </c>
      <c r="C123" s="18" t="s">
        <v>1017</v>
      </c>
      <c r="D123" s="26" t="n">
        <f aca="false">1.5*GiaDinh_K3!$D$28*$D$110/$D$114*$D$122</f>
        <v>2.69382071489718</v>
      </c>
      <c r="E123" s="18" t="s">
        <v>1018</v>
      </c>
      <c r="F123" s="18" t="s">
        <v>1019</v>
      </c>
      <c r="G123" s="18" t="s">
        <v>1020</v>
      </c>
    </row>
    <row r="124" customFormat="false" ht="14.25" hidden="false" customHeight="false" outlineLevel="0" collapsed="false">
      <c r="A124" s="18" t="s">
        <v>1021</v>
      </c>
      <c r="B124" s="18" t="s">
        <v>1022</v>
      </c>
      <c r="C124" s="18" t="s">
        <v>1023</v>
      </c>
      <c r="D124" s="26" t="n">
        <f aca="false">Catalogue!$F$5/$D$123</f>
        <v>1.83753876886678</v>
      </c>
      <c r="E124" s="18" t="s">
        <v>121</v>
      </c>
      <c r="F124" s="18"/>
      <c r="G124" s="18"/>
    </row>
    <row r="125" customFormat="false" ht="14.25" hidden="false" customHeight="false" outlineLevel="0" collapsed="false">
      <c r="A125" s="18" t="s">
        <v>1024</v>
      </c>
      <c r="B125" s="18" t="s">
        <v>1025</v>
      </c>
      <c r="C125" s="18" t="s">
        <v>1026</v>
      </c>
      <c r="D125" s="26" t="n">
        <f aca="false">$D$12/1.2*$D$23/Params!$C$16/$D$123</f>
        <v>3.86487311853391</v>
      </c>
      <c r="E125" s="18" t="s">
        <v>121</v>
      </c>
      <c r="F125" s="18" t="s">
        <v>1027</v>
      </c>
      <c r="G125" s="18" t="s">
        <v>162</v>
      </c>
    </row>
    <row r="126" customFormat="false" ht="15" hidden="false" customHeight="true" outlineLevel="0" collapsed="false">
      <c r="A126" s="5" t="s">
        <v>1028</v>
      </c>
      <c r="B126" s="17"/>
      <c r="C126" s="17"/>
      <c r="D126" s="17"/>
      <c r="E126" s="17"/>
      <c r="F126" s="17"/>
      <c r="G126" s="17"/>
    </row>
    <row r="127" customFormat="false" ht="14.25" hidden="false" customHeight="false" outlineLevel="0" collapsed="false">
      <c r="A127" s="18" t="s">
        <v>1029</v>
      </c>
      <c r="B127" s="18" t="s">
        <v>1030</v>
      </c>
      <c r="C127" s="18" t="s">
        <v>1031</v>
      </c>
      <c r="D127" s="26" t="n">
        <f aca="false">GiaDinh_K3!$D$23/GiaDinh_K3!$D$22</f>
        <v>0.000375</v>
      </c>
      <c r="E127" s="18" t="s">
        <v>136</v>
      </c>
      <c r="F127" s="18"/>
      <c r="G127" s="18"/>
    </row>
    <row r="128" customFormat="false" ht="14.25" hidden="false" customHeight="false" outlineLevel="0" collapsed="false">
      <c r="A128" s="18" t="s">
        <v>1032</v>
      </c>
      <c r="B128" s="18" t="s">
        <v>1033</v>
      </c>
      <c r="C128" s="18" t="s">
        <v>1034</v>
      </c>
      <c r="D128" s="27" t="n">
        <f aca="false">$D$119/(2*$D$127)</f>
        <v>76.5776091081595</v>
      </c>
      <c r="E128" s="18" t="s">
        <v>1035</v>
      </c>
      <c r="F128" s="18" t="s">
        <v>1036</v>
      </c>
      <c r="G128" s="18" t="s">
        <v>1020</v>
      </c>
    </row>
    <row r="129" customFormat="false" ht="14.25" hidden="false" customHeight="false" outlineLevel="0" collapsed="false">
      <c r="A129" s="18" t="s">
        <v>1037</v>
      </c>
      <c r="B129" s="18" t="s">
        <v>1038</v>
      </c>
      <c r="C129" s="18" t="s">
        <v>1039</v>
      </c>
      <c r="D129" s="27" t="n">
        <f aca="false">$D$120</f>
        <v>0.00398181433227569</v>
      </c>
      <c r="E129" s="18" t="s">
        <v>136</v>
      </c>
      <c r="F129" s="18" t="s">
        <v>1040</v>
      </c>
      <c r="G129" s="18" t="s">
        <v>1020</v>
      </c>
    </row>
    <row r="130" customFormat="false" ht="28.5" hidden="false" customHeight="true" outlineLevel="0" collapsed="false">
      <c r="A130" s="18" t="s">
        <v>1041</v>
      </c>
      <c r="B130" s="18" t="s">
        <v>1042</v>
      </c>
      <c r="C130" s="18" t="s">
        <v>1043</v>
      </c>
      <c r="D130" s="27" t="n">
        <f aca="false">$D$128/$D$129</f>
        <v>19231.8382319935</v>
      </c>
      <c r="E130" s="18" t="s">
        <v>1044</v>
      </c>
      <c r="F130" s="18"/>
      <c r="G130" s="18"/>
    </row>
    <row r="131" customFormat="false" ht="14.25" hidden="false" customHeight="false" outlineLevel="0" collapsed="false">
      <c r="A131" s="18" t="s">
        <v>1045</v>
      </c>
      <c r="B131" s="18" t="s">
        <v>1046</v>
      </c>
      <c r="C131" s="18" t="s">
        <v>1047</v>
      </c>
      <c r="D131" s="27" t="n">
        <f aca="false">4.7*$D$127</f>
        <v>0.0017625</v>
      </c>
      <c r="E131" s="18" t="s">
        <v>136</v>
      </c>
      <c r="F131" s="18" t="s">
        <v>1048</v>
      </c>
      <c r="G131" s="18" t="s">
        <v>1049</v>
      </c>
    </row>
    <row r="132" customFormat="false" ht="15" hidden="false" customHeight="true" outlineLevel="0" collapsed="false">
      <c r="A132" s="5" t="s">
        <v>1050</v>
      </c>
      <c r="B132" s="17"/>
      <c r="C132" s="17"/>
      <c r="D132" s="17"/>
      <c r="E132" s="17"/>
      <c r="F132" s="17"/>
      <c r="G132" s="17"/>
    </row>
    <row r="133" customFormat="false" ht="26.85" hidden="false" customHeight="false" outlineLevel="0" collapsed="false">
      <c r="A133" s="18" t="s">
        <v>1051</v>
      </c>
      <c r="B133" s="18" t="s">
        <v>1052</v>
      </c>
      <c r="C133" s="18" t="s">
        <v>1053</v>
      </c>
      <c r="D133" s="26" t="n">
        <f aca="false">2*$D$127+GiaDinh_K3!$D$24+GiaDinh_K3!$D$61*GiaDinh_K3!$D$25</f>
        <v>0.00325</v>
      </c>
      <c r="E133" s="18" t="s">
        <v>136</v>
      </c>
      <c r="F133" s="18" t="s">
        <v>1054</v>
      </c>
      <c r="G133" s="18"/>
    </row>
    <row r="134" customFormat="false" ht="26.85" hidden="false" customHeight="false" outlineLevel="0" collapsed="false">
      <c r="A134" s="18" t="s">
        <v>1055</v>
      </c>
      <c r="B134" s="18" t="s">
        <v>1056</v>
      </c>
      <c r="C134" s="18" t="s">
        <v>1057</v>
      </c>
      <c r="D134" s="27" t="n">
        <f aca="false">$D$179</f>
        <v>0.00516902862498305</v>
      </c>
      <c r="E134" s="18" t="s">
        <v>110</v>
      </c>
      <c r="F134" s="18" t="s">
        <v>1058</v>
      </c>
      <c r="G134" s="18" t="s">
        <v>1059</v>
      </c>
    </row>
    <row r="135" customFormat="false" ht="14.25" hidden="false" customHeight="false" outlineLevel="0" collapsed="false">
      <c r="A135" s="18" t="s">
        <v>1060</v>
      </c>
      <c r="B135" s="18" t="s">
        <v>1061</v>
      </c>
      <c r="C135" s="18" t="s">
        <v>1062</v>
      </c>
      <c r="D135" s="27" t="n">
        <f aca="false">$D$134/(2*$D$123*$D$133)</f>
        <v>0.29520716381627</v>
      </c>
      <c r="E135" s="18" t="s">
        <v>1063</v>
      </c>
      <c r="F135" s="18" t="s">
        <v>1064</v>
      </c>
      <c r="G135" s="18" t="s">
        <v>1020</v>
      </c>
    </row>
    <row r="136" customFormat="false" ht="14.25" hidden="false" customHeight="false" outlineLevel="0" collapsed="false">
      <c r="A136" s="18" t="s">
        <v>1065</v>
      </c>
      <c r="B136" s="18" t="s">
        <v>1066</v>
      </c>
      <c r="C136" s="18" t="s">
        <v>1067</v>
      </c>
      <c r="D136" s="27" t="n">
        <f aca="false">4*$D$133</f>
        <v>0.013</v>
      </c>
      <c r="E136" s="18" t="s">
        <v>136</v>
      </c>
      <c r="F136" s="18" t="s">
        <v>1068</v>
      </c>
      <c r="G136" s="18" t="s">
        <v>1020</v>
      </c>
    </row>
    <row r="137" customFormat="false" ht="14.25" hidden="false" customHeight="false" outlineLevel="0" collapsed="false">
      <c r="A137" s="18" t="s">
        <v>1069</v>
      </c>
      <c r="B137" s="18" t="s">
        <v>1070</v>
      </c>
      <c r="C137" s="18" t="s">
        <v>1071</v>
      </c>
      <c r="D137" s="27" t="n">
        <f aca="false">4*$D$133</f>
        <v>0.013</v>
      </c>
      <c r="E137" s="18" t="s">
        <v>136</v>
      </c>
      <c r="F137" s="18" t="s">
        <v>1072</v>
      </c>
      <c r="G137" s="18" t="s">
        <v>1073</v>
      </c>
    </row>
    <row r="138" customFormat="false" ht="14.25" hidden="false" customHeight="false" outlineLevel="0" collapsed="false">
      <c r="A138" s="18" t="s">
        <v>1074</v>
      </c>
      <c r="B138" s="18" t="s">
        <v>1075</v>
      </c>
      <c r="C138" s="18" t="s">
        <v>1076</v>
      </c>
      <c r="D138" s="27" t="n">
        <f aca="false">$D$134/$D$30</f>
        <v>0.390800465964124</v>
      </c>
      <c r="E138" s="18" t="s">
        <v>69</v>
      </c>
      <c r="F138" s="18"/>
      <c r="G138" s="18"/>
    </row>
    <row r="139" customFormat="false" ht="14.25" hidden="false" customHeight="false" outlineLevel="0" collapsed="false">
      <c r="A139" s="18" t="s">
        <v>1077</v>
      </c>
      <c r="B139" s="18" t="s">
        <v>1078</v>
      </c>
      <c r="C139" s="18" t="s">
        <v>1079</v>
      </c>
      <c r="D139" s="27" t="n">
        <f aca="false">$D$134/$D$31</f>
        <v>1.25289159099223</v>
      </c>
      <c r="E139" s="18" t="s">
        <v>69</v>
      </c>
      <c r="F139" s="18"/>
      <c r="G139" s="18"/>
    </row>
    <row r="140" customFormat="false" ht="14.25" hidden="false" customHeight="false" outlineLevel="0" collapsed="false">
      <c r="A140" s="18" t="s">
        <v>1080</v>
      </c>
      <c r="B140" s="18" t="s">
        <v>1081</v>
      </c>
      <c r="C140" s="18" t="s">
        <v>1082</v>
      </c>
      <c r="D140" s="27" t="n">
        <f aca="false">($D$138)-(64*($D$138)^3+64*($D$138)^2-16*$D$138^2*($D$138)-$D$138^2)/(192*($D$138)^2+128*($D$138)-16*$D$138^2)</f>
        <v>0.228430883965501</v>
      </c>
      <c r="E140" s="18" t="s">
        <v>69</v>
      </c>
      <c r="F140" s="18" t="s">
        <v>1083</v>
      </c>
      <c r="G140" s="18" t="s">
        <v>703</v>
      </c>
    </row>
    <row r="141" customFormat="false" ht="14.25" hidden="false" customHeight="false" outlineLevel="0" collapsed="false">
      <c r="A141" s="18" t="s">
        <v>1084</v>
      </c>
      <c r="B141" s="18" t="s">
        <v>1085</v>
      </c>
      <c r="C141" s="18" t="s">
        <v>1082</v>
      </c>
      <c r="D141" s="27" t="n">
        <f aca="false">($D$140)-(64*($D$140)^3+64*($D$140)^2-16*$D$138^2*($D$140)-$D$138^2)/(192*($D$140)^2+128*($D$140)-16*$D$138^2)</f>
        <v>0.136306118699788</v>
      </c>
      <c r="E141" s="18" t="s">
        <v>69</v>
      </c>
      <c r="F141" s="18" t="s">
        <v>1083</v>
      </c>
      <c r="G141" s="18" t="s">
        <v>703</v>
      </c>
    </row>
    <row r="142" customFormat="false" ht="14.25" hidden="false" customHeight="false" outlineLevel="0" collapsed="false">
      <c r="A142" s="18" t="s">
        <v>1086</v>
      </c>
      <c r="B142" s="18" t="s">
        <v>1087</v>
      </c>
      <c r="C142" s="18" t="s">
        <v>1082</v>
      </c>
      <c r="D142" s="27" t="n">
        <f aca="false">($D$141)-(64*($D$141)^3+64*($D$141)^2-16*$D$138^2*($D$141)-$D$138^2)/(192*($D$141)^2+128*($D$141)-16*$D$138^2)</f>
        <v>0.089708553034536</v>
      </c>
      <c r="E142" s="18" t="s">
        <v>69</v>
      </c>
      <c r="F142" s="18" t="s">
        <v>1083</v>
      </c>
      <c r="G142" s="18" t="s">
        <v>703</v>
      </c>
    </row>
    <row r="143" customFormat="false" ht="14.25" hidden="false" customHeight="false" outlineLevel="0" collapsed="false">
      <c r="A143" s="18" t="s">
        <v>1088</v>
      </c>
      <c r="B143" s="18" t="s">
        <v>1089</v>
      </c>
      <c r="C143" s="18" t="s">
        <v>1082</v>
      </c>
      <c r="D143" s="27" t="n">
        <f aca="false">($D$142)-(64*($D$142)^3+64*($D$142)^2-16*$D$138^2*($D$142)-$D$138^2)/(192*($D$142)^2+128*($D$142)-16*$D$138^2)</f>
        <v>0.071822018970838</v>
      </c>
      <c r="E143" s="18" t="s">
        <v>69</v>
      </c>
      <c r="F143" s="18" t="s">
        <v>1083</v>
      </c>
      <c r="G143" s="18" t="s">
        <v>703</v>
      </c>
    </row>
    <row r="144" customFormat="false" ht="14.25" hidden="false" customHeight="false" outlineLevel="0" collapsed="false">
      <c r="A144" s="18" t="s">
        <v>1090</v>
      </c>
      <c r="B144" s="18" t="s">
        <v>1091</v>
      </c>
      <c r="C144" s="18" t="s">
        <v>1082</v>
      </c>
      <c r="D144" s="27" t="n">
        <f aca="false">($D$143)-(64*($D$143)^3+64*($D$143)^2-16*$D$138^2*($D$143)-$D$138^2)/(192*($D$143)^2+128*($D$143)-16*$D$138^2)</f>
        <v>0.0685120041169424</v>
      </c>
      <c r="E144" s="18" t="s">
        <v>69</v>
      </c>
      <c r="F144" s="18" t="s">
        <v>1083</v>
      </c>
      <c r="G144" s="18" t="s">
        <v>703</v>
      </c>
    </row>
    <row r="145" customFormat="false" ht="14.25" hidden="false" customHeight="false" outlineLevel="0" collapsed="false">
      <c r="A145" s="18" t="s">
        <v>1092</v>
      </c>
      <c r="B145" s="18" t="s">
        <v>1093</v>
      </c>
      <c r="C145" s="18" t="s">
        <v>1082</v>
      </c>
      <c r="D145" s="27" t="n">
        <f aca="false">($D$144)-(64*($D$144)^3+64*($D$144)^2-16*$D$138^2*($D$144)-$D$138^2)/(192*($D$144)^2+128*($D$144)-16*$D$138^2)</f>
        <v>0.0683943978498365</v>
      </c>
      <c r="E145" s="18" t="s">
        <v>69</v>
      </c>
      <c r="F145" s="18" t="s">
        <v>1083</v>
      </c>
      <c r="G145" s="18" t="s">
        <v>703</v>
      </c>
    </row>
    <row r="146" customFormat="false" ht="14.25" hidden="false" customHeight="false" outlineLevel="0" collapsed="false">
      <c r="A146" s="18" t="s">
        <v>1094</v>
      </c>
      <c r="B146" s="18" t="s">
        <v>1095</v>
      </c>
      <c r="C146" s="18" t="s">
        <v>1082</v>
      </c>
      <c r="D146" s="27" t="n">
        <f aca="false">($D$145)-(64*($D$145)^3+64*($D$145)^2-16*$D$138^2*($D$145)-$D$138^2)/(192*($D$145)^2+128*($D$145)-16*$D$138^2)</f>
        <v>0.0683942498359239</v>
      </c>
      <c r="E146" s="18" t="s">
        <v>69</v>
      </c>
      <c r="F146" s="18" t="s">
        <v>1083</v>
      </c>
      <c r="G146" s="18" t="s">
        <v>703</v>
      </c>
    </row>
    <row r="147" customFormat="false" ht="14.25" hidden="false" customHeight="false" outlineLevel="0" collapsed="false">
      <c r="A147" s="18" t="s">
        <v>1096</v>
      </c>
      <c r="B147" s="18" t="s">
        <v>1097</v>
      </c>
      <c r="C147" s="18" t="s">
        <v>1082</v>
      </c>
      <c r="D147" s="27" t="n">
        <f aca="false">($D$146)-(64*($D$146)^3+64*($D$146)^2-16*$D$138^2*($D$146)-$D$138^2)/(192*($D$146)^2+128*($D$146)-16*$D$138^2)</f>
        <v>0.0683942498356895</v>
      </c>
      <c r="E147" s="18" t="s">
        <v>69</v>
      </c>
      <c r="F147" s="18" t="s">
        <v>1083</v>
      </c>
      <c r="G147" s="18" t="s">
        <v>703</v>
      </c>
    </row>
    <row r="148" customFormat="false" ht="14.25" hidden="false" customHeight="false" outlineLevel="0" collapsed="false">
      <c r="A148" s="18" t="s">
        <v>1098</v>
      </c>
      <c r="B148" s="18" t="s">
        <v>1099</v>
      </c>
      <c r="C148" s="18" t="s">
        <v>1082</v>
      </c>
      <c r="D148" s="27" t="n">
        <f aca="false">($D$147)-(64*($D$147)^3+64*($D$147)^2-16*$D$138^2*($D$147)-$D$138^2)/(192*($D$147)^2+128*($D$147)-16*$D$138^2)</f>
        <v>0.0683942498356895</v>
      </c>
      <c r="E148" s="18" t="s">
        <v>69</v>
      </c>
      <c r="F148" s="18" t="s">
        <v>1083</v>
      </c>
      <c r="G148" s="18" t="s">
        <v>703</v>
      </c>
    </row>
    <row r="149" customFormat="false" ht="14.25" hidden="false" customHeight="false" outlineLevel="0" collapsed="false">
      <c r="A149" s="18" t="s">
        <v>1100</v>
      </c>
      <c r="B149" s="18" t="s">
        <v>1101</v>
      </c>
      <c r="C149" s="18" t="s">
        <v>1082</v>
      </c>
      <c r="D149" s="27" t="n">
        <f aca="false">($D$148)-(64*($D$148)^3+64*($D$148)^2-16*$D$138^2*($D$148)-$D$138^2)/(192*($D$148)^2+128*($D$148)-16*$D$138^2)</f>
        <v>0.0683942498356895</v>
      </c>
      <c r="E149" s="18" t="s">
        <v>69</v>
      </c>
      <c r="F149" s="18" t="s">
        <v>1083</v>
      </c>
      <c r="G149" s="18" t="s">
        <v>703</v>
      </c>
    </row>
    <row r="150" customFormat="false" ht="14.25" hidden="false" customHeight="false" outlineLevel="0" collapsed="false">
      <c r="A150" s="18" t="s">
        <v>1102</v>
      </c>
      <c r="B150" s="18" t="s">
        <v>1103</v>
      </c>
      <c r="C150" s="18" t="s">
        <v>1082</v>
      </c>
      <c r="D150" s="27" t="n">
        <f aca="false">($D$149)-(64*($D$149)^3+64*($D$149)^2-16*$D$138^2*($D$149)-$D$138^2)/(192*($D$149)^2+128*($D$149)-16*$D$138^2)</f>
        <v>0.0683942498356895</v>
      </c>
      <c r="E150" s="18" t="s">
        <v>69</v>
      </c>
      <c r="F150" s="18" t="s">
        <v>1083</v>
      </c>
      <c r="G150" s="18" t="s">
        <v>703</v>
      </c>
    </row>
    <row r="151" customFormat="false" ht="14.25" hidden="false" customHeight="false" outlineLevel="0" collapsed="false">
      <c r="A151" s="18" t="s">
        <v>1104</v>
      </c>
      <c r="B151" s="18" t="s">
        <v>1105</v>
      </c>
      <c r="C151" s="18" t="s">
        <v>1082</v>
      </c>
      <c r="D151" s="27" t="n">
        <f aca="false">($D$150)-(64*($D$150)^3+64*($D$150)^2-16*$D$138^2*($D$150)-$D$138^2)/(192*($D$150)^2+128*($D$150)-16*$D$138^2)</f>
        <v>0.0683942498356895</v>
      </c>
      <c r="E151" s="18" t="s">
        <v>69</v>
      </c>
      <c r="F151" s="18" t="s">
        <v>1083</v>
      </c>
      <c r="G151" s="18" t="s">
        <v>703</v>
      </c>
    </row>
    <row r="152" customFormat="false" ht="14.25" hidden="false" customHeight="false" outlineLevel="0" collapsed="false">
      <c r="A152" s="18" t="s">
        <v>1106</v>
      </c>
      <c r="B152" s="18" t="s">
        <v>1107</v>
      </c>
      <c r="C152" s="18" t="s">
        <v>1108</v>
      </c>
      <c r="D152" s="27" t="n">
        <f aca="false">DEGREES(ATAN(4*SQRT($D$151))-ATAN(SQRT($D$151)))</f>
        <v>31.6345498441699</v>
      </c>
      <c r="E152" s="18" t="s">
        <v>393</v>
      </c>
      <c r="F152" s="18" t="s">
        <v>1109</v>
      </c>
      <c r="G152" s="18" t="s">
        <v>1110</v>
      </c>
    </row>
    <row r="153" customFormat="false" ht="14.25" hidden="false" customHeight="false" outlineLevel="0" collapsed="false">
      <c r="A153" s="18" t="s">
        <v>1111</v>
      </c>
      <c r="B153" s="18" t="s">
        <v>1112</v>
      </c>
      <c r="C153" s="18" t="s">
        <v>1113</v>
      </c>
      <c r="D153" s="27" t="n">
        <f aca="false">SQRT($D$151)/$D$133</f>
        <v>80.4685979169276</v>
      </c>
      <c r="E153" s="18" t="s">
        <v>189</v>
      </c>
      <c r="F153" s="18"/>
      <c r="G153" s="18"/>
    </row>
    <row r="154" customFormat="false" ht="28.5" hidden="false" customHeight="true" outlineLevel="0" collapsed="false">
      <c r="A154" s="18" t="s">
        <v>1114</v>
      </c>
      <c r="B154" s="18" t="s">
        <v>1115</v>
      </c>
      <c r="C154" s="18" t="s">
        <v>1082</v>
      </c>
      <c r="D154" s="27" t="n">
        <f aca="false">($D$139)-(64*($D$139)^3+64*($D$139)^2-16*$D$139^2*($D$139)-$D$139^2)/(192*($D$139)^2+128*($D$139)-16*$D$139^2)</f>
        <v>0.810206903072543</v>
      </c>
      <c r="E154" s="18" t="s">
        <v>69</v>
      </c>
      <c r="F154" s="18" t="s">
        <v>1083</v>
      </c>
      <c r="G154" s="18" t="s">
        <v>703</v>
      </c>
    </row>
    <row r="155" customFormat="false" ht="28.5" hidden="false" customHeight="true" outlineLevel="0" collapsed="false">
      <c r="A155" s="18" t="s">
        <v>1116</v>
      </c>
      <c r="B155" s="18" t="s">
        <v>1117</v>
      </c>
      <c r="C155" s="18" t="s">
        <v>1082</v>
      </c>
      <c r="D155" s="27" t="n">
        <f aca="false">($D$154)-(64*($D$154)^3+64*($D$154)^2-16*$D$139^2*($D$154)-$D$139^2)/(192*($D$154)^2+128*($D$154)-16*$D$139^2)</f>
        <v>0.545668901336085</v>
      </c>
      <c r="E155" s="18" t="s">
        <v>69</v>
      </c>
      <c r="F155" s="18" t="s">
        <v>1083</v>
      </c>
      <c r="G155" s="18" t="s">
        <v>703</v>
      </c>
    </row>
    <row r="156" customFormat="false" ht="28.5" hidden="false" customHeight="true" outlineLevel="0" collapsed="false">
      <c r="A156" s="18" t="s">
        <v>1118</v>
      </c>
      <c r="B156" s="18" t="s">
        <v>1119</v>
      </c>
      <c r="C156" s="18" t="s">
        <v>1082</v>
      </c>
      <c r="D156" s="27" t="n">
        <f aca="false">($D$155)-(64*($D$155)^3+64*($D$155)^2-16*$D$139^2*($D$155)-$D$139^2)/(192*($D$155)^2+128*($D$155)-16*$D$139^2)</f>
        <v>0.406510400097508</v>
      </c>
      <c r="E156" s="18" t="s">
        <v>69</v>
      </c>
      <c r="F156" s="18" t="s">
        <v>1083</v>
      </c>
      <c r="G156" s="18" t="s">
        <v>703</v>
      </c>
    </row>
    <row r="157" customFormat="false" ht="28.5" hidden="false" customHeight="true" outlineLevel="0" collapsed="false">
      <c r="A157" s="18" t="s">
        <v>1120</v>
      </c>
      <c r="B157" s="18" t="s">
        <v>1121</v>
      </c>
      <c r="C157" s="18" t="s">
        <v>1082</v>
      </c>
      <c r="D157" s="27" t="n">
        <f aca="false">($D$156)-(64*($D$156)^3+64*($D$156)^2-16*$D$139^2*($D$156)-$D$139^2)/(192*($D$156)^2+128*($D$156)-16*$D$139^2)</f>
        <v>0.353723087207193</v>
      </c>
      <c r="E157" s="18" t="s">
        <v>69</v>
      </c>
      <c r="F157" s="18" t="s">
        <v>1083</v>
      </c>
      <c r="G157" s="18" t="s">
        <v>703</v>
      </c>
    </row>
    <row r="158" customFormat="false" ht="28.5" hidden="false" customHeight="true" outlineLevel="0" collapsed="false">
      <c r="A158" s="18" t="s">
        <v>1122</v>
      </c>
      <c r="B158" s="18" t="s">
        <v>1123</v>
      </c>
      <c r="C158" s="18" t="s">
        <v>1082</v>
      </c>
      <c r="D158" s="27" t="n">
        <f aca="false">($D$157)-(64*($D$157)^3+64*($D$157)^2-16*$D$139^2*($D$157)-$D$139^2)/(192*($D$157)^2+128*($D$157)-16*$D$139^2)</f>
        <v>0.344977608643337</v>
      </c>
      <c r="E158" s="18" t="s">
        <v>69</v>
      </c>
      <c r="F158" s="18" t="s">
        <v>1083</v>
      </c>
      <c r="G158" s="18" t="s">
        <v>703</v>
      </c>
    </row>
    <row r="159" customFormat="false" ht="28.5" hidden="false" customHeight="true" outlineLevel="0" collapsed="false">
      <c r="A159" s="18" t="s">
        <v>1124</v>
      </c>
      <c r="B159" s="18" t="s">
        <v>1125</v>
      </c>
      <c r="C159" s="18" t="s">
        <v>1082</v>
      </c>
      <c r="D159" s="27" t="n">
        <f aca="false">($D$158)-(64*($D$158)^3+64*($D$158)^2-16*$D$139^2*($D$158)-$D$139^2)/(192*($D$158)^2+128*($D$158)-16*$D$139^2)</f>
        <v>0.344737785174839</v>
      </c>
      <c r="E159" s="18" t="s">
        <v>69</v>
      </c>
      <c r="F159" s="18" t="s">
        <v>1083</v>
      </c>
      <c r="G159" s="18" t="s">
        <v>703</v>
      </c>
    </row>
    <row r="160" customFormat="false" ht="28.5" hidden="false" customHeight="true" outlineLevel="0" collapsed="false">
      <c r="A160" s="18" t="s">
        <v>1126</v>
      </c>
      <c r="B160" s="18" t="s">
        <v>1127</v>
      </c>
      <c r="C160" s="18" t="s">
        <v>1082</v>
      </c>
      <c r="D160" s="27" t="n">
        <f aca="false">($D$159)-(64*($D$159)^3+64*($D$159)^2-16*$D$139^2*($D$159)-$D$139^2)/(192*($D$159)^2+128*($D$159)-16*$D$139^2)</f>
        <v>0.34473760611932</v>
      </c>
      <c r="E160" s="18" t="s">
        <v>69</v>
      </c>
      <c r="F160" s="18" t="s">
        <v>1083</v>
      </c>
      <c r="G160" s="18" t="s">
        <v>703</v>
      </c>
    </row>
    <row r="161" customFormat="false" ht="28.5" hidden="false" customHeight="true" outlineLevel="0" collapsed="false">
      <c r="A161" s="18" t="s">
        <v>1128</v>
      </c>
      <c r="B161" s="18" t="s">
        <v>1129</v>
      </c>
      <c r="C161" s="18" t="s">
        <v>1082</v>
      </c>
      <c r="D161" s="27" t="n">
        <f aca="false">($D$160)-(64*($D$160)^3+64*($D$160)^2-16*$D$139^2*($D$160)-$D$139^2)/(192*($D$160)^2+128*($D$160)-16*$D$139^2)</f>
        <v>0.34473760611922</v>
      </c>
      <c r="E161" s="18" t="s">
        <v>69</v>
      </c>
      <c r="F161" s="18" t="s">
        <v>1083</v>
      </c>
      <c r="G161" s="18" t="s">
        <v>703</v>
      </c>
    </row>
    <row r="162" customFormat="false" ht="28.5" hidden="false" customHeight="true" outlineLevel="0" collapsed="false">
      <c r="A162" s="18" t="s">
        <v>1130</v>
      </c>
      <c r="B162" s="18" t="s">
        <v>1131</v>
      </c>
      <c r="C162" s="18" t="s">
        <v>1082</v>
      </c>
      <c r="D162" s="27" t="n">
        <f aca="false">($D$161)-(64*($D$161)^3+64*($D$161)^2-16*$D$139^2*($D$161)-$D$139^2)/(192*($D$161)^2+128*($D$161)-16*$D$139^2)</f>
        <v>0.34473760611922</v>
      </c>
      <c r="E162" s="18" t="s">
        <v>69</v>
      </c>
      <c r="F162" s="18" t="s">
        <v>1083</v>
      </c>
      <c r="G162" s="18" t="s">
        <v>703</v>
      </c>
    </row>
    <row r="163" customFormat="false" ht="28.5" hidden="false" customHeight="true" outlineLevel="0" collapsed="false">
      <c r="A163" s="18" t="s">
        <v>1132</v>
      </c>
      <c r="B163" s="18" t="s">
        <v>1133</v>
      </c>
      <c r="C163" s="18" t="s">
        <v>1082</v>
      </c>
      <c r="D163" s="27" t="n">
        <f aca="false">($D$162)-(64*($D$162)^3+64*($D$162)^2-16*$D$139^2*($D$162)-$D$139^2)/(192*($D$162)^2+128*($D$162)-16*$D$139^2)</f>
        <v>0.34473760611922</v>
      </c>
      <c r="E163" s="18" t="s">
        <v>69</v>
      </c>
      <c r="F163" s="18" t="s">
        <v>1083</v>
      </c>
      <c r="G163" s="18" t="s">
        <v>703</v>
      </c>
    </row>
    <row r="164" customFormat="false" ht="28.5" hidden="false" customHeight="true" outlineLevel="0" collapsed="false">
      <c r="A164" s="18" t="s">
        <v>1134</v>
      </c>
      <c r="B164" s="18" t="s">
        <v>1135</v>
      </c>
      <c r="C164" s="18" t="s">
        <v>1082</v>
      </c>
      <c r="D164" s="27" t="n">
        <f aca="false">($D$163)-(64*($D$163)^3+64*($D$163)^2-16*$D$139^2*($D$163)-$D$139^2)/(192*($D$163)^2+128*($D$163)-16*$D$139^2)</f>
        <v>0.34473760611922</v>
      </c>
      <c r="E164" s="18" t="s">
        <v>69</v>
      </c>
      <c r="F164" s="18" t="s">
        <v>1083</v>
      </c>
      <c r="G164" s="18" t="s">
        <v>703</v>
      </c>
    </row>
    <row r="165" customFormat="false" ht="28.5" hidden="false" customHeight="true" outlineLevel="0" collapsed="false">
      <c r="A165" s="18" t="s">
        <v>1136</v>
      </c>
      <c r="B165" s="18" t="s">
        <v>1137</v>
      </c>
      <c r="C165" s="18" t="s">
        <v>1082</v>
      </c>
      <c r="D165" s="27" t="n">
        <f aca="false">($D$164)-(64*($D$164)^3+64*($D$164)^2-16*$D$139^2*($D$164)-$D$139^2)/(192*($D$164)^2+128*($D$164)-16*$D$139^2)</f>
        <v>0.34473760611922</v>
      </c>
      <c r="E165" s="18" t="s">
        <v>69</v>
      </c>
      <c r="F165" s="18" t="s">
        <v>1083</v>
      </c>
      <c r="G165" s="18" t="s">
        <v>703</v>
      </c>
    </row>
    <row r="166" customFormat="false" ht="14.25" hidden="false" customHeight="false" outlineLevel="0" collapsed="false">
      <c r="A166" s="18" t="s">
        <v>1138</v>
      </c>
      <c r="B166" s="18" t="s">
        <v>1139</v>
      </c>
      <c r="C166" s="18" t="s">
        <v>1108</v>
      </c>
      <c r="D166" s="27" t="n">
        <f aca="false">DEGREES(ATAN(4*SQRT($D$165))-ATAN(SQRT($D$165)))</f>
        <v>36.517116878536</v>
      </c>
      <c r="E166" s="18" t="s">
        <v>393</v>
      </c>
      <c r="F166" s="18" t="s">
        <v>1109</v>
      </c>
      <c r="G166" s="18" t="s">
        <v>1110</v>
      </c>
    </row>
    <row r="167" customFormat="false" ht="14.25" hidden="false" customHeight="false" outlineLevel="0" collapsed="false">
      <c r="A167" s="18" t="s">
        <v>1140</v>
      </c>
      <c r="B167" s="18" t="s">
        <v>1141</v>
      </c>
      <c r="C167" s="18" t="s">
        <v>1113</v>
      </c>
      <c r="D167" s="27" t="n">
        <f aca="false">SQRT($D$165)/$D$133</f>
        <v>180.659568994491</v>
      </c>
      <c r="E167" s="18" t="s">
        <v>189</v>
      </c>
      <c r="F167" s="18"/>
      <c r="G167" s="18"/>
    </row>
    <row r="168" customFormat="false" ht="15" hidden="false" customHeight="true" outlineLevel="0" collapsed="false">
      <c r="A168" s="5" t="s">
        <v>1142</v>
      </c>
      <c r="B168" s="17"/>
      <c r="C168" s="17"/>
      <c r="D168" s="17"/>
      <c r="E168" s="17"/>
      <c r="F168" s="17"/>
      <c r="G168" s="17"/>
    </row>
    <row r="169" customFormat="false" ht="14.25" hidden="false" customHeight="false" outlineLevel="0" collapsed="false">
      <c r="A169" s="18" t="s">
        <v>1143</v>
      </c>
      <c r="B169" s="18" t="s">
        <v>1144</v>
      </c>
      <c r="C169" s="18" t="s">
        <v>1145</v>
      </c>
      <c r="D169" s="26" t="n">
        <f aca="false">2*PI()/(4*GiaDinh_K3!$D$33*GiaDinh_K3!$D$25)</f>
        <v>1.53398078788564</v>
      </c>
      <c r="E169" s="18" t="s">
        <v>189</v>
      </c>
      <c r="F169" s="18" t="s">
        <v>1146</v>
      </c>
      <c r="G169" s="18"/>
    </row>
    <row r="170" customFormat="false" ht="14.25" hidden="false" customHeight="false" outlineLevel="0" collapsed="false">
      <c r="A170" s="18" t="s">
        <v>1147</v>
      </c>
      <c r="B170" s="18" t="s">
        <v>1148</v>
      </c>
      <c r="C170" s="18" t="s">
        <v>1149</v>
      </c>
      <c r="D170" s="27" t="n">
        <f aca="false">$D$169*$D$23</f>
        <v>0.0012343736222847</v>
      </c>
      <c r="E170" s="18" t="s">
        <v>60</v>
      </c>
      <c r="F170" s="18"/>
      <c r="G170" s="18"/>
    </row>
    <row r="171" customFormat="false" ht="15" hidden="false" customHeight="true" outlineLevel="0" collapsed="false">
      <c r="A171" s="5" t="s">
        <v>1150</v>
      </c>
      <c r="B171" s="17"/>
      <c r="C171" s="17"/>
      <c r="D171" s="17"/>
      <c r="E171" s="17"/>
      <c r="F171" s="17"/>
      <c r="G171" s="17"/>
    </row>
    <row r="172" customFormat="false" ht="14.25" hidden="false" customHeight="false" outlineLevel="0" collapsed="false">
      <c r="A172" s="18" t="s">
        <v>1151</v>
      </c>
      <c r="B172" s="18" t="s">
        <v>1152</v>
      </c>
      <c r="C172" s="18" t="s">
        <v>1153</v>
      </c>
      <c r="D172" s="26" t="n">
        <f aca="false">GiaDinh_K3!$D$30*Params!$C$10</f>
        <v>0.033</v>
      </c>
      <c r="E172" s="18" t="s">
        <v>60</v>
      </c>
      <c r="F172" s="18" t="s">
        <v>1154</v>
      </c>
      <c r="G172" s="18" t="s">
        <v>370</v>
      </c>
    </row>
    <row r="173" customFormat="false" ht="14.25" hidden="false" customHeight="false" outlineLevel="0" collapsed="false">
      <c r="A173" s="18" t="s">
        <v>1155</v>
      </c>
      <c r="B173" s="18" t="s">
        <v>1156</v>
      </c>
      <c r="C173" s="18" t="s">
        <v>1157</v>
      </c>
      <c r="D173" s="27" t="n">
        <f aca="false">$D$172/$D$23</f>
        <v>41.00976</v>
      </c>
      <c r="E173" s="18" t="s">
        <v>189</v>
      </c>
      <c r="F173" s="18"/>
      <c r="G173" s="18"/>
    </row>
    <row r="174" customFormat="false" ht="14.25" hidden="false" customHeight="false" outlineLevel="0" collapsed="false">
      <c r="A174" s="5" t="s">
        <v>1158</v>
      </c>
      <c r="B174" s="17"/>
      <c r="C174" s="17"/>
      <c r="D174" s="17"/>
      <c r="E174" s="17"/>
      <c r="F174" s="17"/>
      <c r="G174" s="17"/>
    </row>
    <row r="175" customFormat="false" ht="26.85" hidden="false" customHeight="false" outlineLevel="0" collapsed="false">
      <c r="A175" s="18" t="s">
        <v>1159</v>
      </c>
      <c r="B175" s="18" t="s">
        <v>1160</v>
      </c>
      <c r="C175" s="18" t="s">
        <v>170</v>
      </c>
      <c r="D175" s="26" t="n">
        <f aca="false">Params!$C$4</f>
        <v>1800</v>
      </c>
      <c r="E175" s="18" t="s">
        <v>50</v>
      </c>
      <c r="F175" s="18" t="s">
        <v>1161</v>
      </c>
      <c r="G175" s="18" t="s">
        <v>169</v>
      </c>
    </row>
    <row r="176" customFormat="false" ht="14.25" hidden="false" customHeight="false" outlineLevel="0" collapsed="false">
      <c r="A176" s="18" t="s">
        <v>1162</v>
      </c>
      <c r="B176" s="18" t="s">
        <v>1163</v>
      </c>
      <c r="C176" s="18" t="s">
        <v>1164</v>
      </c>
      <c r="D176" s="26" t="n">
        <f aca="false">Params!$C$2+Params!$C$3</f>
        <v>12444</v>
      </c>
      <c r="E176" s="18" t="s">
        <v>50</v>
      </c>
      <c r="F176" s="18" t="s">
        <v>1165</v>
      </c>
      <c r="G176" s="18" t="s">
        <v>1166</v>
      </c>
    </row>
    <row r="177" customFormat="false" ht="14.25" hidden="false" customHeight="false" outlineLevel="0" collapsed="false">
      <c r="A177" s="18" t="s">
        <v>1167</v>
      </c>
      <c r="B177" s="18" t="s">
        <v>1168</v>
      </c>
      <c r="C177" s="18" t="s">
        <v>1169</v>
      </c>
      <c r="D177" s="26" t="n">
        <f aca="false">Params!$C$3</f>
        <v>222</v>
      </c>
      <c r="E177" s="18" t="s">
        <v>50</v>
      </c>
      <c r="F177" s="18" t="s">
        <v>1170</v>
      </c>
      <c r="G177" s="18" t="s">
        <v>165</v>
      </c>
    </row>
    <row r="178" customFormat="false" ht="14.25" hidden="false" customHeight="false" outlineLevel="0" collapsed="false">
      <c r="A178" s="18" t="s">
        <v>1171</v>
      </c>
      <c r="B178" s="18" t="s">
        <v>1172</v>
      </c>
      <c r="C178" s="18" t="s">
        <v>1173</v>
      </c>
      <c r="D178" s="26" t="n">
        <f aca="false">(GiaDinh_K3!$D$8-1)*Params!$C$5*$D$23^2</f>
        <v>0.00138349198804521</v>
      </c>
      <c r="E178" s="18" t="s">
        <v>110</v>
      </c>
      <c r="F178" s="18" t="s">
        <v>1174</v>
      </c>
      <c r="G178" s="18" t="s">
        <v>1175</v>
      </c>
    </row>
    <row r="179" customFormat="false" ht="26.85" hidden="false" customHeight="false" outlineLevel="0" collapsed="false">
      <c r="A179" s="18" t="s">
        <v>1176</v>
      </c>
      <c r="B179" s="18" t="s">
        <v>1177</v>
      </c>
      <c r="C179" s="18" t="s">
        <v>1178</v>
      </c>
      <c r="D179" s="26" t="n">
        <f aca="false">Catalogue!$F$15+$D$178+$D$175*$D$23^2</f>
        <v>0.00516902862498305</v>
      </c>
      <c r="E179" s="18" t="s">
        <v>110</v>
      </c>
      <c r="F179" s="18" t="s">
        <v>1179</v>
      </c>
      <c r="G179" s="18" t="s">
        <v>703</v>
      </c>
    </row>
    <row r="180" customFormat="false" ht="26.85" hidden="false" customHeight="false" outlineLevel="0" collapsed="false">
      <c r="A180" s="18" t="s">
        <v>1180</v>
      </c>
      <c r="B180" s="18" t="s">
        <v>1181</v>
      </c>
      <c r="C180" s="18" t="s">
        <v>1182</v>
      </c>
      <c r="D180" s="26" t="n">
        <f aca="false">($D$175+$D$176)*Params!$C$19*Params!$C$14</f>
        <v>2096.0046</v>
      </c>
      <c r="E180" s="18" t="s">
        <v>100</v>
      </c>
      <c r="F180" s="18" t="s">
        <v>1183</v>
      </c>
      <c r="G180" s="18" t="s">
        <v>244</v>
      </c>
    </row>
    <row r="181" customFormat="false" ht="14.25" hidden="false" customHeight="false" outlineLevel="0" collapsed="false">
      <c r="A181" s="18" t="s">
        <v>1184</v>
      </c>
      <c r="B181" s="18" t="s">
        <v>1185</v>
      </c>
      <c r="C181" s="18" t="s">
        <v>1186</v>
      </c>
      <c r="D181" s="26" t="n">
        <f aca="false">($D$175+$D$177)*Params!$C$19*Params!$C$14</f>
        <v>297.5373</v>
      </c>
      <c r="E181" s="18" t="s">
        <v>100</v>
      </c>
      <c r="F181" s="18"/>
      <c r="G181" s="18"/>
    </row>
    <row r="182" customFormat="false" ht="14.25" hidden="false" customHeight="false" outlineLevel="0" collapsed="false">
      <c r="A182" s="18" t="s">
        <v>1187</v>
      </c>
      <c r="B182" s="18" t="s">
        <v>1188</v>
      </c>
      <c r="C182" s="18" t="s">
        <v>312</v>
      </c>
      <c r="D182" s="26" t="n">
        <f aca="false">$D$176*Params!$C$19/Params!$C$7</f>
        <v>10172.97</v>
      </c>
      <c r="E182" s="18" t="s">
        <v>1189</v>
      </c>
      <c r="F182" s="18" t="s">
        <v>1190</v>
      </c>
      <c r="G182" s="18" t="s">
        <v>703</v>
      </c>
    </row>
    <row r="183" customFormat="false" ht="14.25" hidden="false" customHeight="false" outlineLevel="0" collapsed="false">
      <c r="A183" s="18" t="s">
        <v>1191</v>
      </c>
      <c r="B183" s="18" t="s">
        <v>1192</v>
      </c>
      <c r="C183" s="18" t="s">
        <v>1193</v>
      </c>
      <c r="D183" s="27" t="n">
        <f aca="false">SQRT($D$182*($D$23^2/$D$179+1/$D$176))</f>
        <v>1.44632650229782</v>
      </c>
      <c r="E183" s="18" t="s">
        <v>189</v>
      </c>
      <c r="F183" s="18" t="s">
        <v>1194</v>
      </c>
      <c r="G183" s="18" t="s">
        <v>703</v>
      </c>
    </row>
    <row r="184" customFormat="false" ht="14.25" hidden="false" customHeight="false" outlineLevel="0" collapsed="false">
      <c r="A184" s="18" t="s">
        <v>1195</v>
      </c>
      <c r="B184" s="18" t="s">
        <v>1196</v>
      </c>
      <c r="C184" s="18" t="s">
        <v>1197</v>
      </c>
      <c r="D184" s="26" t="n">
        <f aca="false">Params!$C$10*Params!$C$8/Params!$C$19</f>
        <v>0.0110600252721866</v>
      </c>
      <c r="E184" s="18" t="s">
        <v>820</v>
      </c>
      <c r="F184" s="18" t="s">
        <v>1198</v>
      </c>
      <c r="G184" s="18" t="s">
        <v>1199</v>
      </c>
    </row>
    <row r="185" customFormat="false" ht="14.25" hidden="false" customHeight="false" outlineLevel="0" collapsed="false">
      <c r="A185" s="18" t="s">
        <v>1200</v>
      </c>
      <c r="B185" s="18" t="s">
        <v>1201</v>
      </c>
      <c r="C185" s="18" t="s">
        <v>1202</v>
      </c>
      <c r="D185" s="26" t="n">
        <f aca="false">$D$176*Params!$C$19*$D$184</f>
        <v>1350.15966351836</v>
      </c>
      <c r="E185" s="18" t="s">
        <v>100</v>
      </c>
      <c r="F185" s="18" t="s">
        <v>1203</v>
      </c>
      <c r="G185" s="18" t="s">
        <v>1204</v>
      </c>
    </row>
    <row r="186" customFormat="false" ht="14.25" hidden="false" customHeight="false" outlineLevel="0" collapsed="false">
      <c r="A186" s="18" t="s">
        <v>1205</v>
      </c>
      <c r="B186" s="18" t="s">
        <v>1206</v>
      </c>
      <c r="C186" s="18" t="s">
        <v>1207</v>
      </c>
      <c r="D186" s="27" t="n">
        <f aca="false">$D$179*$D$24+$D$25</f>
        <v>4.76467441186559</v>
      </c>
      <c r="E186" s="18" t="s">
        <v>112</v>
      </c>
      <c r="F186" s="18" t="s">
        <v>1208</v>
      </c>
      <c r="G186" s="18" t="s">
        <v>703</v>
      </c>
    </row>
    <row r="187" customFormat="false" ht="14.25" hidden="false" customHeight="false" outlineLevel="0" collapsed="false">
      <c r="A187" s="18" t="s">
        <v>1209</v>
      </c>
      <c r="B187" s="18" t="s">
        <v>1210</v>
      </c>
      <c r="C187" s="18" t="s">
        <v>1211</v>
      </c>
      <c r="D187" s="26" t="n">
        <f aca="false">$D$25+$D$185*$D$23/Params!$C$16</f>
        <v>3.0812020438307</v>
      </c>
      <c r="E187" s="18" t="s">
        <v>112</v>
      </c>
      <c r="F187" s="18" t="s">
        <v>1212</v>
      </c>
      <c r="G187" s="18" t="s">
        <v>703</v>
      </c>
    </row>
    <row r="188" customFormat="false" ht="26.85" hidden="false" customHeight="false" outlineLevel="0" collapsed="false">
      <c r="A188" s="18" t="s">
        <v>1213</v>
      </c>
      <c r="B188" s="18" t="s">
        <v>1214</v>
      </c>
      <c r="C188" s="18" t="s">
        <v>69</v>
      </c>
      <c r="D188" s="27" t="n">
        <f aca="false">$D$186/$D$62</f>
        <v>0.479834911991767</v>
      </c>
      <c r="E188" s="18" t="s">
        <v>69</v>
      </c>
      <c r="F188" s="18" t="s">
        <v>1215</v>
      </c>
      <c r="G188" s="18" t="s">
        <v>703</v>
      </c>
    </row>
    <row r="189" customFormat="false" ht="14.25" hidden="false" customHeight="false" outlineLevel="0" collapsed="false">
      <c r="A189" s="18" t="s">
        <v>1216</v>
      </c>
      <c r="B189" s="18" t="s">
        <v>1217</v>
      </c>
      <c r="C189" s="18" t="s">
        <v>1218</v>
      </c>
      <c r="D189" s="27" t="n">
        <f aca="false">$D$134/$D$179</f>
        <v>1</v>
      </c>
      <c r="E189" s="18" t="s">
        <v>69</v>
      </c>
      <c r="F189" s="18" t="s">
        <v>1219</v>
      </c>
      <c r="G189" s="18" t="s">
        <v>703</v>
      </c>
    </row>
    <row r="190" customFormat="false" ht="14.25" hidden="false" customHeight="false" outlineLevel="0" collapsed="false">
      <c r="A190" s="5" t="s">
        <v>1220</v>
      </c>
      <c r="B190" s="17"/>
      <c r="C190" s="17"/>
      <c r="D190" s="17"/>
      <c r="E190" s="17"/>
      <c r="F190" s="17"/>
      <c r="G190" s="17"/>
    </row>
    <row r="191" customFormat="false" ht="14.25" hidden="false" customHeight="false" outlineLevel="0" collapsed="false">
      <c r="A191" s="18" t="s">
        <v>1221</v>
      </c>
      <c r="B191" s="18" t="s">
        <v>1222</v>
      </c>
      <c r="C191" s="18" t="s">
        <v>1223</v>
      </c>
      <c r="D191" s="26" t="n">
        <f aca="false">Params!$C$10/$D$23</f>
        <v>149.1264</v>
      </c>
      <c r="E191" s="18" t="s">
        <v>189</v>
      </c>
      <c r="F191" s="18"/>
      <c r="G191" s="18"/>
    </row>
    <row r="192" customFormat="false" ht="14.25" hidden="false" customHeight="false" outlineLevel="0" collapsed="false">
      <c r="A192" s="18" t="s">
        <v>1224</v>
      </c>
      <c r="B192" s="18" t="s">
        <v>1225</v>
      </c>
      <c r="C192" s="18" t="s">
        <v>1226</v>
      </c>
      <c r="D192" s="26" t="n">
        <f aca="false">$D$97*$D$99*$D$25/Catalogue!$F$5</f>
        <v>4.75752522091609</v>
      </c>
      <c r="E192" s="18" t="s">
        <v>189</v>
      </c>
      <c r="F192" s="18" t="s">
        <v>1227</v>
      </c>
      <c r="G192" s="18"/>
    </row>
    <row r="193" customFormat="false" ht="14.25" hidden="false" customHeight="false" outlineLevel="0" collapsed="false">
      <c r="A193" s="18" t="s">
        <v>1228</v>
      </c>
      <c r="B193" s="18" t="s">
        <v>1229</v>
      </c>
      <c r="C193" s="18" t="s">
        <v>1230</v>
      </c>
      <c r="D193" s="26" t="n">
        <f aca="false">(GiaDinh_K3!$D$28*$D$191+$D$192)/(2*PI())</f>
        <v>48.2255910667916</v>
      </c>
      <c r="E193" s="18" t="s">
        <v>267</v>
      </c>
      <c r="F193" s="18"/>
      <c r="G193" s="18"/>
    </row>
    <row r="194" customFormat="false" ht="14.25" hidden="false" customHeight="false" outlineLevel="0" collapsed="false">
      <c r="A194" s="18" t="s">
        <v>1231</v>
      </c>
      <c r="B194" s="18" t="s">
        <v>1232</v>
      </c>
      <c r="C194" s="18" t="s">
        <v>1233</v>
      </c>
      <c r="D194" s="26" t="n">
        <f aca="false">GiaDinh_K3!$D$29*$D$193/GiaDinh_K3!$D$6</f>
        <v>385.804728534333</v>
      </c>
      <c r="E194" s="18" t="s">
        <v>300</v>
      </c>
      <c r="F194" s="18" t="s">
        <v>1234</v>
      </c>
      <c r="G194" s="18" t="s">
        <v>362</v>
      </c>
    </row>
    <row r="195" customFormat="false" ht="14.25" hidden="false" customHeight="false" outlineLevel="0" collapsed="false">
      <c r="A195" s="18" t="s">
        <v>1235</v>
      </c>
      <c r="B195" s="18" t="s">
        <v>1236</v>
      </c>
      <c r="C195" s="18" t="s">
        <v>1237</v>
      </c>
      <c r="D195" s="26" t="n">
        <f aca="false">GiaDinh_K3!$D$44*$D$85/SQRT(2)</f>
        <v>344.608489811264</v>
      </c>
      <c r="E195" s="18" t="s">
        <v>300</v>
      </c>
      <c r="F195" s="18" t="s">
        <v>1238</v>
      </c>
      <c r="G195" s="18" t="s">
        <v>1239</v>
      </c>
    </row>
    <row r="196" customFormat="false" ht="14.25" hidden="false" customHeight="false" outlineLevel="0" collapsed="false">
      <c r="A196" s="18" t="s">
        <v>1240</v>
      </c>
      <c r="B196" s="18" t="s">
        <v>1241</v>
      </c>
      <c r="C196" s="18" t="s">
        <v>1242</v>
      </c>
      <c r="D196" s="27" t="n">
        <f aca="false">MIN(1,$D$195/$D$194)</f>
        <v>0.893219974572181</v>
      </c>
      <c r="E196" s="18" t="s">
        <v>69</v>
      </c>
      <c r="F196" s="18" t="s">
        <v>1243</v>
      </c>
      <c r="G196" s="18" t="s">
        <v>703</v>
      </c>
    </row>
    <row r="197" customFormat="false" ht="14.25" hidden="false" customHeight="false" outlineLevel="0" collapsed="false">
      <c r="A197" s="18" t="s">
        <v>1244</v>
      </c>
      <c r="B197" s="18" t="s">
        <v>1245</v>
      </c>
      <c r="C197" s="18" t="s">
        <v>1246</v>
      </c>
      <c r="D197" s="27" t="n">
        <f aca="false">$D$196*$D$191</f>
        <v>133.202679216041</v>
      </c>
      <c r="E197" s="18" t="s">
        <v>189</v>
      </c>
      <c r="F197" s="18" t="s">
        <v>1247</v>
      </c>
      <c r="G197" s="18" t="s">
        <v>703</v>
      </c>
    </row>
    <row r="198" customFormat="false" ht="14.25" hidden="false" customHeight="false" outlineLevel="0" collapsed="false">
      <c r="A198" s="18" t="s">
        <v>1248</v>
      </c>
      <c r="B198" s="18" t="s">
        <v>1249</v>
      </c>
      <c r="C198" s="18" t="s">
        <v>1250</v>
      </c>
      <c r="D198" s="26" t="n">
        <f aca="false">GiaDinh_K3!$D$11^2/(2*GiaDinh_K3!$D$12)+GiaDinh_K3!$D$11*$D$40</f>
        <v>0.06375</v>
      </c>
      <c r="E198" s="18" t="s">
        <v>60</v>
      </c>
      <c r="F198" s="18" t="s">
        <v>1251</v>
      </c>
      <c r="G198" s="18" t="s">
        <v>1252</v>
      </c>
    </row>
    <row r="199" customFormat="false" ht="26.85" hidden="false" customHeight="false" outlineLevel="0" collapsed="false">
      <c r="A199" s="18" t="s">
        <v>1253</v>
      </c>
      <c r="B199" s="18" t="s">
        <v>1254</v>
      </c>
      <c r="C199" s="18" t="s">
        <v>1255</v>
      </c>
      <c r="D199" s="27" t="n">
        <f aca="false">D197*D23</f>
        <v>0.107186396948662</v>
      </c>
      <c r="E199" s="18" t="s">
        <v>60</v>
      </c>
      <c r="F199" s="18" t="s">
        <v>1256</v>
      </c>
      <c r="G199" s="18"/>
    </row>
    <row r="200" customFormat="false" ht="14.25" hidden="false" customHeight="false" outlineLevel="0" collapsed="false">
      <c r="A200" s="18" t="s">
        <v>1257</v>
      </c>
      <c r="B200" s="18" t="s">
        <v>1258</v>
      </c>
      <c r="C200" s="18" t="s">
        <v>1259</v>
      </c>
      <c r="D200" s="26" t="n">
        <f aca="false">MIN(GiaDinh_K3!$D$11,SQRT(2*GiaDinh_K3!$D$12*MAX(0,Params!$C$10-$D$199)))</f>
        <v>0.214776560603847</v>
      </c>
      <c r="E200" s="18" t="s">
        <v>63</v>
      </c>
      <c r="F200" s="18" t="s">
        <v>1260</v>
      </c>
      <c r="G200" s="18" t="s">
        <v>1252</v>
      </c>
    </row>
    <row r="201" customFormat="false" ht="14.25" hidden="false" customHeight="false" outlineLevel="0" collapsed="false">
      <c r="A201" s="18" t="s">
        <v>1261</v>
      </c>
      <c r="B201" s="18" t="s">
        <v>1262</v>
      </c>
      <c r="C201" s="18" t="s">
        <v>1263</v>
      </c>
      <c r="D201" s="26" t="n">
        <f aca="false">$D$25+GiaDinh_K3!$D$8*Params!$C$5*$D$200*$D$23/Params!$C$16+Catalogue!$F$15*$D$200/$D$23</f>
        <v>5.71890735627718</v>
      </c>
      <c r="E201" s="18" t="s">
        <v>112</v>
      </c>
      <c r="F201" s="18" t="s">
        <v>1264</v>
      </c>
      <c r="G201" s="18" t="s">
        <v>1265</v>
      </c>
    </row>
    <row r="202" customFormat="false" ht="26.85" hidden="false" customHeight="false" outlineLevel="0" collapsed="false">
      <c r="A202" s="18" t="s">
        <v>1266</v>
      </c>
      <c r="B202" s="18" t="s">
        <v>1267</v>
      </c>
      <c r="C202" s="18" t="s">
        <v>1268</v>
      </c>
      <c r="D202" s="27" t="n">
        <f aca="false">D201/(D123*D196)</f>
        <v>2.37676337542472</v>
      </c>
      <c r="E202" s="18" t="s">
        <v>121</v>
      </c>
      <c r="F202" s="18" t="s">
        <v>1269</v>
      </c>
      <c r="G202" s="18" t="s">
        <v>703</v>
      </c>
    </row>
    <row r="203" customFormat="false" ht="14.25" hidden="false" customHeight="false" outlineLevel="0" collapsed="false">
      <c r="A203" s="18" t="s">
        <v>1270</v>
      </c>
      <c r="B203" s="18" t="s">
        <v>1271</v>
      </c>
      <c r="C203" s="18" t="s">
        <v>1272</v>
      </c>
      <c r="D203" s="27" t="n">
        <f aca="false">D196*D121</f>
        <v>1.39496431159154</v>
      </c>
      <c r="E203" s="18" t="s">
        <v>121</v>
      </c>
      <c r="F203" s="18" t="s">
        <v>1273</v>
      </c>
      <c r="G203" s="18"/>
    </row>
    <row r="204" customFormat="false" ht="26.85" hidden="false" customHeight="false" outlineLevel="0" collapsed="false">
      <c r="A204" s="18" t="s">
        <v>1274</v>
      </c>
      <c r="B204" s="18" t="s">
        <v>1275</v>
      </c>
      <c r="C204" s="18" t="s">
        <v>1276</v>
      </c>
      <c r="D204" s="27" t="n">
        <f aca="false">SQRT($D$202^2+$D$203^2)/SQRT(2)</f>
        <v>1.94870849197287</v>
      </c>
      <c r="E204" s="18" t="s">
        <v>121</v>
      </c>
      <c r="F204" s="18" t="s">
        <v>1277</v>
      </c>
      <c r="G204" s="18"/>
    </row>
    <row r="205" customFormat="false" ht="14.25" hidden="false" customHeight="false" outlineLevel="0" collapsed="false">
      <c r="A205" s="5" t="s">
        <v>1278</v>
      </c>
      <c r="B205" s="17"/>
      <c r="C205" s="17"/>
      <c r="D205" s="17"/>
      <c r="E205" s="17"/>
      <c r="F205" s="17"/>
      <c r="G205" s="17"/>
    </row>
    <row r="206" customFormat="false" ht="14.25" hidden="false" customHeight="false" outlineLevel="0" collapsed="false">
      <c r="A206" s="18" t="s">
        <v>1279</v>
      </c>
      <c r="B206" s="18" t="s">
        <v>1280</v>
      </c>
      <c r="C206" s="18" t="s">
        <v>1281</v>
      </c>
      <c r="D206" s="26" t="n">
        <f aca="false">SQRT(2)*Params!$C$20</f>
        <v>537.401153701776</v>
      </c>
      <c r="E206" s="18" t="s">
        <v>300</v>
      </c>
      <c r="F206" s="18" t="s">
        <v>1282</v>
      </c>
      <c r="G206" s="18" t="s">
        <v>886</v>
      </c>
    </row>
    <row r="207" customFormat="false" ht="14.25" hidden="false" customHeight="false" outlineLevel="0" collapsed="false">
      <c r="A207" s="18" t="s">
        <v>1283</v>
      </c>
      <c r="B207" s="18" t="s">
        <v>1284</v>
      </c>
      <c r="C207" s="18" t="s">
        <v>1285</v>
      </c>
      <c r="D207" s="26" t="n">
        <f aca="false">Catalogue!$F$4*1000/(Catalogue!$F$9*GiaDinh_K3!$D$13*$D$85)</f>
        <v>1.81809944174893</v>
      </c>
      <c r="E207" s="18" t="s">
        <v>121</v>
      </c>
      <c r="F207" s="18" t="s">
        <v>1286</v>
      </c>
      <c r="G207" s="18"/>
    </row>
    <row r="208" customFormat="false" ht="26.85" hidden="false" customHeight="false" outlineLevel="0" collapsed="false">
      <c r="A208" s="18" t="s">
        <v>1287</v>
      </c>
      <c r="B208" s="18" t="s">
        <v>1288</v>
      </c>
      <c r="C208" s="18" t="s">
        <v>1287</v>
      </c>
      <c r="D208" s="27" t="n">
        <f aca="false">($D$206-$D$85)/$D$207</f>
        <v>13.4212426127271</v>
      </c>
      <c r="E208" s="18" t="s">
        <v>128</v>
      </c>
      <c r="F208" s="18" t="s">
        <v>1289</v>
      </c>
      <c r="G208" s="18" t="s">
        <v>1290</v>
      </c>
    </row>
    <row r="209" customFormat="false" ht="14.25" hidden="false" customHeight="false" outlineLevel="0" collapsed="false">
      <c r="A209" s="18" t="s">
        <v>1291</v>
      </c>
      <c r="B209" s="18" t="s">
        <v>1292</v>
      </c>
      <c r="C209" s="18" t="s">
        <v>1293</v>
      </c>
      <c r="D209" s="26" t="n">
        <f aca="false">0.5*GiaDinh_K3!$D$46*(GiaDinh_K3!$D$14^2-$D$84^2)</f>
        <v>15.46072</v>
      </c>
      <c r="E209" s="18" t="s">
        <v>131</v>
      </c>
      <c r="F209" s="18" t="s">
        <v>1294</v>
      </c>
      <c r="G209" s="18" t="s">
        <v>703</v>
      </c>
    </row>
    <row r="210" customFormat="false" ht="39.55" hidden="false" customHeight="false" outlineLevel="0" collapsed="false">
      <c r="A210" s="18" t="s">
        <v>1295</v>
      </c>
      <c r="B210" s="18" t="s">
        <v>1296</v>
      </c>
      <c r="C210" s="18" t="s">
        <v>69</v>
      </c>
      <c r="D210" s="18" t="str">
        <f aca="false">IF($D$82&gt;$D$209,"Có — chopper đóng (DV-04 quan sát được)","Không — tụ tự hấp thụ")</f>
        <v>Có — chopper đóng (DV-04 quan sát được)</v>
      </c>
      <c r="E210" s="18" t="s">
        <v>69</v>
      </c>
      <c r="F210" s="18" t="s">
        <v>1297</v>
      </c>
      <c r="G210" s="18"/>
    </row>
    <row r="211" customFormat="false" ht="14.25" hidden="false" customHeight="false" outlineLevel="0" collapsed="false">
      <c r="A211" s="18" t="s">
        <v>1298</v>
      </c>
      <c r="B211" s="18" t="s">
        <v>1299</v>
      </c>
      <c r="C211" s="18" t="s">
        <v>1300</v>
      </c>
      <c r="D211" s="26" t="n">
        <f aca="false">GiaDinh_K3!$D$14-GiaDinh_K3!$D$47</f>
        <v>680</v>
      </c>
      <c r="E211" s="18" t="s">
        <v>300</v>
      </c>
      <c r="F211" s="18"/>
      <c r="G211" s="18"/>
    </row>
    <row r="212" customFormat="false" ht="14.25" hidden="false" customHeight="false" outlineLevel="0" collapsed="false">
      <c r="A212" s="18" t="s">
        <v>1301</v>
      </c>
      <c r="B212" s="18" t="s">
        <v>1302</v>
      </c>
      <c r="C212" s="18" t="s">
        <v>1301</v>
      </c>
      <c r="D212" s="26" t="n">
        <f aca="false">1/(GiaDinh_K3!$D$22*GiaDinh_K3!$D$48)</f>
        <v>5</v>
      </c>
      <c r="E212" s="18" t="s">
        <v>69</v>
      </c>
      <c r="F212" s="18" t="s">
        <v>1303</v>
      </c>
      <c r="G212" s="18"/>
    </row>
    <row r="213" customFormat="false" ht="14.25" hidden="false" customHeight="false" outlineLevel="0" collapsed="false">
      <c r="A213" s="18" t="s">
        <v>1304</v>
      </c>
      <c r="B213" s="18" t="s">
        <v>1305</v>
      </c>
      <c r="C213" s="18" t="s">
        <v>1304</v>
      </c>
      <c r="D213" s="26" t="n">
        <f aca="false">GiaDinh_K3!$D$25/GiaDinh_K3!$D$48</f>
        <v>20</v>
      </c>
      <c r="E213" s="18" t="s">
        <v>69</v>
      </c>
      <c r="F213" s="18" t="s">
        <v>1303</v>
      </c>
      <c r="G213" s="18"/>
    </row>
    <row r="214" customFormat="false" ht="14.25" hidden="false" customHeight="false" outlineLevel="0" collapsed="false">
      <c r="A214" s="5" t="s">
        <v>1306</v>
      </c>
      <c r="B214" s="17"/>
      <c r="C214" s="17"/>
      <c r="D214" s="17"/>
      <c r="E214" s="17"/>
      <c r="F214" s="17"/>
      <c r="G214" s="17"/>
    </row>
    <row r="215" customFormat="false" ht="14.25" hidden="false" customHeight="false" outlineLevel="0" collapsed="false">
      <c r="A215" s="18" t="s">
        <v>1307</v>
      </c>
      <c r="B215" s="18" t="s">
        <v>1308</v>
      </c>
      <c r="C215" s="18" t="s">
        <v>1307</v>
      </c>
      <c r="D215" s="26" t="n">
        <f aca="false">GiaDinh_K3!$D$54+GiaDinh_K3!$D$50+GiaDinh_K3!$D$51+GiaDinh_K3!$D$52</f>
        <v>1.3</v>
      </c>
      <c r="E215" s="18" t="s">
        <v>136</v>
      </c>
      <c r="F215" s="18" t="s">
        <v>1309</v>
      </c>
      <c r="G215" s="18"/>
    </row>
    <row r="216" customFormat="false" ht="14.25" hidden="false" customHeight="false" outlineLevel="0" collapsed="false">
      <c r="A216" s="18" t="s">
        <v>1310</v>
      </c>
      <c r="B216" s="18" t="s">
        <v>1311</v>
      </c>
      <c r="C216" s="18" t="s">
        <v>1310</v>
      </c>
      <c r="D216" s="27" t="n">
        <f aca="false">$D$215+$D$41</f>
        <v>1.81666666666667</v>
      </c>
      <c r="E216" s="18" t="s">
        <v>136</v>
      </c>
      <c r="F216" s="18"/>
      <c r="G216" s="18"/>
    </row>
    <row r="217" customFormat="false" ht="14.25" hidden="false" customHeight="false" outlineLevel="0" collapsed="false">
      <c r="A217" s="18" t="s">
        <v>1312</v>
      </c>
      <c r="B217" s="18" t="s">
        <v>1313</v>
      </c>
      <c r="C217" s="18" t="s">
        <v>1312</v>
      </c>
      <c r="D217" s="26" t="n">
        <f aca="false">$D$216+GiaDinh_K3!$D$55</f>
        <v>11.8166666666667</v>
      </c>
      <c r="E217" s="18" t="s">
        <v>136</v>
      </c>
      <c r="F217" s="18"/>
      <c r="G217" s="18"/>
    </row>
    <row r="218" customFormat="false" ht="14.25" hidden="false" customHeight="false" outlineLevel="0" collapsed="false">
      <c r="A218" s="18" t="s">
        <v>1314</v>
      </c>
      <c r="B218" s="18" t="s">
        <v>1315</v>
      </c>
      <c r="C218" s="18" t="s">
        <v>1314</v>
      </c>
      <c r="D218" s="27" t="n">
        <f aca="false">$D$217+$D$41</f>
        <v>12.3333333333333</v>
      </c>
      <c r="E218" s="18" t="s">
        <v>136</v>
      </c>
      <c r="F218" s="18"/>
      <c r="G218" s="18"/>
    </row>
    <row r="219" customFormat="false" ht="14.25" hidden="false" customHeight="false" outlineLevel="0" collapsed="false">
      <c r="A219" s="18" t="s">
        <v>1316</v>
      </c>
      <c r="B219" s="18" t="s">
        <v>1317</v>
      </c>
      <c r="C219" s="18" t="s">
        <v>1316</v>
      </c>
      <c r="D219" s="26" t="n">
        <f aca="false">$D$218+GiaDinh_K3!$D$21+GiaDinh_K3!$D$53+GiaDinh_K3!$D$56</f>
        <v>22.4333333333333</v>
      </c>
      <c r="E219" s="18" t="s">
        <v>136</v>
      </c>
      <c r="F219" s="18" t="s">
        <v>1318</v>
      </c>
      <c r="G219" s="18"/>
    </row>
    <row r="220" customFormat="false" ht="14.25" hidden="false" customHeight="false" outlineLevel="0" collapsed="false">
      <c r="A220" s="18" t="s">
        <v>1319</v>
      </c>
      <c r="B220" s="18" t="s">
        <v>1320</v>
      </c>
      <c r="C220" s="18" t="s">
        <v>1319</v>
      </c>
      <c r="D220" s="26" t="n">
        <f aca="false">$D$219+GiaDinh_K3!$D$54</f>
        <v>22.9333333333333</v>
      </c>
      <c r="E220" s="18" t="s">
        <v>136</v>
      </c>
      <c r="F220" s="18"/>
      <c r="G220" s="18"/>
    </row>
    <row r="221" customFormat="false" ht="14.25" hidden="false" customHeight="false" outlineLevel="0" collapsed="false">
      <c r="A221" s="18" t="s">
        <v>1321</v>
      </c>
      <c r="B221" s="18" t="s">
        <v>1322</v>
      </c>
      <c r="C221" s="18" t="s">
        <v>1321</v>
      </c>
      <c r="D221" s="26" t="n">
        <f aca="false">$D$220+GiaDinh_K3!$D$50+GiaDinh_K3!$D$51+GiaDinh_K3!$D$52</f>
        <v>23.7333333333333</v>
      </c>
      <c r="E221" s="18" t="s">
        <v>136</v>
      </c>
      <c r="F221" s="18"/>
      <c r="G221" s="18"/>
    </row>
    <row r="222" customFormat="false" ht="14.25" hidden="false" customHeight="false" outlineLevel="0" collapsed="false">
      <c r="A222" s="18" t="s">
        <v>1323</v>
      </c>
      <c r="B222" s="18" t="s">
        <v>1324</v>
      </c>
      <c r="C222" s="18" t="s">
        <v>1323</v>
      </c>
      <c r="D222" s="26" t="n">
        <f aca="false">$D$221+2*$D$41+GiaDinh_K3!$D$55</f>
        <v>34.7666666666667</v>
      </c>
      <c r="E222" s="18" t="s">
        <v>136</v>
      </c>
      <c r="F222" s="18"/>
      <c r="G222" s="18"/>
    </row>
    <row r="223" customFormat="false" ht="14.25" hidden="false" customHeight="false" outlineLevel="0" collapsed="false">
      <c r="A223" s="18" t="s">
        <v>1325</v>
      </c>
      <c r="B223" s="18" t="s">
        <v>1326</v>
      </c>
      <c r="C223" s="18" t="s">
        <v>1325</v>
      </c>
      <c r="D223" s="26" t="n">
        <f aca="false">$D$222+GiaDinh_K3!$D$21+GiaDinh_K3!$D$53+GiaDinh_K3!$D$56</f>
        <v>44.8666666666667</v>
      </c>
      <c r="E223" s="18" t="s">
        <v>136</v>
      </c>
      <c r="F223" s="18"/>
      <c r="G223" s="18"/>
    </row>
    <row r="224" customFormat="false" ht="14.25" hidden="false" customHeight="false" outlineLevel="0" collapsed="false">
      <c r="A224" s="18" t="s">
        <v>1327</v>
      </c>
      <c r="B224" s="18" t="s">
        <v>1328</v>
      </c>
      <c r="C224" s="18" t="s">
        <v>1329</v>
      </c>
      <c r="D224" s="26" t="n">
        <f aca="false">Params!$C$10*(GiaDinh_K3!$D$55+$D$41)</f>
        <v>1.262</v>
      </c>
      <c r="E224" s="18" t="s">
        <v>57</v>
      </c>
      <c r="F224" s="18"/>
      <c r="G224" s="18"/>
    </row>
    <row r="225" customFormat="false" ht="14.25" hidden="false" customHeight="false" outlineLevel="0" collapsed="false">
      <c r="A225" s="18" t="s">
        <v>1330</v>
      </c>
      <c r="B225" s="18" t="s">
        <v>1331</v>
      </c>
      <c r="C225" s="18" t="s">
        <v>100</v>
      </c>
      <c r="D225" s="26" t="n">
        <f aca="false">$D$223/GiaDinh_K3!$D$48</f>
        <v>897333.333333333</v>
      </c>
      <c r="E225" s="18" t="s">
        <v>69</v>
      </c>
      <c r="F225" s="18"/>
      <c r="G225" s="18"/>
    </row>
    <row r="226" customFormat="false" ht="14.25" hidden="false" customHeight="false" outlineLevel="0" collapsed="false">
      <c r="A226" s="18" t="s">
        <v>1332</v>
      </c>
      <c r="B226" s="18" t="s">
        <v>1333</v>
      </c>
      <c r="C226" s="18" t="s">
        <v>1332</v>
      </c>
      <c r="D226" s="26" t="n">
        <f aca="false">$D$216+GiaDinh_K3!$D$57</f>
        <v>4.81666666666667</v>
      </c>
      <c r="E226" s="18" t="s">
        <v>136</v>
      </c>
      <c r="F226" s="18" t="s">
        <v>1334</v>
      </c>
      <c r="G226" s="18"/>
    </row>
    <row r="227" customFormat="false" ht="14.25" hidden="false" customHeight="false" outlineLevel="0" collapsed="false">
      <c r="A227" s="18" t="s">
        <v>1335</v>
      </c>
      <c r="B227" s="18" t="s">
        <v>1336</v>
      </c>
      <c r="C227" s="18" t="s">
        <v>1335</v>
      </c>
      <c r="D227" s="26" t="n">
        <f aca="false">$D$226+$D$41+GiaDinh_K3!$D$21+GiaDinh_K3!$D$53+GiaDinh_K3!$D$56</f>
        <v>15.4333333333333</v>
      </c>
      <c r="E227" s="18" t="s">
        <v>136</v>
      </c>
      <c r="F227" s="18"/>
      <c r="G227" s="18"/>
    </row>
    <row r="228" customFormat="false" ht="14.25" hidden="false" customHeight="false" outlineLevel="0" collapsed="false">
      <c r="A228" s="5" t="s">
        <v>1337</v>
      </c>
      <c r="B228" s="6"/>
      <c r="C228" s="6"/>
      <c r="D228" s="6"/>
      <c r="E228" s="6"/>
      <c r="F228" s="6"/>
      <c r="G228" s="6"/>
    </row>
    <row r="229" customFormat="false" ht="26.85" hidden="false" customHeight="false" outlineLevel="0" collapsed="false">
      <c r="A229" s="8" t="s">
        <v>1338</v>
      </c>
      <c r="B229" s="8" t="s">
        <v>1339</v>
      </c>
      <c r="C229" s="8" t="s">
        <v>1340</v>
      </c>
      <c r="D229" s="28" t="n">
        <f aca="false">GiaDinh_K3!$D$8*Params!$C$5*Params!$C$11-Params!$C$21</f>
        <v>6094.2954</v>
      </c>
      <c r="E229" s="8" t="s">
        <v>100</v>
      </c>
      <c r="F229" s="8" t="s">
        <v>1341</v>
      </c>
      <c r="G229" s="8" t="s">
        <v>1342</v>
      </c>
    </row>
    <row r="230" customFormat="false" ht="26.85" hidden="false" customHeight="false" outlineLevel="0" collapsed="false">
      <c r="A230" s="8" t="s">
        <v>1343</v>
      </c>
      <c r="B230" s="8" t="s">
        <v>1344</v>
      </c>
      <c r="C230" s="8" t="s">
        <v>1345</v>
      </c>
      <c r="D230" s="28" t="n">
        <f aca="false">($D$229*Params!$C$10*Params!$C$16+Catalogue!$F$15*(Params!$C$11/$D$23)*$D$191)*Catalogue!$F$9*GiaDinh_K3!$D$13</f>
        <v>724.485904722269</v>
      </c>
      <c r="E230" s="8" t="s">
        <v>106</v>
      </c>
      <c r="F230" s="8" t="s">
        <v>1346</v>
      </c>
      <c r="G230" s="8" t="s">
        <v>1342</v>
      </c>
    </row>
    <row r="231" customFormat="false" ht="26.85" hidden="false" customHeight="false" outlineLevel="0" collapsed="false">
      <c r="A231" s="8" t="s">
        <v>1347</v>
      </c>
      <c r="B231" s="8" t="s">
        <v>1348</v>
      </c>
      <c r="C231" s="8" t="s">
        <v>1349</v>
      </c>
      <c r="D231" s="28" t="n">
        <f aca="false">Catalogue!$F$27*1000/$D$230</f>
        <v>1.5597266870681</v>
      </c>
      <c r="E231" s="8" t="s">
        <v>69</v>
      </c>
      <c r="F231" s="8" t="s">
        <v>1350</v>
      </c>
      <c r="G231" s="8" t="s">
        <v>1342</v>
      </c>
    </row>
    <row r="232" customFormat="false" ht="26.85" hidden="false" customHeight="false" outlineLevel="0" collapsed="false">
      <c r="A232" s="8" t="s">
        <v>1351</v>
      </c>
      <c r="B232" s="8" t="s">
        <v>1352</v>
      </c>
      <c r="C232" s="8" t="s">
        <v>1353</v>
      </c>
      <c r="D232" s="28" t="n">
        <f aca="false">$D$80/$D$230</f>
        <v>3.22067457506687</v>
      </c>
      <c r="E232" s="8" t="s">
        <v>69</v>
      </c>
      <c r="F232" s="8" t="s">
        <v>1354</v>
      </c>
      <c r="G232" s="8" t="s">
        <v>1342</v>
      </c>
    </row>
    <row r="234" customFormat="false" ht="14.25" hidden="false" customHeight="false" outlineLevel="0" collapsed="false">
      <c r="A234" s="1" t="s">
        <v>1355</v>
      </c>
    </row>
    <row r="235" customFormat="false" ht="14.25" hidden="false" customHeight="false" outlineLevel="0" collapsed="false">
      <c r="A235" s="1" t="s">
        <v>1356</v>
      </c>
      <c r="B235" s="1" t="s">
        <v>1357</v>
      </c>
      <c r="C235" s="1" t="s">
        <v>1358</v>
      </c>
      <c r="D235" s="1" t="n">
        <f aca="false">DEGREES(2*$D$184*ABS(SIN(Params!$C$8*($D$41+GiaDinh_K3!$D$55)/2)))</f>
        <v>1.26626945120427</v>
      </c>
      <c r="E235" s="1" t="s">
        <v>393</v>
      </c>
      <c r="F235" s="1" t="s">
        <v>1359</v>
      </c>
      <c r="G235" s="1" t="s">
        <v>739</v>
      </c>
    </row>
    <row r="236" customFormat="false" ht="14.25" hidden="false" customHeight="false" outlineLevel="0" collapsed="false">
      <c r="A236" s="1" t="s">
        <v>1360</v>
      </c>
      <c r="B236" s="1" t="s">
        <v>1361</v>
      </c>
      <c r="C236" s="1" t="s">
        <v>1362</v>
      </c>
      <c r="D236" s="1" t="n">
        <f aca="false">2*Params!$C$9-$D$41</f>
        <v>13.3817709907809</v>
      </c>
      <c r="E236" s="1" t="s">
        <v>136</v>
      </c>
      <c r="F236" s="1" t="s">
        <v>1363</v>
      </c>
      <c r="G236" s="1" t="s">
        <v>703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6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7" min="7" style="1" width="60"/>
  </cols>
  <sheetData>
    <row r="1" customFormat="false" ht="15" hidden="false" customHeight="true" outlineLevel="0" collapsed="false">
      <c r="A1" s="14" t="s">
        <v>98</v>
      </c>
      <c r="B1" s="14" t="s">
        <v>1364</v>
      </c>
      <c r="C1" s="14" t="s">
        <v>1365</v>
      </c>
      <c r="D1" s="14" t="s">
        <v>1366</v>
      </c>
      <c r="E1" s="14" t="s">
        <v>1367</v>
      </c>
      <c r="F1" s="14" t="s">
        <v>1368</v>
      </c>
      <c r="G1" s="14" t="s">
        <v>1369</v>
      </c>
    </row>
    <row r="2" customFormat="false" ht="15" hidden="false" customHeight="true" outlineLevel="0" collapsed="false">
      <c r="A2" s="29" t="s">
        <v>101</v>
      </c>
      <c r="B2" s="29" t="s">
        <v>1370</v>
      </c>
      <c r="C2" s="26" t="n">
        <f aca="false">'Tính chọn'!$D$5</f>
        <v>2096.0046</v>
      </c>
      <c r="D2" s="26" t="n">
        <f aca="false">Params!$C$21</f>
        <v>2096.0046</v>
      </c>
      <c r="E2" s="30" t="str">
        <f aca="false">IF(ABS(C2-D2)&lt;1,"Đạt","Không đạt")</f>
        <v>Đạt</v>
      </c>
      <c r="F2" s="29" t="s">
        <v>1371</v>
      </c>
      <c r="G2" s="29"/>
    </row>
    <row r="3" customFormat="false" ht="15" hidden="false" customHeight="true" outlineLevel="0" collapsed="false">
      <c r="A3" s="29" t="s">
        <v>1372</v>
      </c>
      <c r="B3" s="29" t="s">
        <v>1373</v>
      </c>
      <c r="C3" s="26" t="n">
        <f aca="false">'Tính chọn'!$D$13</f>
        <v>1.51587730819748</v>
      </c>
      <c r="D3" s="19" t="n">
        <v>1.2</v>
      </c>
      <c r="E3" s="30" t="str">
        <f aca="false">IF(C3&gt;=D3,"Đạt","Không đạt")</f>
        <v>Đạt</v>
      </c>
      <c r="F3" s="29" t="s">
        <v>162</v>
      </c>
      <c r="G3" s="29"/>
    </row>
    <row r="4" customFormat="false" ht="15" hidden="false" customHeight="true" outlineLevel="0" collapsed="false">
      <c r="A4" s="29" t="s">
        <v>1374</v>
      </c>
      <c r="B4" s="29" t="s">
        <v>1375</v>
      </c>
      <c r="C4" s="26" t="n">
        <f aca="false">'Tính chọn'!$D$16</f>
        <v>1.51587730819748</v>
      </c>
      <c r="D4" s="19" t="n">
        <v>1.2</v>
      </c>
      <c r="E4" s="30" t="str">
        <f aca="false">IF(C4&gt;=D4,"Đạt","Không đạt")</f>
        <v>Đạt</v>
      </c>
      <c r="F4" s="29" t="s">
        <v>162</v>
      </c>
      <c r="G4" s="29"/>
    </row>
    <row r="5" customFormat="false" ht="15" hidden="false" customHeight="true" outlineLevel="0" collapsed="false">
      <c r="A5" s="29" t="s">
        <v>1376</v>
      </c>
      <c r="B5" s="29" t="s">
        <v>1377</v>
      </c>
      <c r="C5" s="26" t="n">
        <f aca="false">Catalogue!$F$12</f>
        <v>3.4</v>
      </c>
      <c r="D5" s="19" t="n">
        <v>2</v>
      </c>
      <c r="E5" s="30" t="str">
        <f aca="false">IF(C5&gt;=D5,"Đạt","Không đạt")</f>
        <v>Đạt</v>
      </c>
      <c r="F5" s="29" t="s">
        <v>1378</v>
      </c>
      <c r="G5" s="29" t="s">
        <v>362</v>
      </c>
    </row>
    <row r="6" customFormat="false" ht="15" hidden="false" customHeight="true" outlineLevel="0" collapsed="false">
      <c r="A6" s="29" t="s">
        <v>114</v>
      </c>
      <c r="B6" s="29" t="s">
        <v>1379</v>
      </c>
      <c r="C6" s="26" t="n">
        <f aca="false">'Tính chọn'!$D$36</f>
        <v>2.485485</v>
      </c>
      <c r="D6" s="26" t="n">
        <f aca="false">'Tính chọn'!$D$35</f>
        <v>2.18685011588092</v>
      </c>
      <c r="E6" s="30" t="str">
        <f aca="false">IF(C6&gt;=D6,"Đạt","Không đạt")</f>
        <v>Đạt</v>
      </c>
      <c r="F6" s="29" t="s">
        <v>1380</v>
      </c>
      <c r="G6" s="29"/>
    </row>
    <row r="7" customFormat="false" ht="15" hidden="false" customHeight="true" outlineLevel="0" collapsed="false">
      <c r="A7" s="29" t="s">
        <v>104</v>
      </c>
      <c r="B7" s="29" t="s">
        <v>1381</v>
      </c>
      <c r="C7" s="26" t="n">
        <f aca="false">'Tính chọn'!$D$37</f>
        <v>11939.6421649224</v>
      </c>
      <c r="D7" s="26" t="n">
        <f aca="false">'Tính chọn'!$D$10</f>
        <v>9218.0046</v>
      </c>
      <c r="E7" s="30" t="str">
        <f aca="false">IF(C7&gt;=D7,"Đạt","Không đạt")</f>
        <v>Đạt</v>
      </c>
      <c r="F7" s="29" t="s">
        <v>103</v>
      </c>
      <c r="G7" s="29"/>
    </row>
    <row r="8" customFormat="false" ht="15" hidden="false" customHeight="true" outlineLevel="0" collapsed="false">
      <c r="A8" s="29" t="s">
        <v>117</v>
      </c>
      <c r="B8" s="29" t="s">
        <v>1382</v>
      </c>
      <c r="C8" s="26" t="n">
        <f aca="false">'Tính chọn'!$D$60</f>
        <v>3.60885897934136</v>
      </c>
      <c r="D8" s="19" t="n">
        <v>1.2</v>
      </c>
      <c r="E8" s="30" t="str">
        <f aca="false">IF(C8&gt;=D8,"Đạt","Không đạt")</f>
        <v>Đạt</v>
      </c>
      <c r="F8" s="29" t="s">
        <v>1383</v>
      </c>
      <c r="G8" s="29"/>
    </row>
    <row r="9" customFormat="false" ht="28.5" hidden="false" customHeight="true" outlineLevel="0" collapsed="false">
      <c r="A9" s="29" t="s">
        <v>1384</v>
      </c>
      <c r="B9" s="29" t="s">
        <v>1385</v>
      </c>
      <c r="C9" s="26" t="n">
        <f aca="false">'Tính chọn'!$D$60</f>
        <v>3.60885897934136</v>
      </c>
      <c r="D9" s="19" t="n">
        <v>1.5</v>
      </c>
      <c r="E9" s="30" t="str">
        <f aca="false">"Không áp dụng (SRS A.1 có hiệu lực, CR-01)"</f>
        <v>Không áp dụng (SRS A.1 có hiệu lực, CR-01)</v>
      </c>
      <c r="F9" s="29" t="s">
        <v>1386</v>
      </c>
      <c r="G9" s="29" t="s">
        <v>1387</v>
      </c>
    </row>
    <row r="10" customFormat="false" ht="28.5" hidden="false" customHeight="true" outlineLevel="0" collapsed="false">
      <c r="A10" s="29" t="s">
        <v>1388</v>
      </c>
      <c r="B10" s="29" t="s">
        <v>1389</v>
      </c>
      <c r="C10" s="26" t="n">
        <f aca="false">Catalogue!$F$4</f>
        <v>0.75</v>
      </c>
      <c r="D10" s="26" t="n">
        <f aca="false">MIN(2.2,1.5*'Tính chọn'!$D$11/1000)</f>
        <v>1.84360092</v>
      </c>
      <c r="E10" s="30" t="str">
        <f aca="false">IF(C10&lt;=D10,"Đạt","Không đạt")</f>
        <v>Đạt</v>
      </c>
      <c r="F10" s="29" t="s">
        <v>1390</v>
      </c>
      <c r="G10" s="29" t="s">
        <v>1391</v>
      </c>
    </row>
    <row r="11" customFormat="false" ht="15" hidden="false" customHeight="true" outlineLevel="0" collapsed="false">
      <c r="A11" s="29" t="s">
        <v>1392</v>
      </c>
      <c r="B11" s="29" t="s">
        <v>1393</v>
      </c>
      <c r="C11" s="26" t="n">
        <f aca="false">Catalogue!$F$21</f>
        <v>2.6</v>
      </c>
      <c r="D11" s="26" t="n">
        <f aca="false">Catalogue!$F$7</f>
        <v>1.75</v>
      </c>
      <c r="E11" s="30" t="str">
        <f aca="false">IF(C11&gt;=D11,"Đạt","Không đạt")</f>
        <v>Đạt</v>
      </c>
      <c r="F11" s="29" t="s">
        <v>231</v>
      </c>
      <c r="G11" s="29"/>
    </row>
    <row r="12" customFormat="false" ht="15" hidden="false" customHeight="true" outlineLevel="0" collapsed="false">
      <c r="A12" s="29" t="s">
        <v>122</v>
      </c>
      <c r="B12" s="29" t="s">
        <v>1394</v>
      </c>
      <c r="C12" s="26" t="n">
        <f aca="false">'Tính chọn'!$D$72</f>
        <v>3.9</v>
      </c>
      <c r="D12" s="26" t="n">
        <f aca="false">'Tính chọn'!$D$71</f>
        <v>3.3160408607308</v>
      </c>
      <c r="E12" s="30" t="str">
        <f aca="false">IF(C12&gt;=D12,"Đạt","Không đạt")</f>
        <v>Đạt</v>
      </c>
      <c r="F12" s="29" t="s">
        <v>162</v>
      </c>
      <c r="G12" s="29"/>
    </row>
    <row r="13" customFormat="false" ht="15" hidden="false" customHeight="true" outlineLevel="0" collapsed="false">
      <c r="A13" s="29" t="s">
        <v>1395</v>
      </c>
      <c r="B13" s="29" t="s">
        <v>1396</v>
      </c>
      <c r="C13" s="26" t="n">
        <f aca="false">Catalogue!$F$23</f>
        <v>4.7</v>
      </c>
      <c r="D13" s="26" t="n">
        <f aca="false">'Tính chọn'!$D$71</f>
        <v>3.3160408607308</v>
      </c>
      <c r="E13" s="30" t="str">
        <f aca="false">IF(C13&gt;=D13,"Đạt","Không đạt")</f>
        <v>Đạt</v>
      </c>
      <c r="F13" s="29" t="s">
        <v>162</v>
      </c>
      <c r="G13" s="29"/>
    </row>
    <row r="14" customFormat="false" ht="15" hidden="false" customHeight="true" outlineLevel="0" collapsed="false">
      <c r="A14" s="29" t="s">
        <v>1397</v>
      </c>
      <c r="B14" s="29" t="s">
        <v>1398</v>
      </c>
      <c r="C14" s="26" t="n">
        <f aca="false">GiaDinh_K3!$D$42</f>
        <v>210</v>
      </c>
      <c r="D14" s="26" t="n">
        <f aca="false">'Tính chọn'!$D$78</f>
        <v>99</v>
      </c>
      <c r="E14" s="30" t="str">
        <f aca="false">IF(C14&gt;=D14,"Đạt","Không đạt")</f>
        <v>Đạt</v>
      </c>
      <c r="F14" s="29" t="s">
        <v>1399</v>
      </c>
      <c r="G14" s="29"/>
    </row>
    <row r="15" customFormat="false" ht="15" hidden="false" customHeight="true" outlineLevel="0" collapsed="false">
      <c r="A15" s="29" t="s">
        <v>1400</v>
      </c>
      <c r="B15" s="29" t="s">
        <v>1401</v>
      </c>
      <c r="C15" s="26" t="n">
        <f aca="false">GiaDinh_K3!$D$42</f>
        <v>210</v>
      </c>
      <c r="D15" s="26" t="n">
        <f aca="false">'Tính chọn'!$D$77</f>
        <v>428</v>
      </c>
      <c r="E15" s="30" t="str">
        <f aca="false">IF(C15&lt;=D15,"Đạt","Không đạt")</f>
        <v>Đạt</v>
      </c>
      <c r="F15" s="29" t="s">
        <v>1402</v>
      </c>
      <c r="G15" s="29"/>
    </row>
    <row r="16" customFormat="false" ht="15" hidden="false" customHeight="true" outlineLevel="0" collapsed="false">
      <c r="A16" s="29" t="s">
        <v>124</v>
      </c>
      <c r="B16" s="29" t="s">
        <v>1403</v>
      </c>
      <c r="C16" s="26" t="n">
        <f aca="false">Catalogue!$F$27</f>
        <v>1.13</v>
      </c>
      <c r="D16" s="26" t="n">
        <f aca="false">'Tính chọn'!$D$75/1000</f>
        <v>0.436487797548216</v>
      </c>
      <c r="E16" s="30" t="str">
        <f aca="false">IF(C16&gt;=D16,"Đạt","Không đạt")</f>
        <v>Đạt</v>
      </c>
      <c r="F16" s="29" t="s">
        <v>1399</v>
      </c>
      <c r="G16" s="29" t="s">
        <v>1404</v>
      </c>
    </row>
    <row r="17" customFormat="false" ht="28.5" hidden="false" customHeight="true" outlineLevel="0" collapsed="false">
      <c r="A17" s="29" t="s">
        <v>1405</v>
      </c>
      <c r="B17" s="29" t="s">
        <v>1406</v>
      </c>
      <c r="C17" s="26" t="n">
        <f aca="false">'Tính chọn'!$D$84</f>
        <v>591.141269071954</v>
      </c>
      <c r="D17" s="26" t="n">
        <f aca="false">GiaDinh_K3!$D$14-20</f>
        <v>680</v>
      </c>
      <c r="E17" s="30" t="str">
        <f aca="false">IF(C17&lt;D17,"Đạt","Không đạt")</f>
        <v>Đạt</v>
      </c>
      <c r="F17" s="29" t="s">
        <v>306</v>
      </c>
      <c r="G17" s="29" t="s">
        <v>1407</v>
      </c>
    </row>
    <row r="18" customFormat="false" ht="15" hidden="false" customHeight="true" outlineLevel="0" collapsed="false">
      <c r="A18" s="29" t="s">
        <v>1408</v>
      </c>
      <c r="B18" s="29" t="s">
        <v>1409</v>
      </c>
      <c r="C18" s="26" t="n">
        <f aca="false">GiaDinh_K3!$D$15</f>
        <v>780</v>
      </c>
      <c r="D18" s="26" t="n">
        <f aca="false">GiaDinh_K3!$D$16</f>
        <v>800</v>
      </c>
      <c r="E18" s="30" t="str">
        <f aca="false">IF(AND(GiaDinh_K3!$D$14&lt;C18,C18&lt;D18),"Đạt","Không đạt")</f>
        <v>Đạt</v>
      </c>
      <c r="F18" s="29" t="s">
        <v>306</v>
      </c>
      <c r="G18" s="29" t="s">
        <v>1410</v>
      </c>
    </row>
    <row r="19" customFormat="false" ht="15" hidden="false" customHeight="true" outlineLevel="0" collapsed="false">
      <c r="A19" s="29" t="s">
        <v>1411</v>
      </c>
      <c r="B19" s="29" t="s">
        <v>1412</v>
      </c>
      <c r="C19" s="26" t="n">
        <f aca="false">GiaDinh_K3!$D$11</f>
        <v>0.45</v>
      </c>
      <c r="D19" s="26" t="n">
        <f aca="false">Params!$C$11</f>
        <v>0.5</v>
      </c>
      <c r="E19" s="30" t="str">
        <f aca="false">IF(C19&lt;=D19,"Đạt","Không đạt")</f>
        <v>Đạt</v>
      </c>
      <c r="F19" s="29" t="s">
        <v>1413</v>
      </c>
      <c r="G19" s="29"/>
    </row>
    <row r="20" customFormat="false" ht="15" hidden="false" customHeight="true" outlineLevel="0" collapsed="false">
      <c r="A20" s="29" t="s">
        <v>1414</v>
      </c>
      <c r="B20" s="29" t="s">
        <v>1415</v>
      </c>
      <c r="C20" s="26" t="n">
        <f aca="false">GiaDinh_K3!$D$12</f>
        <v>1.8</v>
      </c>
      <c r="D20" s="26" t="n">
        <f aca="false">Params!$C$12</f>
        <v>2</v>
      </c>
      <c r="E20" s="30" t="str">
        <f aca="false">IF(C20&lt;=D20,"Đạt","Không đạt")</f>
        <v>Đạt</v>
      </c>
      <c r="F20" s="29" t="s">
        <v>1413</v>
      </c>
      <c r="G20" s="29"/>
    </row>
    <row r="21" customFormat="false" ht="15" hidden="false" customHeight="true" outlineLevel="0" collapsed="false">
      <c r="A21" s="29" t="s">
        <v>1416</v>
      </c>
      <c r="B21" s="29" t="s">
        <v>1417</v>
      </c>
      <c r="C21" s="26" t="n">
        <f aca="false">'Tính chọn'!$D$43</f>
        <v>0.1125</v>
      </c>
      <c r="D21" s="26" t="n">
        <f aca="false">Params!$C$10</f>
        <v>0.12</v>
      </c>
      <c r="E21" s="30" t="str">
        <f aca="false">IF(C21&lt;D21,"Đạt","Không đạt")</f>
        <v>Đạt</v>
      </c>
      <c r="F21" s="29" t="s">
        <v>1413</v>
      </c>
      <c r="G21" s="29"/>
    </row>
    <row r="22" customFormat="false" ht="15" hidden="false" customHeight="true" outlineLevel="0" collapsed="false">
      <c r="A22" s="29" t="s">
        <v>1418</v>
      </c>
      <c r="B22" s="29" t="s">
        <v>1419</v>
      </c>
      <c r="C22" s="26" t="n">
        <f aca="false">'Tính chọn'!$D$46</f>
        <v>1.26738553880865</v>
      </c>
      <c r="D22" s="26" t="n">
        <f aca="false">'Tính chọn'!$D$47</f>
        <v>2.91774937823045</v>
      </c>
      <c r="E22" s="30" t="str">
        <f aca="false">"Không áp dụng (CR-10: chỉ quan sát)"</f>
        <v>Không áp dụng (CR-10: chỉ quan sát)</v>
      </c>
      <c r="F22" s="29" t="s">
        <v>1420</v>
      </c>
      <c r="G22" s="29" t="s">
        <v>1421</v>
      </c>
    </row>
    <row r="23" customFormat="false" ht="15" hidden="false" customHeight="true" outlineLevel="0" collapsed="false">
      <c r="A23" s="29" t="s">
        <v>139</v>
      </c>
      <c r="B23" s="29" t="s">
        <v>1422</v>
      </c>
      <c r="C23" s="26" t="n">
        <f aca="false">'Tính chọn'!$D$131</f>
        <v>0.0017625</v>
      </c>
      <c r="D23" s="19" t="n">
        <v>0.01</v>
      </c>
      <c r="E23" s="30" t="str">
        <f aca="false">IF(C23&lt;=D23,"Đạt","Không đạt")</f>
        <v>Đạt</v>
      </c>
      <c r="F23" s="29" t="s">
        <v>1423</v>
      </c>
      <c r="G23" s="29" t="s">
        <v>1424</v>
      </c>
    </row>
    <row r="24" customFormat="false" ht="15" hidden="false" customHeight="true" outlineLevel="0" collapsed="false">
      <c r="A24" s="29" t="s">
        <v>1425</v>
      </c>
      <c r="B24" s="29" t="s">
        <v>1426</v>
      </c>
      <c r="C24" s="26" t="n">
        <f aca="false">'Tính chọn'!$D$152</f>
        <v>31.6345498441699</v>
      </c>
      <c r="D24" s="26" t="n">
        <f aca="false">GiaDinh_K3!$D$36</f>
        <v>30</v>
      </c>
      <c r="E24" s="30" t="str">
        <f aca="false">IF(C24&gt;=D24,"Đạt","Không đạt")</f>
        <v>Đạt</v>
      </c>
      <c r="F24" s="29" t="s">
        <v>1427</v>
      </c>
      <c r="G24" s="29" t="s">
        <v>1428</v>
      </c>
    </row>
    <row r="25" customFormat="false" ht="15" hidden="false" customHeight="true" outlineLevel="0" collapsed="false">
      <c r="A25" s="29" t="s">
        <v>1429</v>
      </c>
      <c r="B25" s="29" t="s">
        <v>1430</v>
      </c>
      <c r="C25" s="26" t="n">
        <f aca="false">'Tính chọn'!$D$166</f>
        <v>36.517116878536</v>
      </c>
      <c r="D25" s="26" t="n">
        <f aca="false">GiaDinh_K3!$D$36</f>
        <v>30</v>
      </c>
      <c r="E25" s="30" t="str">
        <f aca="false">IF(C25&gt;=D25,"Đạt","Không đạt")</f>
        <v>Đạt</v>
      </c>
      <c r="F25" s="29" t="s">
        <v>1427</v>
      </c>
      <c r="G25" s="29"/>
    </row>
    <row r="26" customFormat="false" ht="15" hidden="false" customHeight="true" outlineLevel="0" collapsed="false">
      <c r="A26" s="29" t="s">
        <v>1431</v>
      </c>
      <c r="B26" s="29" t="s">
        <v>1432</v>
      </c>
      <c r="C26" s="26" t="n">
        <f aca="false">'Tính chọn'!$D$170</f>
        <v>0.0012343736222847</v>
      </c>
      <c r="D26" s="26" t="n">
        <f aca="false">GiaDinh_K3!$D$32</f>
        <v>0.002</v>
      </c>
      <c r="E26" s="30" t="str">
        <f aca="false">IF(C26&lt;=D26,"Đạt","Không đạt")</f>
        <v>Đạt</v>
      </c>
      <c r="F26" s="29" t="s">
        <v>374</v>
      </c>
      <c r="G26" s="29"/>
    </row>
    <row r="27" customFormat="false" ht="15" hidden="false" customHeight="true" outlineLevel="0" collapsed="false">
      <c r="A27" s="29" t="s">
        <v>1433</v>
      </c>
      <c r="B27" s="29" t="s">
        <v>1434</v>
      </c>
      <c r="C27" s="26" t="n">
        <f aca="false">'Tính chọn'!$D$172</f>
        <v>0.033</v>
      </c>
      <c r="D27" s="26" t="n">
        <f aca="false">0.3*Params!$C$10</f>
        <v>0.036</v>
      </c>
      <c r="E27" s="30" t="str">
        <f aca="false">IF(AND(C27&gt;=0.25*Params!$C$10-0.000000001,C27&lt;=0.3*Params!$C$10+0.000000001),"Đạt","Không đạt")</f>
        <v>Đạt</v>
      </c>
      <c r="F27" s="29" t="s">
        <v>1154</v>
      </c>
      <c r="G27" s="29"/>
    </row>
    <row r="28" customFormat="false" ht="15" hidden="false" customHeight="true" outlineLevel="0" collapsed="false">
      <c r="A28" s="29" t="s">
        <v>1435</v>
      </c>
      <c r="B28" s="29" t="s">
        <v>1436</v>
      </c>
      <c r="C28" s="26" t="n">
        <f aca="false">GiaDinh_K3!$D$20</f>
        <v>7</v>
      </c>
      <c r="D28" s="26" t="n">
        <f aca="false">'Tính chọn'!$D$88</f>
        <v>5.94</v>
      </c>
      <c r="E28" s="30" t="str">
        <f aca="false">IF(C28&gt;=D28,"Đạt","Không đạt")</f>
        <v>Đạt</v>
      </c>
      <c r="F28" s="29" t="s">
        <v>922</v>
      </c>
      <c r="G28" s="29" t="s">
        <v>1437</v>
      </c>
    </row>
    <row r="29" customFormat="false" ht="15" hidden="false" customHeight="true" outlineLevel="0" collapsed="false">
      <c r="A29" s="29" t="s">
        <v>1438</v>
      </c>
      <c r="B29" s="29" t="s">
        <v>1439</v>
      </c>
      <c r="C29" s="26" t="n">
        <f aca="false">GiaDinh_K3!$D$20</f>
        <v>7</v>
      </c>
      <c r="D29" s="26" t="n">
        <f aca="false">'Tính chọn'!$D$89</f>
        <v>10.1197595596756</v>
      </c>
      <c r="E29" s="30" t="str">
        <f aca="false">IF(C29&lt;=D29,"Đạt","Không đạt")</f>
        <v>Đạt</v>
      </c>
      <c r="F29" s="29" t="s">
        <v>162</v>
      </c>
      <c r="G29" s="29"/>
    </row>
    <row r="30" customFormat="false" ht="28.5" hidden="false" customHeight="true" outlineLevel="0" collapsed="false">
      <c r="A30" s="29" t="s">
        <v>1440</v>
      </c>
      <c r="B30" s="29" t="s">
        <v>1441</v>
      </c>
      <c r="C30" s="26" t="n">
        <f aca="false">GiaDinh_K3!$D$20</f>
        <v>7</v>
      </c>
      <c r="D30" s="26" t="n">
        <f aca="false">'Tính chọn'!$D$90</f>
        <v>1.43654548088065</v>
      </c>
      <c r="E30" s="30" t="str">
        <f aca="false">"Không áp dụng (QĐ-07: vận hành lý tưởng, không dừng khẩn/mất điện)"</f>
        <v>Không áp dụng (QĐ-07: vận hành lý tưởng, không dừng khẩn/mất điện)</v>
      </c>
      <c r="F30" s="29" t="s">
        <v>922</v>
      </c>
      <c r="G30" s="29" t="s">
        <v>1442</v>
      </c>
    </row>
    <row r="31" customFormat="false" ht="15" hidden="false" customHeight="true" outlineLevel="0" collapsed="false">
      <c r="A31" s="29" t="s">
        <v>1443</v>
      </c>
      <c r="B31" s="29" t="s">
        <v>1444</v>
      </c>
      <c r="C31" s="26" t="n">
        <f aca="false">'Tính chọn'!$D$94</f>
        <v>0.25</v>
      </c>
      <c r="D31" s="19" t="n">
        <v>10</v>
      </c>
      <c r="E31" s="30" t="str">
        <f aca="false">IF(C31&lt;=D31,"Đạt","Không đạt")</f>
        <v>Đạt</v>
      </c>
      <c r="F31" s="29" t="s">
        <v>922</v>
      </c>
      <c r="G31" s="29" t="s">
        <v>1445</v>
      </c>
    </row>
    <row r="32" customFormat="false" ht="28.5" hidden="false" customHeight="true" outlineLevel="0" collapsed="false">
      <c r="A32" s="29" t="s">
        <v>108</v>
      </c>
      <c r="B32" s="29" t="s">
        <v>1446</v>
      </c>
      <c r="C32" s="26" t="n">
        <f aca="false">'Tính chọn'!$D$21</f>
        <v>0.0111988713756255</v>
      </c>
      <c r="D32" s="19" t="n">
        <v>0.05</v>
      </c>
      <c r="E32" s="30" t="str">
        <f aca="false">IF(ISBLANK(GiaDinh_K3!$D$39),"TBD (chưa có i_thực)",IF(ABS(C32)&lt;=D32,"Đạt","Không đạt — bù bằng tần số"))</f>
        <v>Đạt</v>
      </c>
      <c r="F32" s="29" t="s">
        <v>198</v>
      </c>
      <c r="G32" s="29"/>
    </row>
    <row r="33" customFormat="false" ht="28.5" hidden="false" customHeight="true" outlineLevel="0" collapsed="false">
      <c r="A33" s="29" t="s">
        <v>1447</v>
      </c>
      <c r="B33" s="29" t="s">
        <v>1448</v>
      </c>
      <c r="C33" s="26" t="n">
        <f aca="false">(Params!$C$21+GiaDinh_K3!$D$8*Params!$C$5*Params!$C$11)*Params!$C$13/2</f>
        <v>1285.788075</v>
      </c>
      <c r="D33" s="26" t="n">
        <f aca="false">GiaDinh_K3!$D$40</f>
        <v>1550</v>
      </c>
      <c r="E33" s="30" t="str">
        <f aca="false">IF(C33&lt;=D33,"Đạt","Không đạt")</f>
        <v>Đạt</v>
      </c>
      <c r="F33" s="29" t="s">
        <v>162</v>
      </c>
      <c r="G33" s="29" t="s">
        <v>79</v>
      </c>
    </row>
    <row r="34" customFormat="false" ht="15" hidden="false" customHeight="true" outlineLevel="0" collapsed="false">
      <c r="A34" s="29" t="s">
        <v>1449</v>
      </c>
      <c r="B34" s="29" t="s">
        <v>1450</v>
      </c>
      <c r="C34" s="31"/>
      <c r="D34" s="31"/>
      <c r="E34" s="30" t="str">
        <f aca="false">"TBD — Report: chưa chạy"</f>
        <v>TBD — Report: chưa chạy</v>
      </c>
      <c r="F34" s="29" t="s">
        <v>1451</v>
      </c>
      <c r="G34" s="29" t="s">
        <v>1452</v>
      </c>
    </row>
    <row r="35" customFormat="false" ht="26.85" hidden="false" customHeight="false" outlineLevel="0" collapsed="false">
      <c r="A35" s="29" t="s">
        <v>1453</v>
      </c>
      <c r="B35" s="29" t="s">
        <v>1454</v>
      </c>
      <c r="C35" s="26" t="n">
        <f aca="false">'Tính chọn'!$D$180</f>
        <v>2096.0046</v>
      </c>
      <c r="D35" s="26" t="n">
        <f aca="false">Params!$C$21</f>
        <v>2096.0046</v>
      </c>
      <c r="E35" s="30" t="str">
        <f aca="false">IF(ABS(C35-D35)&lt;1,"Đạt","Không đạt")</f>
        <v>Đạt</v>
      </c>
      <c r="F35" s="29" t="s">
        <v>1371</v>
      </c>
      <c r="G35" s="29" t="s">
        <v>1455</v>
      </c>
    </row>
    <row r="36" customFormat="false" ht="14.25" hidden="false" customHeight="false" outlineLevel="0" collapsed="false">
      <c r="A36" s="29" t="s">
        <v>1456</v>
      </c>
      <c r="B36" s="29" t="s">
        <v>1457</v>
      </c>
      <c r="C36" s="26" t="n">
        <f aca="false">'Tính chọn'!$D$153/'Tính chọn'!$D$183</f>
        <v>55.6365369707912</v>
      </c>
      <c r="D36" s="19" t="n">
        <v>10</v>
      </c>
      <c r="E36" s="30" t="str">
        <f aca="false">IF(C36&gt;=D36,"Đạt","Không đạt")</f>
        <v>Đạt</v>
      </c>
      <c r="F36" s="29" t="s">
        <v>198</v>
      </c>
      <c r="G36" s="29" t="s">
        <v>1458</v>
      </c>
    </row>
    <row r="37" customFormat="false" ht="26.85" hidden="false" customHeight="false" outlineLevel="0" collapsed="false">
      <c r="A37" s="29" t="s">
        <v>1459</v>
      </c>
      <c r="B37" s="29" t="s">
        <v>1460</v>
      </c>
      <c r="C37" s="26" t="n">
        <f aca="false">'Tính chọn'!$D$189</f>
        <v>1</v>
      </c>
      <c r="D37" s="26" t="n">
        <f aca="false">'Tính chọn'!$D$139</f>
        <v>1.25289159099223</v>
      </c>
      <c r="E37" s="30" t="str">
        <f aca="false">IF(AND(C37&gt;='Tính chọn'!$D$138,C37&lt;=D37),"Đạt","Không đạt")</f>
        <v>Đạt</v>
      </c>
      <c r="F37" s="29" t="s">
        <v>1427</v>
      </c>
      <c r="G37" s="29" t="s">
        <v>1461</v>
      </c>
    </row>
    <row r="38" customFormat="false" ht="14.25" hidden="false" customHeight="false" outlineLevel="0" collapsed="false">
      <c r="A38" s="29" t="s">
        <v>1462</v>
      </c>
      <c r="B38" s="29" t="s">
        <v>1463</v>
      </c>
      <c r="C38" s="26" t="n">
        <f aca="false">'Tính chọn'!$D$202</f>
        <v>2.37676337542472</v>
      </c>
      <c r="D38" s="26" t="n">
        <f aca="false">'Tính chọn'!$D$125</f>
        <v>3.86487311853391</v>
      </c>
      <c r="E38" s="30" t="str">
        <f aca="false">IF(C38&lt;=D38,"Đạt","Không đạt")</f>
        <v>Đạt</v>
      </c>
      <c r="F38" s="29" t="s">
        <v>1464</v>
      </c>
      <c r="G38" s="29" t="s">
        <v>1465</v>
      </c>
    </row>
    <row r="39" customFormat="false" ht="14.25" hidden="false" customHeight="false" outlineLevel="0" collapsed="false">
      <c r="A39" s="29" t="s">
        <v>1466</v>
      </c>
      <c r="B39" s="29" t="s">
        <v>1467</v>
      </c>
      <c r="C39" s="26" t="n">
        <f aca="false">'Tính chọn'!$D$204</f>
        <v>1.94870849197287</v>
      </c>
      <c r="D39" s="26" t="n">
        <f aca="false">'Tính chọn'!$D$72</f>
        <v>3.9</v>
      </c>
      <c r="E39" s="30" t="str">
        <f aca="false">IF(C39&lt;=D39,"Đạt","Không đạt")</f>
        <v>Đạt</v>
      </c>
      <c r="F39" s="29" t="s">
        <v>231</v>
      </c>
      <c r="G39" s="29" t="s">
        <v>86</v>
      </c>
    </row>
    <row r="40" customFormat="false" ht="26.85" hidden="false" customHeight="false" outlineLevel="0" collapsed="false">
      <c r="A40" s="29" t="s">
        <v>132</v>
      </c>
      <c r="B40" s="29" t="s">
        <v>1468</v>
      </c>
      <c r="C40" s="26" t="n">
        <f aca="false">'Tính chọn'!$D$82</f>
        <v>59.4148877007375</v>
      </c>
      <c r="D40" s="26" t="n">
        <f aca="false">'Tính chọn'!$D$209</f>
        <v>15.46072</v>
      </c>
      <c r="E40" s="30" t="str">
        <f aca="false">IF(C40&gt;D40,"Đạt","Không đạt")</f>
        <v>Đạt</v>
      </c>
      <c r="F40" s="29" t="s">
        <v>1399</v>
      </c>
      <c r="G40" s="29" t="s">
        <v>1469</v>
      </c>
    </row>
    <row r="41" customFormat="false" ht="14.25" hidden="false" customHeight="false" outlineLevel="0" collapsed="false">
      <c r="A41" s="29" t="s">
        <v>1470</v>
      </c>
      <c r="B41" s="29" t="s">
        <v>1471</v>
      </c>
      <c r="C41" s="32" t="n">
        <f aca="false">GiaDinh_K3!$D$48</f>
        <v>5E-005</v>
      </c>
      <c r="D41" s="23" t="n">
        <v>0.0001</v>
      </c>
      <c r="E41" s="30" t="str">
        <f aca="false">IF(AND(C41&lt;=D41,ABS('Tính chọn'!$D$212-ROUND('Tính chọn'!$D$212,0))&lt;0.000000001,ABS('Tính chọn'!$D$213-ROUND('Tính chọn'!$D$213,0))&lt;0.000000001),"Đạt","Không đạt")</f>
        <v>Đạt</v>
      </c>
      <c r="F41" s="29" t="s">
        <v>1472</v>
      </c>
      <c r="G41" s="29"/>
    </row>
    <row r="42" customFormat="false" ht="14.25" hidden="false" customHeight="false" outlineLevel="0" collapsed="false">
      <c r="A42" s="29" t="s">
        <v>1473</v>
      </c>
      <c r="B42" s="29" t="s">
        <v>1474</v>
      </c>
      <c r="C42" s="26" t="n">
        <f aca="false">GiaDinh_K3!$D$55</f>
        <v>10</v>
      </c>
      <c r="D42" s="26" t="n">
        <f aca="false">Params!$C$9</f>
        <v>6.94921882872379</v>
      </c>
      <c r="E42" s="30" t="str">
        <f aca="false">IF(C42&gt;=D42,"Đạt","Không đạt")</f>
        <v>Đạt</v>
      </c>
      <c r="F42" s="29" t="s">
        <v>1475</v>
      </c>
      <c r="G42" s="29"/>
    </row>
    <row r="43" customFormat="false" ht="26.85" hidden="false" customHeight="false" outlineLevel="0" collapsed="false">
      <c r="A43" s="8" t="s">
        <v>1476</v>
      </c>
      <c r="B43" s="8" t="s">
        <v>1477</v>
      </c>
      <c r="C43" s="28" t="n">
        <f aca="false">GiaDinh_K3!$D$60</f>
        <v>200</v>
      </c>
      <c r="D43" s="28" t="n">
        <f aca="false">'Tính chọn'!$D$83</f>
        <v>0.198049625669125</v>
      </c>
      <c r="E43" s="13" t="str">
        <f aca="false">IF(C43&gt;=D43,"Đạt","Không đạt")</f>
        <v>Đạt</v>
      </c>
      <c r="F43" s="8" t="s">
        <v>1399</v>
      </c>
      <c r="G43" s="8" t="s">
        <v>1478</v>
      </c>
    </row>
    <row r="44" customFormat="false" ht="14.25" hidden="false" customHeight="false" outlineLevel="0" collapsed="false">
      <c r="A44" s="8" t="s">
        <v>1479</v>
      </c>
      <c r="B44" s="8" t="s">
        <v>1480</v>
      </c>
      <c r="C44" s="28" t="n">
        <f aca="false">'Tính chọn'!$D$25</f>
        <v>1.87402954808807</v>
      </c>
      <c r="D44" s="28" t="n">
        <f aca="false">Catalogue!$F$5</f>
        <v>4.95</v>
      </c>
      <c r="E44" s="13" t="str">
        <f aca="false">IF(C44&lt;=D44,"Đạt","Không đạt")</f>
        <v>Đạt</v>
      </c>
      <c r="F44" s="8" t="s">
        <v>231</v>
      </c>
      <c r="G44" s="8" t="s">
        <v>1481</v>
      </c>
    </row>
    <row r="45" customFormat="false" ht="14.25" hidden="false" customHeight="false" outlineLevel="0" collapsed="false">
      <c r="A45" s="1" t="s">
        <v>1482</v>
      </c>
      <c r="B45" s="1" t="s">
        <v>1483</v>
      </c>
      <c r="C45" s="1" t="n">
        <f aca="false">UocLuong_TS!D67</f>
        <v>0.0198402466311527</v>
      </c>
      <c r="D45" s="1" t="n">
        <v>0.05</v>
      </c>
      <c r="E45" s="1" t="str">
        <f aca="false">IF(C45&lt;=D45,"Đạt","Không đạt")</f>
        <v>Đạt</v>
      </c>
      <c r="F45" s="1" t="s">
        <v>1484</v>
      </c>
      <c r="G45" s="1" t="s">
        <v>1485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4" activeCellId="0" sqref="A24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34"/>
    <col collapsed="false" customWidth="true" hidden="false" outlineLevel="0" max="8" min="7" style="1" width="10"/>
  </cols>
  <sheetData>
    <row r="1" customFormat="false" ht="30" hidden="false" customHeight="true" outlineLevel="0" collapsed="false">
      <c r="A1" s="14" t="s">
        <v>1486</v>
      </c>
      <c r="B1" s="14" t="s">
        <v>1487</v>
      </c>
      <c r="C1" s="14" t="s">
        <v>46</v>
      </c>
      <c r="D1" s="14" t="s">
        <v>47</v>
      </c>
      <c r="E1" s="14" t="s">
        <v>1488</v>
      </c>
      <c r="F1" s="14" t="s">
        <v>1489</v>
      </c>
      <c r="G1" s="14" t="s">
        <v>1490</v>
      </c>
      <c r="H1" s="14" t="s">
        <v>1491</v>
      </c>
    </row>
    <row r="2" customFormat="false" ht="14.25" hidden="false" customHeight="false" outlineLevel="0" collapsed="false">
      <c r="A2" s="18" t="s">
        <v>1492</v>
      </c>
      <c r="B2" s="18" t="s">
        <v>1493</v>
      </c>
      <c r="C2" s="26" t="n">
        <f aca="false">'Tính chọn'!$D$10</f>
        <v>9218.0046</v>
      </c>
      <c r="D2" s="18" t="s">
        <v>100</v>
      </c>
      <c r="E2" s="18" t="s">
        <v>162</v>
      </c>
      <c r="F2" s="18" t="s">
        <v>1494</v>
      </c>
      <c r="G2" s="18" t="s">
        <v>121</v>
      </c>
      <c r="H2" s="18" t="s">
        <v>1495</v>
      </c>
    </row>
    <row r="3" customFormat="false" ht="28.5" hidden="false" customHeight="true" outlineLevel="0" collapsed="false">
      <c r="A3" s="18" t="s">
        <v>1496</v>
      </c>
      <c r="B3" s="18" t="s">
        <v>1497</v>
      </c>
      <c r="C3" s="26" t="n">
        <f aca="false">'Tính chọn'!$D$35</f>
        <v>2.18685011588092</v>
      </c>
      <c r="D3" s="18" t="s">
        <v>69</v>
      </c>
      <c r="E3" s="18" t="s">
        <v>1498</v>
      </c>
      <c r="F3" s="18" t="s">
        <v>1499</v>
      </c>
      <c r="G3" s="18" t="s">
        <v>1500</v>
      </c>
      <c r="H3" s="18" t="s">
        <v>1501</v>
      </c>
    </row>
    <row r="4" customFormat="false" ht="14.25" hidden="false" customHeight="false" outlineLevel="0" collapsed="false">
      <c r="A4" s="18" t="s">
        <v>635</v>
      </c>
      <c r="B4" s="18" t="s">
        <v>1502</v>
      </c>
      <c r="C4" s="26" t="n">
        <f aca="false">'Tính chọn'!$D$20</f>
        <v>155.34</v>
      </c>
      <c r="D4" s="18" t="s">
        <v>69</v>
      </c>
      <c r="E4" s="18" t="s">
        <v>198</v>
      </c>
      <c r="F4" s="18" t="s">
        <v>1503</v>
      </c>
      <c r="G4" s="18" t="s">
        <v>1504</v>
      </c>
      <c r="H4" s="18" t="s">
        <v>1505</v>
      </c>
    </row>
    <row r="5" customFormat="false" ht="14.25" hidden="false" customHeight="false" outlineLevel="0" collapsed="false">
      <c r="A5" s="18" t="s">
        <v>1506</v>
      </c>
      <c r="B5" s="18" t="s">
        <v>1507</v>
      </c>
      <c r="C5" s="26" t="n">
        <f aca="false">Catalogue!$F$4</f>
        <v>0.75</v>
      </c>
      <c r="D5" s="18" t="s">
        <v>493</v>
      </c>
      <c r="E5" s="18" t="s">
        <v>231</v>
      </c>
      <c r="F5" s="18" t="s">
        <v>1508</v>
      </c>
      <c r="G5" s="18" t="s">
        <v>1500</v>
      </c>
      <c r="H5" s="18" t="s">
        <v>1501</v>
      </c>
    </row>
    <row r="6" customFormat="false" ht="14.25" hidden="false" customHeight="false" outlineLevel="0" collapsed="false">
      <c r="A6" s="18" t="s">
        <v>1509</v>
      </c>
      <c r="B6" s="18" t="s">
        <v>1510</v>
      </c>
      <c r="C6" s="26" t="n">
        <f aca="false">Catalogue!$F$21</f>
        <v>2.6</v>
      </c>
      <c r="D6" s="18" t="s">
        <v>121</v>
      </c>
      <c r="E6" s="18" t="s">
        <v>231</v>
      </c>
      <c r="F6" s="18" t="s">
        <v>1511</v>
      </c>
      <c r="G6" s="18" t="s">
        <v>1504</v>
      </c>
      <c r="H6" s="18" t="s">
        <v>1501</v>
      </c>
    </row>
    <row r="7" customFormat="false" ht="14.25" hidden="false" customHeight="false" outlineLevel="0" collapsed="false">
      <c r="A7" s="18" t="s">
        <v>1512</v>
      </c>
      <c r="B7" s="18" t="s">
        <v>1513</v>
      </c>
      <c r="C7" s="26" t="n">
        <f aca="false">GiaDinh_K3!$D$42</f>
        <v>210</v>
      </c>
      <c r="D7" s="18" t="s">
        <v>128</v>
      </c>
      <c r="E7" s="18" t="s">
        <v>1399</v>
      </c>
      <c r="F7" s="18" t="s">
        <v>1514</v>
      </c>
      <c r="G7" s="18" t="s">
        <v>1515</v>
      </c>
      <c r="H7" s="18" t="s">
        <v>1516</v>
      </c>
    </row>
    <row r="8" customFormat="false" ht="14.25" hidden="false" customHeight="false" outlineLevel="0" collapsed="false">
      <c r="A8" s="18" t="s">
        <v>1517</v>
      </c>
      <c r="B8" s="18" t="s">
        <v>1518</v>
      </c>
      <c r="C8" s="26" t="n">
        <f aca="false">'Tính chọn'!$D$75</f>
        <v>436.487797548216</v>
      </c>
      <c r="D8" s="18" t="s">
        <v>106</v>
      </c>
      <c r="E8" s="18" t="s">
        <v>1399</v>
      </c>
      <c r="F8" s="18" t="s">
        <v>1514</v>
      </c>
      <c r="G8" s="18" t="s">
        <v>1515</v>
      </c>
      <c r="H8" s="18" t="s">
        <v>1516</v>
      </c>
    </row>
    <row r="9" customFormat="false" ht="14.25" hidden="false" customHeight="false" outlineLevel="0" collapsed="false">
      <c r="A9" s="18" t="s">
        <v>1519</v>
      </c>
      <c r="B9" s="18" t="s">
        <v>1520</v>
      </c>
      <c r="C9" s="26" t="n">
        <f aca="false">GiaDinh_K3!$D$14</f>
        <v>700</v>
      </c>
      <c r="D9" s="18" t="s">
        <v>300</v>
      </c>
      <c r="E9" s="18" t="s">
        <v>1399</v>
      </c>
      <c r="F9" s="18" t="s">
        <v>306</v>
      </c>
      <c r="G9" s="18" t="s">
        <v>1521</v>
      </c>
      <c r="H9" s="18" t="s">
        <v>1516</v>
      </c>
    </row>
    <row r="10" customFormat="false" ht="28.5" hidden="false" customHeight="true" outlineLevel="0" collapsed="false">
      <c r="A10" s="18" t="s">
        <v>1522</v>
      </c>
      <c r="B10" s="18" t="s">
        <v>1523</v>
      </c>
      <c r="C10" s="26" t="n">
        <f aca="false">GiaDinh_K3!$D$11</f>
        <v>0.45</v>
      </c>
      <c r="D10" s="18" t="s">
        <v>63</v>
      </c>
      <c r="E10" s="18" t="s">
        <v>202</v>
      </c>
      <c r="F10" s="18" t="s">
        <v>1524</v>
      </c>
      <c r="G10" s="18" t="s">
        <v>1515</v>
      </c>
      <c r="H10" s="18" t="s">
        <v>1525</v>
      </c>
    </row>
    <row r="11" customFormat="false" ht="28.5" hidden="false" customHeight="true" outlineLevel="0" collapsed="false">
      <c r="A11" s="18" t="s">
        <v>1526</v>
      </c>
      <c r="B11" s="18" t="s">
        <v>1527</v>
      </c>
      <c r="C11" s="26" t="n">
        <f aca="false">GiaDinh_K3!$D$12</f>
        <v>1.8</v>
      </c>
      <c r="D11" s="18" t="s">
        <v>66</v>
      </c>
      <c r="E11" s="18" t="s">
        <v>202</v>
      </c>
      <c r="F11" s="18" t="s">
        <v>1524</v>
      </c>
      <c r="G11" s="18" t="s">
        <v>1515</v>
      </c>
      <c r="H11" s="18" t="s">
        <v>1525</v>
      </c>
    </row>
    <row r="12" customFormat="false" ht="28.5" hidden="false" customHeight="true" outlineLevel="0" collapsed="false">
      <c r="A12" s="18" t="s">
        <v>1528</v>
      </c>
      <c r="B12" s="18" t="s">
        <v>1529</v>
      </c>
      <c r="C12" s="26" t="n">
        <f aca="false">'Tính chọn'!$D$135</f>
        <v>0.29520716381627</v>
      </c>
      <c r="D12" s="18" t="s">
        <v>1063</v>
      </c>
      <c r="E12" s="18" t="s">
        <v>1530</v>
      </c>
      <c r="F12" s="18" t="s">
        <v>1531</v>
      </c>
      <c r="G12" s="18" t="s">
        <v>1521</v>
      </c>
      <c r="H12" s="18" t="s">
        <v>1505</v>
      </c>
    </row>
    <row r="13" customFormat="false" ht="28.5" hidden="false" customHeight="true" outlineLevel="0" collapsed="false">
      <c r="A13" s="18" t="s">
        <v>1532</v>
      </c>
      <c r="B13" s="18" t="s">
        <v>1533</v>
      </c>
      <c r="C13" s="26" t="n">
        <f aca="false">'Tính chọn'!$D$136</f>
        <v>0.013</v>
      </c>
      <c r="D13" s="18" t="s">
        <v>136</v>
      </c>
      <c r="E13" s="18" t="s">
        <v>1530</v>
      </c>
      <c r="F13" s="18" t="s">
        <v>1531</v>
      </c>
      <c r="G13" s="18" t="s">
        <v>1521</v>
      </c>
      <c r="H13" s="18" t="s">
        <v>1505</v>
      </c>
    </row>
    <row r="14" customFormat="false" ht="28.5" hidden="false" customHeight="true" outlineLevel="0" collapsed="false">
      <c r="A14" s="18" t="s">
        <v>1534</v>
      </c>
      <c r="B14" s="18" t="s">
        <v>1535</v>
      </c>
      <c r="C14" s="26" t="n">
        <f aca="false">GiaDinh_K3!$D$35</f>
        <v>0.05</v>
      </c>
      <c r="D14" s="18" t="s">
        <v>69</v>
      </c>
      <c r="E14" s="18" t="s">
        <v>1536</v>
      </c>
      <c r="F14" s="18" t="s">
        <v>1537</v>
      </c>
      <c r="G14" s="18" t="s">
        <v>1521</v>
      </c>
      <c r="H14" s="18" t="s">
        <v>1505</v>
      </c>
    </row>
    <row r="15" customFormat="false" ht="28.5" hidden="false" customHeight="true" outlineLevel="0" collapsed="false">
      <c r="A15" s="18" t="s">
        <v>1538</v>
      </c>
      <c r="B15" s="18" t="s">
        <v>1539</v>
      </c>
      <c r="C15" s="26" t="n">
        <f aca="false">'Tính chọn'!$D$128</f>
        <v>76.5776091081595</v>
      </c>
      <c r="D15" s="18" t="s">
        <v>1035</v>
      </c>
      <c r="E15" s="18" t="s">
        <v>1540</v>
      </c>
      <c r="F15" s="18" t="s">
        <v>1541</v>
      </c>
      <c r="G15" s="18" t="s">
        <v>1521</v>
      </c>
      <c r="H15" s="18" t="s">
        <v>1542</v>
      </c>
    </row>
    <row r="16" customFormat="false" ht="28.5" hidden="false" customHeight="true" outlineLevel="0" collapsed="false">
      <c r="A16" s="18" t="s">
        <v>1543</v>
      </c>
      <c r="B16" s="18" t="s">
        <v>1544</v>
      </c>
      <c r="C16" s="26" t="n">
        <f aca="false">'Tính chọn'!$D$129</f>
        <v>0.00398181433227569</v>
      </c>
      <c r="D16" s="18" t="s">
        <v>136</v>
      </c>
      <c r="E16" s="18" t="s">
        <v>1540</v>
      </c>
      <c r="F16" s="18" t="s">
        <v>1541</v>
      </c>
      <c r="G16" s="18" t="s">
        <v>1521</v>
      </c>
      <c r="H16" s="18" t="s">
        <v>1542</v>
      </c>
    </row>
    <row r="17" customFormat="false" ht="28.5" hidden="false" customHeight="true" outlineLevel="0" collapsed="false">
      <c r="A17" s="18" t="s">
        <v>894</v>
      </c>
      <c r="B17" s="18" t="s">
        <v>1545</v>
      </c>
      <c r="C17" s="26" t="n">
        <f aca="false">'Tính chọn'!$D$87</f>
        <v>4.95</v>
      </c>
      <c r="D17" s="18" t="s">
        <v>112</v>
      </c>
      <c r="E17" s="18" t="s">
        <v>1546</v>
      </c>
      <c r="F17" s="18" t="s">
        <v>1547</v>
      </c>
      <c r="G17" s="18" t="s">
        <v>1521</v>
      </c>
      <c r="H17" s="18" t="s">
        <v>1548</v>
      </c>
    </row>
    <row r="18" customFormat="false" ht="28.5" hidden="false" customHeight="true" outlineLevel="0" collapsed="false">
      <c r="A18" s="18" t="s">
        <v>1549</v>
      </c>
      <c r="B18" s="18" t="s">
        <v>1550</v>
      </c>
      <c r="C18" s="26" t="n">
        <f aca="false">GiaDinh_K3!$D$31</f>
        <v>0.005</v>
      </c>
      <c r="D18" s="18" t="s">
        <v>60</v>
      </c>
      <c r="E18" s="18" t="s">
        <v>1546</v>
      </c>
      <c r="F18" s="18" t="s">
        <v>1551</v>
      </c>
      <c r="G18" s="18" t="s">
        <v>1521</v>
      </c>
      <c r="H18" s="18" t="s">
        <v>1548</v>
      </c>
    </row>
    <row r="19" customFormat="false" ht="28.5" hidden="false" customHeight="true" outlineLevel="0" collapsed="false">
      <c r="A19" s="18" t="s">
        <v>1552</v>
      </c>
      <c r="B19" s="18" t="s">
        <v>1553</v>
      </c>
      <c r="C19" s="26" t="n">
        <f aca="false">GiaDinh_K3!$D$32</f>
        <v>0.002</v>
      </c>
      <c r="D19" s="18" t="s">
        <v>60</v>
      </c>
      <c r="E19" s="18" t="s">
        <v>1546</v>
      </c>
      <c r="F19" s="18" t="s">
        <v>1551</v>
      </c>
      <c r="G19" s="18" t="s">
        <v>1521</v>
      </c>
      <c r="H19" s="18" t="s">
        <v>1548</v>
      </c>
    </row>
    <row r="20" customFormat="false" ht="28.5" hidden="false" customHeight="true" outlineLevel="0" collapsed="false">
      <c r="A20" s="18" t="s">
        <v>1554</v>
      </c>
      <c r="B20" s="18" t="s">
        <v>1555</v>
      </c>
      <c r="C20" s="26" t="n">
        <f aca="false">'Tính chọn'!$D$172</f>
        <v>0.033</v>
      </c>
      <c r="D20" s="18" t="s">
        <v>60</v>
      </c>
      <c r="E20" s="18" t="s">
        <v>1556</v>
      </c>
      <c r="F20" s="18" t="s">
        <v>1557</v>
      </c>
      <c r="G20" s="18" t="s">
        <v>1521</v>
      </c>
      <c r="H20" s="18" t="s">
        <v>1505</v>
      </c>
    </row>
    <row r="21" customFormat="false" ht="28.5" hidden="false" customHeight="true" outlineLevel="0" collapsed="false">
      <c r="A21" s="18" t="s">
        <v>1558</v>
      </c>
      <c r="B21" s="18" t="s">
        <v>1559</v>
      </c>
      <c r="C21" s="26" t="n">
        <f aca="false">GiaDinh_K3!$D$20</f>
        <v>7</v>
      </c>
      <c r="D21" s="18" t="s">
        <v>112</v>
      </c>
      <c r="E21" s="18" t="s">
        <v>922</v>
      </c>
      <c r="F21" s="18" t="s">
        <v>1560</v>
      </c>
      <c r="G21" s="18" t="s">
        <v>1500</v>
      </c>
      <c r="H21" s="18" t="s">
        <v>1548</v>
      </c>
    </row>
    <row r="22" customFormat="false" ht="26.85" hidden="false" customHeight="false" outlineLevel="0" collapsed="false">
      <c r="A22" s="18" t="s">
        <v>1561</v>
      </c>
      <c r="B22" s="18" t="s">
        <v>1562</v>
      </c>
      <c r="C22" s="26" t="n">
        <f aca="false">'Tính chọn'!$D$196</f>
        <v>0.893219974572181</v>
      </c>
      <c r="D22" s="18" t="s">
        <v>69</v>
      </c>
      <c r="E22" s="18" t="s">
        <v>198</v>
      </c>
      <c r="F22" s="18" t="s">
        <v>1563</v>
      </c>
      <c r="G22" s="18" t="s">
        <v>1521</v>
      </c>
      <c r="H22" s="18" t="s">
        <v>1505</v>
      </c>
    </row>
    <row r="23" customFormat="false" ht="26.85" hidden="false" customHeight="false" outlineLevel="0" collapsed="false">
      <c r="A23" s="18" t="s">
        <v>1564</v>
      </c>
      <c r="B23" s="18" t="s">
        <v>1565</v>
      </c>
      <c r="C23" s="26" t="n">
        <f aca="false">'Tính chọn'!$D$197</f>
        <v>133.202679216041</v>
      </c>
      <c r="D23" s="18" t="s">
        <v>189</v>
      </c>
      <c r="E23" s="18" t="s">
        <v>198</v>
      </c>
      <c r="F23" s="18" t="s">
        <v>1563</v>
      </c>
      <c r="G23" s="18" t="s">
        <v>1521</v>
      </c>
      <c r="H23" s="18" t="s">
        <v>1505</v>
      </c>
    </row>
    <row r="24" customFormat="false" ht="26.85" hidden="false" customHeight="false" outlineLevel="0" collapsed="false">
      <c r="A24" s="18" t="s">
        <v>1566</v>
      </c>
      <c r="B24" s="18" t="s">
        <v>1567</v>
      </c>
      <c r="C24" s="26" t="n">
        <f aca="false">GiaDinh_K3!$D$60</f>
        <v>200</v>
      </c>
      <c r="D24" s="18" t="s">
        <v>106</v>
      </c>
      <c r="E24" s="18" t="s">
        <v>1399</v>
      </c>
      <c r="F24" s="18" t="s">
        <v>1568</v>
      </c>
      <c r="G24" s="18" t="s">
        <v>1569</v>
      </c>
      <c r="H24" s="18" t="s">
        <v>1516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8"/>
    <col collapsed="false" customWidth="true" hidden="false" outlineLevel="0" max="6" min="6" style="1" width="60"/>
    <col collapsed="false" customWidth="true" hidden="false" outlineLevel="0" max="7" min="7" style="1" width="90"/>
  </cols>
  <sheetData>
    <row r="1" customFormat="false" ht="14.25" hidden="false" customHeight="false" outlineLevel="0" collapsed="false">
      <c r="A1" s="14" t="s">
        <v>1570</v>
      </c>
      <c r="B1" s="14" t="s">
        <v>1571</v>
      </c>
      <c r="C1" s="14" t="s">
        <v>46</v>
      </c>
      <c r="D1" s="14" t="s">
        <v>47</v>
      </c>
      <c r="E1" s="14" t="s">
        <v>1572</v>
      </c>
      <c r="F1" s="14" t="s">
        <v>1369</v>
      </c>
      <c r="G1" s="7" t="s">
        <v>1573</v>
      </c>
    </row>
    <row r="2" customFormat="false" ht="14.25" hidden="false" customHeight="false" outlineLevel="0" collapsed="false">
      <c r="A2" s="18" t="s">
        <v>1574</v>
      </c>
      <c r="B2" s="18" t="s">
        <v>1575</v>
      </c>
      <c r="C2" s="26" t="n">
        <f aca="false">Params!$C$5</f>
        <v>14244</v>
      </c>
      <c r="D2" s="18" t="s">
        <v>50</v>
      </c>
      <c r="E2" s="18" t="s">
        <v>1576</v>
      </c>
      <c r="F2" s="18" t="s">
        <v>1577</v>
      </c>
      <c r="G2" s="33" t="str">
        <f aca="false">B2&amp;" = "&amp;C2&amp;";   % "&amp;D2&amp;IF(F2="",""," — "&amp;F2)</f>
        <v>M_full = 14244;   % kg — Chỉ dùng cho tính lực cản F_c</v>
      </c>
    </row>
    <row r="3" customFormat="false" ht="14.25" hidden="false" customHeight="false" outlineLevel="0" collapsed="false">
      <c r="A3" s="18" t="s">
        <v>1574</v>
      </c>
      <c r="B3" s="18" t="s">
        <v>1578</v>
      </c>
      <c r="C3" s="26" t="n">
        <f aca="false">Params!$C$6</f>
        <v>2022</v>
      </c>
      <c r="D3" s="18" t="s">
        <v>50</v>
      </c>
      <c r="E3" s="18" t="s">
        <v>1579</v>
      </c>
      <c r="F3" s="18" t="s">
        <v>1580</v>
      </c>
      <c r="G3" s="33" t="str">
        <f aca="false">B3&amp;" = "&amp;C3&amp;";   % "&amp;D3&amp;IF(F3="",""," — "&amp;F3)</f>
        <v>M_empty = 2022;   % kg — Chỉ dùng cho tính lực cản F_c,0</v>
      </c>
    </row>
    <row r="4" customFormat="false" ht="14.25" hidden="false" customHeight="false" outlineLevel="0" collapsed="false">
      <c r="A4" s="18" t="s">
        <v>1574</v>
      </c>
      <c r="B4" s="18" t="s">
        <v>1581</v>
      </c>
      <c r="C4" s="26" t="n">
        <f aca="false">'Tính chọn'!$D$175</f>
        <v>1800</v>
      </c>
      <c r="D4" s="18" t="s">
        <v>50</v>
      </c>
      <c r="E4" s="18" t="s">
        <v>1582</v>
      </c>
      <c r="F4" s="18" t="s">
        <v>1583</v>
      </c>
      <c r="G4" s="33" t="str">
        <f aca="false">B4&amp;" = "&amp;C4&amp;";   % "&amp;D4&amp;IF(F4="",""," — "&amp;F4)</f>
        <v>m_trolley = 1800;   % kg — Khối lượng cứng của mô hình 2 khối</v>
      </c>
    </row>
    <row r="5" customFormat="false" ht="14.25" hidden="false" customHeight="false" outlineLevel="0" collapsed="false">
      <c r="A5" s="18" t="s">
        <v>1574</v>
      </c>
      <c r="B5" s="18" t="s">
        <v>1584</v>
      </c>
      <c r="C5" s="26" t="n">
        <f aca="false">'Tính chọn'!$D$176</f>
        <v>12444</v>
      </c>
      <c r="D5" s="18" t="s">
        <v>50</v>
      </c>
      <c r="E5" s="18" t="s">
        <v>1582</v>
      </c>
      <c r="F5" s="18" t="s">
        <v>1165</v>
      </c>
      <c r="G5" s="33" t="str">
        <f aca="false">B5&amp;" = "&amp;C5&amp;";   % "&amp;D5&amp;IF(F5="",""," — "&amp;F5)</f>
        <v>m_pend_full = 12444;   % kg — Q + m_nh</v>
      </c>
    </row>
    <row r="6" customFormat="false" ht="14.25" hidden="false" customHeight="false" outlineLevel="0" collapsed="false">
      <c r="A6" s="18" t="s">
        <v>1574</v>
      </c>
      <c r="B6" s="18" t="s">
        <v>1585</v>
      </c>
      <c r="C6" s="26" t="n">
        <f aca="false">'Tính chọn'!$D$177</f>
        <v>222</v>
      </c>
      <c r="D6" s="18" t="s">
        <v>50</v>
      </c>
      <c r="E6" s="18" t="s">
        <v>1582</v>
      </c>
      <c r="F6" s="18" t="s">
        <v>166</v>
      </c>
      <c r="G6" s="33" t="str">
        <f aca="false">B6&amp;" = "&amp;C6&amp;";   % "&amp;D6&amp;IF(F6="",""," — "&amp;F6)</f>
        <v>m_pend_empty = 222;   % kg — m_nh</v>
      </c>
    </row>
    <row r="7" customFormat="false" ht="14.25" hidden="false" customHeight="false" outlineLevel="0" collapsed="false">
      <c r="A7" s="18" t="s">
        <v>1574</v>
      </c>
      <c r="B7" s="18" t="s">
        <v>209</v>
      </c>
      <c r="C7" s="26" t="n">
        <f aca="false">Params!$C$13</f>
        <v>0.25</v>
      </c>
      <c r="D7" s="18" t="s">
        <v>57</v>
      </c>
      <c r="E7" s="18" t="s">
        <v>1586</v>
      </c>
      <c r="F7" s="18"/>
      <c r="G7" s="33" t="str">
        <f aca="false">B7&amp;" = "&amp;C7&amp;";   % "&amp;D7&amp;IF(F7="",""," — "&amp;F7)</f>
        <v>D_bx = 0.25;   % m</v>
      </c>
    </row>
    <row r="8" customFormat="false" ht="14.25" hidden="false" customHeight="false" outlineLevel="0" collapsed="false">
      <c r="A8" s="18" t="s">
        <v>1574</v>
      </c>
      <c r="B8" s="18" t="s">
        <v>1587</v>
      </c>
      <c r="C8" s="26" t="n">
        <f aca="false">Params!$C$14</f>
        <v>0.015</v>
      </c>
      <c r="D8" s="18" t="s">
        <v>69</v>
      </c>
      <c r="E8" s="18" t="s">
        <v>1588</v>
      </c>
      <c r="F8" s="18"/>
      <c r="G8" s="33" t="str">
        <f aca="false">B8&amp;" = "&amp;C8&amp;";   % "&amp;D8&amp;IF(F8="",""," — "&amp;F8)</f>
        <v>w0 = 0.015;   % -</v>
      </c>
    </row>
    <row r="9" customFormat="false" ht="14.25" hidden="false" customHeight="false" outlineLevel="0" collapsed="false">
      <c r="A9" s="18" t="s">
        <v>1574</v>
      </c>
      <c r="B9" s="18" t="s">
        <v>1589</v>
      </c>
      <c r="C9" s="26" t="n">
        <f aca="false">Params!$C$15</f>
        <v>0.2</v>
      </c>
      <c r="D9" s="18" t="s">
        <v>69</v>
      </c>
      <c r="E9" s="18" t="s">
        <v>1590</v>
      </c>
      <c r="F9" s="18"/>
      <c r="G9" s="33" t="str">
        <f aca="false">B9&amp;" = "&amp;C9&amp;";   % "&amp;D9&amp;IF(F9="",""," — "&amp;F9)</f>
        <v>phi = 0.2;   % -</v>
      </c>
    </row>
    <row r="10" customFormat="false" ht="14.25" hidden="false" customHeight="false" outlineLevel="0" collapsed="false">
      <c r="A10" s="18" t="s">
        <v>1574</v>
      </c>
      <c r="B10" s="18" t="s">
        <v>1591</v>
      </c>
      <c r="C10" s="26" t="n">
        <f aca="false">Params!$C$16</f>
        <v>0.9</v>
      </c>
      <c r="D10" s="18" t="s">
        <v>69</v>
      </c>
      <c r="E10" s="18" t="s">
        <v>1592</v>
      </c>
      <c r="F10" s="18"/>
      <c r="G10" s="33" t="str">
        <f aca="false">B10&amp;" = "&amp;C10&amp;";   % "&amp;D10&amp;IF(F10="",""," — "&amp;F10)</f>
        <v>eta = 0.9;   % -</v>
      </c>
    </row>
    <row r="11" customFormat="false" ht="14.25" hidden="false" customHeight="false" outlineLevel="0" collapsed="false">
      <c r="A11" s="18" t="s">
        <v>1574</v>
      </c>
      <c r="B11" s="18" t="s">
        <v>235</v>
      </c>
      <c r="C11" s="26" t="n">
        <f aca="false">Params!$C$19</f>
        <v>9.81</v>
      </c>
      <c r="D11" s="18" t="s">
        <v>63</v>
      </c>
      <c r="E11" s="18" t="s">
        <v>1593</v>
      </c>
      <c r="F11" s="18"/>
      <c r="G11" s="33" t="str">
        <f aca="false">B11&amp;" = "&amp;C11&amp;";   % "&amp;D11&amp;IF(F11="",""," — "&amp;F11)</f>
        <v>g = 9.81;   % m/s²</v>
      </c>
    </row>
    <row r="12" customFormat="false" ht="14.25" hidden="false" customHeight="false" outlineLevel="0" collapsed="false">
      <c r="A12" s="18" t="s">
        <v>1574</v>
      </c>
      <c r="B12" s="18" t="s">
        <v>184</v>
      </c>
      <c r="C12" s="26" t="n">
        <f aca="false">Params!$C$7</f>
        <v>12</v>
      </c>
      <c r="D12" s="18" t="s">
        <v>57</v>
      </c>
      <c r="E12" s="18" t="s">
        <v>1594</v>
      </c>
      <c r="F12" s="18"/>
      <c r="G12" s="33" t="str">
        <f aca="false">B12&amp;" = "&amp;C12&amp;";   % "&amp;D12&amp;IF(F12="",""," — "&amp;F12)</f>
        <v>h = 12;   % m</v>
      </c>
    </row>
    <row r="13" customFormat="false" ht="14.25" hidden="false" customHeight="false" outlineLevel="0" collapsed="false">
      <c r="A13" s="18" t="s">
        <v>1574</v>
      </c>
      <c r="B13" s="18" t="s">
        <v>644</v>
      </c>
      <c r="C13" s="34" t="n">
        <f aca="false">'Tính chọn'!$D$23</f>
        <v>0.000804686494141882</v>
      </c>
      <c r="D13" s="18" t="s">
        <v>647</v>
      </c>
      <c r="E13" s="18" t="s">
        <v>1503</v>
      </c>
      <c r="F13" s="18"/>
      <c r="G13" s="33" t="str">
        <f aca="false">B13&amp;" = "&amp;C13&amp;";   % "&amp;D13&amp;IF(F13="",""," — "&amp;F13)</f>
        <v>k_qd = 0.000804686494141882;   % m/rad</v>
      </c>
    </row>
    <row r="14" customFormat="false" ht="14.25" hidden="false" customHeight="false" outlineLevel="0" collapsed="false">
      <c r="A14" s="18" t="s">
        <v>1574</v>
      </c>
      <c r="B14" s="18" t="s">
        <v>1595</v>
      </c>
      <c r="C14" s="26" t="n">
        <f aca="false">'Tính chọn'!$D$20</f>
        <v>155.34</v>
      </c>
      <c r="D14" s="18" t="s">
        <v>69</v>
      </c>
      <c r="E14" s="18" t="s">
        <v>1503</v>
      </c>
      <c r="F14" s="18" t="s">
        <v>1596</v>
      </c>
      <c r="G14" s="33" t="str">
        <f aca="false">B14&amp;" = "&amp;C14&amp;";   % "&amp;D14&amp;IF(F14="",""," — "&amp;F14)</f>
        <v>i_gear = 155.34;   % - — SEW R87</v>
      </c>
    </row>
    <row r="15" customFormat="false" ht="14.25" hidden="false" customHeight="false" outlineLevel="0" collapsed="false">
      <c r="A15" s="18" t="s">
        <v>1574</v>
      </c>
      <c r="B15" s="18" t="s">
        <v>269</v>
      </c>
      <c r="C15" s="26" t="n">
        <f aca="false">GiaDinh_K3!$D$8</f>
        <v>1.15</v>
      </c>
      <c r="D15" s="18" t="s">
        <v>69</v>
      </c>
      <c r="E15" s="18" t="s">
        <v>1597</v>
      </c>
      <c r="F15" s="18" t="s">
        <v>1598</v>
      </c>
      <c r="G15" s="33" t="str">
        <f aca="false">B15&amp;" = "&amp;C15&amp;";   % "&amp;D15&amp;IF(F15="",""," — "&amp;F15)</f>
        <v>delta = 1.15;   % - — Chỉ cho tính khối cứng (Excel)</v>
      </c>
    </row>
    <row r="16" customFormat="false" ht="14.25" hidden="false" customHeight="false" outlineLevel="0" collapsed="false">
      <c r="A16" s="18" t="s">
        <v>1574</v>
      </c>
      <c r="B16" s="18" t="s">
        <v>1173</v>
      </c>
      <c r="C16" s="34" t="n">
        <f aca="false">'Tính chọn'!$D$178</f>
        <v>0.00138349198804521</v>
      </c>
      <c r="D16" s="18" t="s">
        <v>110</v>
      </c>
      <c r="E16" s="18" t="s">
        <v>1582</v>
      </c>
      <c r="F16" s="18" t="s">
        <v>1599</v>
      </c>
      <c r="G16" s="33" t="str">
        <f aca="false">B16&amp;" = "&amp;C16&amp;";   % "&amp;D16&amp;IF(F16="",""," — "&amp;F16)</f>
        <v>J_gear = 0.00138349198804521;   % kg·m² — (δ−1)·M_Σ·k²</v>
      </c>
    </row>
    <row r="17" customFormat="false" ht="14.25" hidden="false" customHeight="false" outlineLevel="0" collapsed="false">
      <c r="A17" s="18" t="s">
        <v>1574</v>
      </c>
      <c r="B17" s="18" t="s">
        <v>1178</v>
      </c>
      <c r="C17" s="34" t="n">
        <f aca="false">'Tính chọn'!$D$179</f>
        <v>0.00516902862498305</v>
      </c>
      <c r="D17" s="18" t="s">
        <v>110</v>
      </c>
      <c r="E17" s="18" t="s">
        <v>1582</v>
      </c>
      <c r="F17" s="18" t="s">
        <v>1600</v>
      </c>
      <c r="G17" s="33" t="str">
        <f aca="false">B17&amp;" = "&amp;C17&amp;";   % "&amp;D17&amp;IF(F17="",""," — "&amp;F17)</f>
        <v>J_rig = 0.00516902862498305;   % kg·m² — Quán tính cứng trên trục ĐC</v>
      </c>
    </row>
    <row r="18" customFormat="false" ht="14.25" hidden="false" customHeight="false" outlineLevel="0" collapsed="false">
      <c r="A18" s="18" t="s">
        <v>1574</v>
      </c>
      <c r="B18" s="18" t="s">
        <v>421</v>
      </c>
      <c r="C18" s="26" t="n">
        <f aca="false">GiaDinh_K3!$D$45</f>
        <v>0</v>
      </c>
      <c r="D18" s="18" t="s">
        <v>69</v>
      </c>
      <c r="E18" s="18" t="s">
        <v>1597</v>
      </c>
      <c r="F18" s="18"/>
      <c r="G18" s="33" t="str">
        <f aca="false">B18&amp;" = "&amp;C18&amp;";   % "&amp;D18&amp;IF(F18="",""," — "&amp;F18)</f>
        <v>zeta = 0;   % -</v>
      </c>
    </row>
    <row r="19" customFormat="false" ht="14.25" hidden="false" customHeight="false" outlineLevel="0" collapsed="false">
      <c r="A19" s="18" t="s">
        <v>1574</v>
      </c>
      <c r="B19" s="18" t="s">
        <v>469</v>
      </c>
      <c r="C19" s="26" t="n">
        <f aca="false">GiaDinh_K3!$D$58</f>
        <v>0</v>
      </c>
      <c r="D19" s="18" t="s">
        <v>69</v>
      </c>
      <c r="E19" s="18" t="s">
        <v>1597</v>
      </c>
      <c r="F19" s="18" t="s">
        <v>1601</v>
      </c>
      <c r="G19" s="33" t="str">
        <f aca="false">B19&amp;" = "&amp;C19&amp;";   % "&amp;D19&amp;IF(F19="",""," — "&amp;F19)</f>
        <v>mech_model = 0;   % - — 0 = 2 khối lượng; 1 = khối cứng (DV-04 bảo thủ)</v>
      </c>
    </row>
    <row r="20" customFormat="false" ht="14.25" hidden="false" customHeight="false" outlineLevel="0" collapsed="false">
      <c r="A20" s="18" t="s">
        <v>75</v>
      </c>
      <c r="B20" s="18" t="s">
        <v>966</v>
      </c>
      <c r="C20" s="26" t="n">
        <f aca="false">'Tính chọn'!$D$109</f>
        <v>8.386</v>
      </c>
      <c r="D20" s="18" t="s">
        <v>128</v>
      </c>
      <c r="E20" s="18" t="s">
        <v>1602</v>
      </c>
      <c r="F20" s="18"/>
      <c r="G20" s="33" t="str">
        <f aca="false">B20&amp;" = "&amp;C20&amp;";   % "&amp;D20&amp;IF(F20="",""," — "&amp;F20)</f>
        <v>Rs = 8.386;   % Ω</v>
      </c>
    </row>
    <row r="21" customFormat="false" ht="14.25" hidden="false" customHeight="false" outlineLevel="0" collapsed="false">
      <c r="A21" s="18" t="s">
        <v>75</v>
      </c>
      <c r="B21" s="18" t="s">
        <v>950</v>
      </c>
      <c r="C21" s="26" t="n">
        <f aca="false">'Tính chọn'!$D$104</f>
        <v>6.641</v>
      </c>
      <c r="D21" s="18" t="s">
        <v>128</v>
      </c>
      <c r="E21" s="18" t="s">
        <v>1602</v>
      </c>
      <c r="F21" s="18"/>
      <c r="G21" s="33" t="str">
        <f aca="false">B21&amp;" = "&amp;C21&amp;";   % "&amp;D21&amp;IF(F21="",""," — "&amp;F21)</f>
        <v>Rr = 6.641;   % Ω</v>
      </c>
    </row>
    <row r="22" customFormat="false" ht="14.25" hidden="false" customHeight="false" outlineLevel="0" collapsed="false">
      <c r="A22" s="18" t="s">
        <v>75</v>
      </c>
      <c r="B22" s="18" t="s">
        <v>1603</v>
      </c>
      <c r="C22" s="34" t="n">
        <f aca="false">'Tính chọn'!$D$111</f>
        <v>0.0294</v>
      </c>
      <c r="D22" s="18" t="s">
        <v>972</v>
      </c>
      <c r="E22" s="18" t="s">
        <v>1602</v>
      </c>
      <c r="F22" s="18"/>
      <c r="G22" s="33" t="str">
        <f aca="false">B22&amp;" = "&amp;C22&amp;";   % "&amp;D22&amp;IF(F22="",""," — "&amp;F22)</f>
        <v>Lls = 0.0294;   % H</v>
      </c>
    </row>
    <row r="23" customFormat="false" ht="14.25" hidden="false" customHeight="false" outlineLevel="0" collapsed="false">
      <c r="A23" s="18" t="s">
        <v>75</v>
      </c>
      <c r="B23" s="18" t="s">
        <v>1604</v>
      </c>
      <c r="C23" s="34" t="n">
        <f aca="false">'Tính chọn'!$D$112</f>
        <v>0.0294</v>
      </c>
      <c r="D23" s="18" t="s">
        <v>972</v>
      </c>
      <c r="E23" s="18" t="s">
        <v>1602</v>
      </c>
      <c r="F23" s="18"/>
      <c r="G23" s="33" t="str">
        <f aca="false">B23&amp;" = "&amp;C23&amp;";   % "&amp;D23&amp;IF(F23="",""," — "&amp;F23)</f>
        <v>Llr = 0.0294;   % H</v>
      </c>
    </row>
    <row r="24" customFormat="false" ht="14.25" hidden="false" customHeight="false" outlineLevel="0" collapsed="false">
      <c r="A24" s="18" t="s">
        <v>75</v>
      </c>
      <c r="B24" s="18" t="s">
        <v>969</v>
      </c>
      <c r="C24" s="26" t="n">
        <f aca="false">'Tính chọn'!$D$110</f>
        <v>0.603</v>
      </c>
      <c r="D24" s="18" t="s">
        <v>972</v>
      </c>
      <c r="E24" s="18" t="s">
        <v>1602</v>
      </c>
      <c r="F24" s="18"/>
      <c r="G24" s="33" t="str">
        <f aca="false">B24&amp;" = "&amp;C24&amp;";   % "&amp;D24&amp;IF(F24="",""," — "&amp;F24)</f>
        <v>Lm = 0.603;   % H</v>
      </c>
    </row>
    <row r="25" customFormat="false" ht="14.25" hidden="false" customHeight="false" outlineLevel="0" collapsed="false">
      <c r="A25" s="18" t="s">
        <v>75</v>
      </c>
      <c r="B25" s="18" t="s">
        <v>358</v>
      </c>
      <c r="C25" s="26" t="n">
        <f aca="false">GiaDinh_K3!$D$28</f>
        <v>2</v>
      </c>
      <c r="D25" s="18" t="s">
        <v>69</v>
      </c>
      <c r="E25" s="18" t="s">
        <v>1597</v>
      </c>
      <c r="F25" s="18"/>
      <c r="G25" s="33" t="str">
        <f aca="false">B25&amp;" = "&amp;C25&amp;";   % "&amp;D25&amp;IF(F25="",""," — "&amp;F25)</f>
        <v>pp = 2;   % -</v>
      </c>
    </row>
    <row r="26" customFormat="false" ht="14.25" hidden="false" customHeight="false" outlineLevel="0" collapsed="false">
      <c r="A26" s="18" t="s">
        <v>75</v>
      </c>
      <c r="B26" s="18" t="s">
        <v>1605</v>
      </c>
      <c r="C26" s="34" t="n">
        <f aca="false">Catalogue!$F$15</f>
        <v>0.00262</v>
      </c>
      <c r="D26" s="18" t="s">
        <v>110</v>
      </c>
      <c r="E26" s="18" t="s">
        <v>1606</v>
      </c>
      <c r="F26" s="18" t="s">
        <v>1607</v>
      </c>
      <c r="G26" s="33" t="str">
        <f aca="false">B26&amp;" = "&amp;C26&amp;";   % "&amp;D26&amp;IF(F26="",""," — "&amp;F26)</f>
        <v>J_Bmot = 0.00262;   % kg·m² — Rotor kèm phanh</v>
      </c>
    </row>
    <row r="27" customFormat="false" ht="14.25" hidden="false" customHeight="false" outlineLevel="0" collapsed="false">
      <c r="A27" s="18" t="s">
        <v>75</v>
      </c>
      <c r="B27" s="18" t="s">
        <v>1608</v>
      </c>
      <c r="C27" s="26" t="n">
        <f aca="false">'Tính chọn'!$D$122</f>
        <v>0.941720409121602</v>
      </c>
      <c r="D27" s="18" t="s">
        <v>1014</v>
      </c>
      <c r="E27" s="18" t="s">
        <v>1602</v>
      </c>
      <c r="F27" s="18"/>
      <c r="G27" s="33" t="str">
        <f aca="false">B27&amp;" = "&amp;C27&amp;";   % "&amp;D27&amp;IF(F27="",""," — "&amp;F27)</f>
        <v>psi_rN = 0.941720409121602;   % Wb</v>
      </c>
    </row>
    <row r="28" customFormat="false" ht="14.25" hidden="false" customHeight="false" outlineLevel="0" collapsed="false">
      <c r="A28" s="18" t="s">
        <v>75</v>
      </c>
      <c r="B28" s="18" t="s">
        <v>363</v>
      </c>
      <c r="C28" s="26" t="n">
        <f aca="false">GiaDinh_K3!$D$29</f>
        <v>400</v>
      </c>
      <c r="D28" s="18" t="s">
        <v>300</v>
      </c>
      <c r="E28" s="18" t="s">
        <v>1597</v>
      </c>
      <c r="F28" s="18"/>
      <c r="G28" s="33" t="str">
        <f aca="false">B28&amp;" = "&amp;C28&amp;";   % "&amp;D28&amp;IF(F28="",""," — "&amp;F28)</f>
        <v>U_N = 400;   % V</v>
      </c>
    </row>
    <row r="29" customFormat="false" ht="14.25" hidden="false" customHeight="false" outlineLevel="0" collapsed="false">
      <c r="A29" s="18" t="s">
        <v>75</v>
      </c>
      <c r="B29" s="18" t="s">
        <v>1609</v>
      </c>
      <c r="C29" s="26" t="n">
        <f aca="false">GiaDinh_K3!$D$6</f>
        <v>50</v>
      </c>
      <c r="D29" s="18" t="s">
        <v>267</v>
      </c>
      <c r="E29" s="18" t="s">
        <v>1597</v>
      </c>
      <c r="F29" s="18"/>
      <c r="G29" s="33" t="str">
        <f aca="false">B29&amp;" = "&amp;C29&amp;";   % "&amp;D29&amp;IF(F29="",""," — "&amp;F29)</f>
        <v>f_N = 50;   % Hz</v>
      </c>
    </row>
    <row r="30" customFormat="false" ht="14.25" hidden="false" customHeight="false" outlineLevel="0" collapsed="false">
      <c r="A30" s="18" t="s">
        <v>85</v>
      </c>
      <c r="B30" s="18" t="s">
        <v>1610</v>
      </c>
      <c r="C30" s="26" t="n">
        <f aca="false">Params!$C$20</f>
        <v>380</v>
      </c>
      <c r="D30" s="18" t="s">
        <v>300</v>
      </c>
      <c r="E30" s="18" t="s">
        <v>1611</v>
      </c>
      <c r="F30" s="18" t="s">
        <v>1612</v>
      </c>
      <c r="G30" s="33" t="str">
        <f aca="false">B30&amp;" = "&amp;C30&amp;";   % "&amp;D30&amp;IF(F30="",""," — "&amp;F30)</f>
        <v>U_grid = 380;   % V — Chạy thêm U_grid·(1 ± dU_grid)</v>
      </c>
    </row>
    <row r="31" customFormat="false" ht="14.25" hidden="false" customHeight="false" outlineLevel="0" collapsed="false">
      <c r="A31" s="18" t="s">
        <v>85</v>
      </c>
      <c r="B31" s="18" t="s">
        <v>1613</v>
      </c>
      <c r="C31" s="26" t="n">
        <f aca="false">GiaDinh_K3!$D$5</f>
        <v>0.1</v>
      </c>
      <c r="D31" s="18" t="s">
        <v>69</v>
      </c>
      <c r="E31" s="18" t="s">
        <v>1597</v>
      </c>
      <c r="F31" s="18"/>
      <c r="G31" s="33" t="str">
        <f aca="false">B31&amp;" = "&amp;C31&amp;";   % "&amp;D31&amp;IF(F31="",""," — "&amp;F31)</f>
        <v>dU_grid = 0.1;   % -</v>
      </c>
    </row>
    <row r="32" customFormat="false" ht="14.25" hidden="false" customHeight="false" outlineLevel="0" collapsed="false">
      <c r="A32" s="18" t="s">
        <v>85</v>
      </c>
      <c r="B32" s="18" t="s">
        <v>333</v>
      </c>
      <c r="C32" s="26" t="n">
        <f aca="false">GiaDinh_K3!$D$22</f>
        <v>4000</v>
      </c>
      <c r="D32" s="18" t="s">
        <v>267</v>
      </c>
      <c r="E32" s="18" t="s">
        <v>1597</v>
      </c>
      <c r="F32" s="18" t="s">
        <v>1614</v>
      </c>
      <c r="G32" s="33" t="str">
        <f aca="false">B32&amp;" = "&amp;C32&amp;";   % "&amp;D32&amp;IF(F32="",""," — "&amp;F32)</f>
        <v>f_sw = 4000;   % Hz — Chỉ để tính Ts_I (mô hình trung bình)</v>
      </c>
    </row>
    <row r="33" customFormat="false" ht="14.25" hidden="false" customHeight="false" outlineLevel="0" collapsed="false">
      <c r="A33" s="18" t="s">
        <v>85</v>
      </c>
      <c r="B33" s="18" t="s">
        <v>418</v>
      </c>
      <c r="C33" s="26" t="n">
        <f aca="false">GiaDinh_K3!$D$44</f>
        <v>0.95</v>
      </c>
      <c r="D33" s="18" t="s">
        <v>69</v>
      </c>
      <c r="E33" s="18" t="s">
        <v>1597</v>
      </c>
      <c r="F33" s="18" t="s">
        <v>1615</v>
      </c>
      <c r="G33" s="33" t="str">
        <f aca="false">B33&amp;" = "&amp;C33&amp;";   % "&amp;D33&amp;IF(F33="",""," — "&amp;F33)</f>
        <v>k_u = 0.95;   % - — |u_s| ≤ k_u·U_dc/√3 (biên độ pha)</v>
      </c>
    </row>
    <row r="34" customFormat="false" ht="14.25" hidden="false" customHeight="false" outlineLevel="0" collapsed="false">
      <c r="A34" s="18" t="s">
        <v>85</v>
      </c>
      <c r="B34" s="18" t="s">
        <v>425</v>
      </c>
      <c r="C34" s="34" t="n">
        <f aca="false">GiaDinh_K3!$D$46</f>
        <v>0.00022</v>
      </c>
      <c r="D34" s="18" t="s">
        <v>427</v>
      </c>
      <c r="E34" s="18" t="s">
        <v>1597</v>
      </c>
      <c r="F34" s="18" t="s">
        <v>1616</v>
      </c>
      <c r="G34" s="33" t="str">
        <f aca="false">B34&amp;" = "&amp;C34&amp;";   % "&amp;D34&amp;IF(F34="",""," — "&amp;F34)</f>
        <v>C_dc = 0.00022;   % F — Chưa xác minh</v>
      </c>
    </row>
    <row r="35" customFormat="false" ht="14.25" hidden="false" customHeight="false" outlineLevel="0" collapsed="false">
      <c r="A35" s="18" t="s">
        <v>85</v>
      </c>
      <c r="B35" s="18" t="s">
        <v>1287</v>
      </c>
      <c r="C35" s="26" t="n">
        <f aca="false">'Tính chọn'!$D$208</f>
        <v>13.4212426127271</v>
      </c>
      <c r="D35" s="18" t="s">
        <v>128</v>
      </c>
      <c r="E35" s="18" t="s">
        <v>1617</v>
      </c>
      <c r="F35" s="18"/>
      <c r="G35" s="33" t="str">
        <f aca="false">B35&amp;" = "&amp;C35&amp;";   % "&amp;D35&amp;IF(F35="",""," — "&amp;F35)</f>
        <v>R_src = 13.4212426127271;   % Ω</v>
      </c>
    </row>
    <row r="36" customFormat="false" ht="14.25" hidden="false" customHeight="false" outlineLevel="0" collapsed="false">
      <c r="A36" s="18" t="s">
        <v>85</v>
      </c>
      <c r="B36" s="18" t="s">
        <v>1618</v>
      </c>
      <c r="C36" s="26" t="n">
        <f aca="false">GiaDinh_K3!$D$14</f>
        <v>700</v>
      </c>
      <c r="D36" s="18" t="s">
        <v>300</v>
      </c>
      <c r="E36" s="18" t="s">
        <v>1597</v>
      </c>
      <c r="F36" s="18"/>
      <c r="G36" s="33" t="str">
        <f aca="false">B36&amp;" = "&amp;C36&amp;";   % "&amp;D36&amp;IF(F36="",""," — "&amp;F36)</f>
        <v>Udc_chop_on = 700;   % V</v>
      </c>
    </row>
    <row r="37" customFormat="false" ht="14.25" hidden="false" customHeight="false" outlineLevel="0" collapsed="false">
      <c r="A37" s="18" t="s">
        <v>85</v>
      </c>
      <c r="B37" s="18" t="s">
        <v>1619</v>
      </c>
      <c r="C37" s="26" t="n">
        <f aca="false">'Tính chọn'!$D$211</f>
        <v>680</v>
      </c>
      <c r="D37" s="18" t="s">
        <v>300</v>
      </c>
      <c r="E37" s="18" t="s">
        <v>1617</v>
      </c>
      <c r="F37" s="18"/>
      <c r="G37" s="33" t="str">
        <f aca="false">B37&amp;" = "&amp;C37&amp;";   % "&amp;D37&amp;IF(F37="",""," — "&amp;F37)</f>
        <v>Udc_chop_off = 680;   % V</v>
      </c>
    </row>
    <row r="38" customFormat="false" ht="14.25" hidden="false" customHeight="false" outlineLevel="0" collapsed="false">
      <c r="A38" s="18" t="s">
        <v>85</v>
      </c>
      <c r="B38" s="18" t="s">
        <v>1620</v>
      </c>
      <c r="C38" s="26" t="n">
        <f aca="false">GiaDinh_K3!$D$15</f>
        <v>780</v>
      </c>
      <c r="D38" s="18" t="s">
        <v>300</v>
      </c>
      <c r="E38" s="18" t="s">
        <v>1597</v>
      </c>
      <c r="F38" s="18"/>
      <c r="G38" s="33" t="str">
        <f aca="false">B38&amp;" = "&amp;C38&amp;";   % "&amp;D38&amp;IF(F38="",""," — "&amp;F38)</f>
        <v>Udc_max = 780;   % V</v>
      </c>
    </row>
    <row r="39" customFormat="false" ht="14.25" hidden="false" customHeight="false" outlineLevel="0" collapsed="false">
      <c r="A39" s="18" t="s">
        <v>85</v>
      </c>
      <c r="B39" s="18" t="s">
        <v>1621</v>
      </c>
      <c r="C39" s="26" t="n">
        <f aca="false">GiaDinh_K3!$D$16</f>
        <v>800</v>
      </c>
      <c r="D39" s="18" t="s">
        <v>300</v>
      </c>
      <c r="E39" s="18" t="s">
        <v>1597</v>
      </c>
      <c r="F39" s="18"/>
      <c r="G39" s="33" t="str">
        <f aca="false">B39&amp;" = "&amp;C39&amp;";   % "&amp;D39&amp;IF(F39="",""," — "&amp;F39)</f>
        <v>Udc_trip = 800;   % V</v>
      </c>
    </row>
    <row r="40" customFormat="false" ht="14.25" hidden="false" customHeight="false" outlineLevel="0" collapsed="false">
      <c r="A40" s="18" t="s">
        <v>85</v>
      </c>
      <c r="B40" s="18" t="s">
        <v>1622</v>
      </c>
      <c r="C40" s="26" t="n">
        <f aca="false">GiaDinh_K3!$D$42</f>
        <v>210</v>
      </c>
      <c r="D40" s="18" t="s">
        <v>128</v>
      </c>
      <c r="E40" s="18" t="s">
        <v>1597</v>
      </c>
      <c r="F40" s="18"/>
      <c r="G40" s="33" t="str">
        <f aca="false">B40&amp;" = "&amp;C40&amp;";   % "&amp;D40&amp;IF(F40="",""," — "&amp;F40)</f>
        <v>Rh = 210;   % Ω</v>
      </c>
    </row>
    <row r="41" customFormat="false" ht="14.25" hidden="false" customHeight="false" outlineLevel="0" collapsed="false">
      <c r="A41" s="18" t="s">
        <v>1623</v>
      </c>
      <c r="B41" s="18" t="s">
        <v>1624</v>
      </c>
      <c r="C41" s="26" t="n">
        <f aca="false">'Tính chọn'!$D$197</f>
        <v>133.202679216041</v>
      </c>
      <c r="D41" s="18" t="s">
        <v>189</v>
      </c>
      <c r="E41" s="18" t="s">
        <v>1563</v>
      </c>
      <c r="F41" s="18" t="s">
        <v>1625</v>
      </c>
      <c r="G41" s="33" t="str">
        <f aca="false">B41&amp;" = "&amp;C41&amp;";   % "&amp;D41&amp;IF(F41="",""," — "&amp;F41)</f>
        <v>w_fw = 133.202679216041;   % rad/s — Lưới danh định (tham khảo; mô phỏng tính trực tuyến)</v>
      </c>
    </row>
    <row r="42" customFormat="false" ht="14.25" hidden="false" customHeight="false" outlineLevel="0" collapsed="false">
      <c r="A42" s="18" t="s">
        <v>1626</v>
      </c>
      <c r="B42" s="18" t="s">
        <v>284</v>
      </c>
      <c r="C42" s="26" t="n">
        <f aca="false">GiaDinh_K3!$D$11</f>
        <v>0.45</v>
      </c>
      <c r="D42" s="18" t="s">
        <v>63</v>
      </c>
      <c r="E42" s="18" t="s">
        <v>1597</v>
      </c>
      <c r="F42" s="18"/>
      <c r="G42" s="33" t="str">
        <f aca="false">B42&amp;" = "&amp;C42&amp;";   % "&amp;D42&amp;IF(F42="",""," — "&amp;F42)</f>
        <v>a_set = 0.45;   % m/s²</v>
      </c>
    </row>
    <row r="43" customFormat="false" ht="14.25" hidden="false" customHeight="false" outlineLevel="0" collapsed="false">
      <c r="A43" s="18" t="s">
        <v>1626</v>
      </c>
      <c r="B43" s="18" t="s">
        <v>289</v>
      </c>
      <c r="C43" s="26" t="n">
        <f aca="false">GiaDinh_K3!$D$12</f>
        <v>1.8</v>
      </c>
      <c r="D43" s="18" t="s">
        <v>66</v>
      </c>
      <c r="E43" s="18" t="s">
        <v>1597</v>
      </c>
      <c r="F43" s="18"/>
      <c r="G43" s="33" t="str">
        <f aca="false">B43&amp;" = "&amp;C43&amp;";   % "&amp;D43&amp;IF(F43="",""," — "&amp;F43)</f>
        <v>rho_set = 1.8;   % m/s³</v>
      </c>
    </row>
    <row r="44" customFormat="false" ht="14.25" hidden="false" customHeight="false" outlineLevel="0" collapsed="false">
      <c r="A44" s="18" t="s">
        <v>1626</v>
      </c>
      <c r="B44" s="18" t="s">
        <v>197</v>
      </c>
      <c r="C44" s="26" t="n">
        <f aca="false">Params!$C$10</f>
        <v>0.12</v>
      </c>
      <c r="D44" s="18" t="s">
        <v>60</v>
      </c>
      <c r="E44" s="18" t="s">
        <v>1627</v>
      </c>
      <c r="F44" s="18"/>
      <c r="G44" s="33" t="str">
        <f aca="false">B44&amp;" = "&amp;C44&amp;";   % "&amp;D44&amp;IF(F44="",""," — "&amp;F44)</f>
        <v>v_max = 0.12;   % m/s</v>
      </c>
    </row>
    <row r="45" customFormat="false" ht="14.25" hidden="false" customHeight="false" outlineLevel="0" collapsed="false">
      <c r="A45" s="18" t="s">
        <v>1626</v>
      </c>
      <c r="B45" s="18" t="s">
        <v>1151</v>
      </c>
      <c r="C45" s="26" t="n">
        <f aca="false">'Tính chọn'!$D$172</f>
        <v>0.033</v>
      </c>
      <c r="D45" s="18" t="s">
        <v>60</v>
      </c>
      <c r="E45" s="18" t="s">
        <v>1557</v>
      </c>
      <c r="F45" s="18"/>
      <c r="G45" s="33" t="str">
        <f aca="false">B45&amp;" = "&amp;C45&amp;";   % "&amp;D45&amp;IF(F45="",""," — "&amp;F45)</f>
        <v>v_creep = 0.033;   % m/s</v>
      </c>
    </row>
    <row r="46" customFormat="false" ht="14.25" hidden="false" customHeight="false" outlineLevel="0" collapsed="false">
      <c r="A46" s="18" t="s">
        <v>1628</v>
      </c>
      <c r="B46" s="18" t="s">
        <v>1629</v>
      </c>
      <c r="C46" s="26" t="n">
        <f aca="false">'Tính chọn'!$D$128</f>
        <v>76.5776091081595</v>
      </c>
      <c r="D46" s="18" t="s">
        <v>1035</v>
      </c>
      <c r="E46" s="18" t="s">
        <v>1541</v>
      </c>
      <c r="F46" s="18"/>
      <c r="G46" s="33" t="str">
        <f aca="false">B46&amp;" = "&amp;C46&amp;";   % "&amp;D46&amp;IF(F46="",""," — "&amp;F46)</f>
        <v>Kp_i = 76.5776091081595;   % V/A</v>
      </c>
    </row>
    <row r="47" customFormat="false" ht="14.25" hidden="false" customHeight="false" outlineLevel="0" collapsed="false">
      <c r="A47" s="18" t="s">
        <v>1628</v>
      </c>
      <c r="B47" s="18" t="s">
        <v>1630</v>
      </c>
      <c r="C47" s="34" t="n">
        <f aca="false">'Tính chọn'!$D$129</f>
        <v>0.00398181433227569</v>
      </c>
      <c r="D47" s="18" t="s">
        <v>136</v>
      </c>
      <c r="E47" s="18" t="s">
        <v>1541</v>
      </c>
      <c r="F47" s="18"/>
      <c r="G47" s="33" t="str">
        <f aca="false">B47&amp;" = "&amp;C47&amp;";   % "&amp;D47&amp;IF(F47="",""," — "&amp;F47)</f>
        <v>Ti_i = 0.00398181433227569;   % s</v>
      </c>
    </row>
    <row r="48" customFormat="false" ht="14.25" hidden="false" customHeight="false" outlineLevel="0" collapsed="false">
      <c r="A48" s="18" t="s">
        <v>1628</v>
      </c>
      <c r="B48" s="18" t="s">
        <v>1631</v>
      </c>
      <c r="C48" s="26" t="n">
        <f aca="false">'Tính chọn'!$D$135</f>
        <v>0.29520716381627</v>
      </c>
      <c r="D48" s="18" t="s">
        <v>1063</v>
      </c>
      <c r="E48" s="18" t="s">
        <v>1531</v>
      </c>
      <c r="F48" s="18"/>
      <c r="G48" s="33" t="str">
        <f aca="false">B48&amp;" = "&amp;C48&amp;";   % "&amp;D48&amp;IF(F48="",""," — "&amp;F48)</f>
        <v>Kp_w = 0.29520716381627;   % A·s/rad</v>
      </c>
    </row>
    <row r="49" customFormat="false" ht="14.25" hidden="false" customHeight="false" outlineLevel="0" collapsed="false">
      <c r="A49" s="18" t="s">
        <v>1628</v>
      </c>
      <c r="B49" s="18" t="s">
        <v>1632</v>
      </c>
      <c r="C49" s="26" t="n">
        <f aca="false">'Tính chọn'!$D$136</f>
        <v>0.013</v>
      </c>
      <c r="D49" s="18" t="s">
        <v>136</v>
      </c>
      <c r="E49" s="18" t="s">
        <v>1531</v>
      </c>
      <c r="F49" s="18"/>
      <c r="G49" s="33" t="str">
        <f aca="false">B49&amp;" = "&amp;C49&amp;";   % "&amp;D49&amp;IF(F49="",""," — "&amp;F49)</f>
        <v>Ti_w = 0.013;   % s</v>
      </c>
    </row>
    <row r="50" customFormat="false" ht="14.25" hidden="false" customHeight="false" outlineLevel="0" collapsed="false">
      <c r="A50" s="18" t="s">
        <v>1628</v>
      </c>
      <c r="B50" s="18" t="s">
        <v>1071</v>
      </c>
      <c r="C50" s="26" t="n">
        <f aca="false">'Tính chọn'!$D$137</f>
        <v>0.013</v>
      </c>
      <c r="D50" s="18" t="s">
        <v>136</v>
      </c>
      <c r="E50" s="18" t="s">
        <v>1531</v>
      </c>
      <c r="F50" s="18"/>
      <c r="G50" s="33" t="str">
        <f aca="false">B50&amp;" = "&amp;C50&amp;";   % "&amp;D50&amp;IF(F50="",""," — "&amp;F50)</f>
        <v>T_pre = 0.013;   % s</v>
      </c>
    </row>
    <row r="51" customFormat="false" ht="14.25" hidden="false" customHeight="false" outlineLevel="0" collapsed="false">
      <c r="A51" s="18" t="s">
        <v>1628</v>
      </c>
      <c r="B51" s="18" t="s">
        <v>1633</v>
      </c>
      <c r="C51" s="26" t="n">
        <f aca="false">'Tính chọn'!$D$125</f>
        <v>3.86487311853391</v>
      </c>
      <c r="D51" s="18" t="s">
        <v>121</v>
      </c>
      <c r="E51" s="18" t="s">
        <v>1602</v>
      </c>
      <c r="F51" s="18"/>
      <c r="G51" s="33" t="str">
        <f aca="false">B51&amp;" = "&amp;C51&amp;";   % "&amp;D51&amp;IF(F51="",""," — "&amp;F51)</f>
        <v>isq_lim = 3.86487311853391;   % A</v>
      </c>
    </row>
    <row r="52" customFormat="false" ht="14.25" hidden="false" customHeight="false" outlineLevel="0" collapsed="false">
      <c r="A52" s="18" t="s">
        <v>1634</v>
      </c>
      <c r="B52" s="18" t="s">
        <v>371</v>
      </c>
      <c r="C52" s="26" t="n">
        <f aca="false">GiaDinh_K3!$D$31</f>
        <v>0.005</v>
      </c>
      <c r="D52" s="18" t="s">
        <v>60</v>
      </c>
      <c r="E52" s="18" t="s">
        <v>1597</v>
      </c>
      <c r="F52" s="18"/>
      <c r="G52" s="33" t="str">
        <f aca="false">B52&amp;" = "&amp;C52&amp;";   % "&amp;D52&amp;IF(F52="",""," — "&amp;F52)</f>
        <v>v_stop = 0.005;   % m/s</v>
      </c>
    </row>
    <row r="53" customFormat="false" ht="14.25" hidden="false" customHeight="false" outlineLevel="0" collapsed="false">
      <c r="A53" s="18" t="s">
        <v>1634</v>
      </c>
      <c r="B53" s="18" t="s">
        <v>375</v>
      </c>
      <c r="C53" s="26" t="n">
        <f aca="false">GiaDinh_K3!$D$32</f>
        <v>0.002</v>
      </c>
      <c r="D53" s="18" t="s">
        <v>60</v>
      </c>
      <c r="E53" s="18" t="s">
        <v>1597</v>
      </c>
      <c r="F53" s="18"/>
      <c r="G53" s="33" t="str">
        <f aca="false">B53&amp;" = "&amp;C53&amp;";   % "&amp;D53&amp;IF(F53="",""," — "&amp;F53)</f>
        <v>v_rev = 0.002;   % m/s</v>
      </c>
    </row>
    <row r="54" customFormat="false" ht="14.25" hidden="false" customHeight="false" outlineLevel="0" collapsed="false">
      <c r="A54" s="18" t="s">
        <v>1634</v>
      </c>
      <c r="B54" s="18" t="s">
        <v>892</v>
      </c>
      <c r="C54" s="26" t="n">
        <f aca="false">'Tính chọn'!$D$87</f>
        <v>4.95</v>
      </c>
      <c r="D54" s="18" t="s">
        <v>112</v>
      </c>
      <c r="E54" s="18" t="s">
        <v>1560</v>
      </c>
      <c r="F54" s="18"/>
      <c r="G54" s="33" t="str">
        <f aca="false">B54&amp;" = "&amp;C54&amp;";   % "&amp;D54&amp;IF(F54="",""," — "&amp;F54)</f>
        <v>M_hold = 4.95;   % N·m</v>
      </c>
    </row>
    <row r="55" customFormat="false" ht="14.25" hidden="false" customHeight="false" outlineLevel="0" collapsed="false">
      <c r="A55" s="18" t="s">
        <v>1634</v>
      </c>
      <c r="B55" s="18" t="s">
        <v>446</v>
      </c>
      <c r="C55" s="26" t="n">
        <f aca="false">GiaDinh_K3!$D$51</f>
        <v>0.2</v>
      </c>
      <c r="D55" s="18" t="s">
        <v>136</v>
      </c>
      <c r="E55" s="18" t="s">
        <v>1597</v>
      </c>
      <c r="F55" s="18"/>
      <c r="G55" s="33" t="str">
        <f aca="false">B55&amp;" = "&amp;C55&amp;";   % "&amp;D55&amp;IF(F55="",""," — "&amp;F55)</f>
        <v>t_test = 0.2;   % s</v>
      </c>
    </row>
    <row r="56" customFormat="false" ht="14.25" hidden="false" customHeight="false" outlineLevel="0" collapsed="false">
      <c r="A56" s="18" t="s">
        <v>1634</v>
      </c>
      <c r="B56" s="18" t="s">
        <v>442</v>
      </c>
      <c r="C56" s="26" t="n">
        <f aca="false">GiaDinh_K3!$D$50</f>
        <v>0.5</v>
      </c>
      <c r="D56" s="18" t="s">
        <v>136</v>
      </c>
      <c r="E56" s="18" t="s">
        <v>1597</v>
      </c>
      <c r="F56" s="18"/>
      <c r="G56" s="33" t="str">
        <f aca="false">B56&amp;" = "&amp;C56&amp;";   % "&amp;D56&amp;IF(F56="",""," — "&amp;F56)</f>
        <v>t_mag = 0.5;   % s</v>
      </c>
    </row>
    <row r="57" customFormat="false" ht="14.25" hidden="false" customHeight="false" outlineLevel="0" collapsed="false">
      <c r="A57" s="18" t="s">
        <v>1634</v>
      </c>
      <c r="B57" s="18" t="s">
        <v>449</v>
      </c>
      <c r="C57" s="26" t="n">
        <f aca="false">GiaDinh_K3!$D$52</f>
        <v>0.1</v>
      </c>
      <c r="D57" s="18" t="s">
        <v>136</v>
      </c>
      <c r="E57" s="18" t="s">
        <v>1597</v>
      </c>
      <c r="F57" s="18"/>
      <c r="G57" s="33" t="str">
        <f aca="false">B57&amp;" = "&amp;C57&amp;";   % "&amp;D57&amp;IF(F57="",""," — "&amp;F57)</f>
        <v>t_open = 0.1;   % s</v>
      </c>
    </row>
    <row r="58" customFormat="false" ht="14.25" hidden="false" customHeight="false" outlineLevel="0" collapsed="false">
      <c r="A58" s="18" t="s">
        <v>1634</v>
      </c>
      <c r="B58" s="18" t="s">
        <v>329</v>
      </c>
      <c r="C58" s="26" t="n">
        <f aca="false">GiaDinh_K3!$D$21</f>
        <v>0.05</v>
      </c>
      <c r="D58" s="18" t="s">
        <v>136</v>
      </c>
      <c r="E58" s="18" t="s">
        <v>1597</v>
      </c>
      <c r="F58" s="18"/>
      <c r="G58" s="33" t="str">
        <f aca="false">B58&amp;" = "&amp;C58&amp;";   % "&amp;D58&amp;IF(F58="",""," — "&amp;F58)</f>
        <v>t_close = 0.05;   % s</v>
      </c>
    </row>
    <row r="59" customFormat="false" ht="14.25" hidden="false" customHeight="false" outlineLevel="0" collapsed="false">
      <c r="A59" s="18" t="s">
        <v>1634</v>
      </c>
      <c r="B59" s="18" t="s">
        <v>452</v>
      </c>
      <c r="C59" s="26" t="n">
        <f aca="false">GiaDinh_K3!$D$53</f>
        <v>0.05</v>
      </c>
      <c r="D59" s="18" t="s">
        <v>136</v>
      </c>
      <c r="E59" s="18" t="s">
        <v>1597</v>
      </c>
      <c r="F59" s="18"/>
      <c r="G59" s="33" t="str">
        <f aca="false">B59&amp;" = "&amp;C59&amp;";   % "&amp;D59&amp;IF(F59="",""," — "&amp;F59)</f>
        <v>t_hx = 0.05;   % s</v>
      </c>
    </row>
    <row r="60" customFormat="false" ht="14.25" hidden="false" customHeight="false" outlineLevel="0" collapsed="false">
      <c r="A60" s="18" t="s">
        <v>1634</v>
      </c>
      <c r="B60" s="18" t="s">
        <v>326</v>
      </c>
      <c r="C60" s="26" t="n">
        <f aca="false">GiaDinh_K3!$D$20</f>
        <v>7</v>
      </c>
      <c r="D60" s="18" t="s">
        <v>112</v>
      </c>
      <c r="E60" s="18" t="s">
        <v>1597</v>
      </c>
      <c r="F60" s="18"/>
      <c r="G60" s="33" t="str">
        <f aca="false">B60&amp;" = "&amp;C60&amp;";   % "&amp;D60&amp;IF(F60="",""," — "&amp;F60)</f>
        <v>M_B = 7;   % N·m</v>
      </c>
    </row>
    <row r="61" customFormat="false" ht="14.25" hidden="false" customHeight="false" outlineLevel="0" collapsed="false">
      <c r="A61" s="18" t="s">
        <v>1635</v>
      </c>
      <c r="B61" s="18" t="s">
        <v>433</v>
      </c>
      <c r="C61" s="34" t="n">
        <f aca="false">GiaDinh_K3!$D$48</f>
        <v>5E-005</v>
      </c>
      <c r="D61" s="18" t="s">
        <v>136</v>
      </c>
      <c r="E61" s="18" t="s">
        <v>1597</v>
      </c>
      <c r="F61" s="18"/>
      <c r="G61" s="33" t="str">
        <f aca="false">B61&amp;" = "&amp;C61&amp;";   % "&amp;D61&amp;IF(F61="",""," — "&amp;F61)</f>
        <v>Ts_sim = 0.00005;   % s</v>
      </c>
    </row>
    <row r="62" customFormat="false" ht="14.25" hidden="false" customHeight="false" outlineLevel="0" collapsed="false">
      <c r="A62" s="18" t="s">
        <v>1635</v>
      </c>
      <c r="B62" s="18" t="s">
        <v>1636</v>
      </c>
      <c r="C62" s="34" t="n">
        <f aca="false">1/GiaDinh_K3!$D$22</f>
        <v>0.00025</v>
      </c>
      <c r="D62" s="18" t="s">
        <v>136</v>
      </c>
      <c r="E62" s="18" t="s">
        <v>1597</v>
      </c>
      <c r="F62" s="18" t="s">
        <v>1637</v>
      </c>
      <c r="G62" s="33" t="str">
        <f aca="false">B62&amp;" = "&amp;C62&amp;";   % "&amp;D62&amp;IF(F62="",""," — "&amp;F62)</f>
        <v>Ts_I = 0.00025;   % s — 1/f_sw</v>
      </c>
    </row>
    <row r="63" customFormat="false" ht="14.25" hidden="false" customHeight="false" outlineLevel="0" collapsed="false">
      <c r="A63" s="18" t="s">
        <v>1635</v>
      </c>
      <c r="B63" s="18" t="s">
        <v>346</v>
      </c>
      <c r="C63" s="26" t="n">
        <f aca="false">GiaDinh_K3!$D$25</f>
        <v>0.001</v>
      </c>
      <c r="D63" s="18" t="s">
        <v>136</v>
      </c>
      <c r="E63" s="18" t="s">
        <v>1597</v>
      </c>
      <c r="F63" s="18"/>
      <c r="G63" s="33" t="str">
        <f aca="false">B63&amp;" = "&amp;C63&amp;";   % "&amp;D63&amp;IF(F63="",""," — "&amp;F63)</f>
        <v>Ts_w = 0.001;   % s</v>
      </c>
    </row>
    <row r="64" customFormat="false" ht="14.25" hidden="false" customHeight="false" outlineLevel="0" collapsed="false">
      <c r="A64" s="18" t="s">
        <v>1635</v>
      </c>
      <c r="B64" s="18" t="s">
        <v>342</v>
      </c>
      <c r="C64" s="26" t="n">
        <f aca="false">GiaDinh_K3!$D$24</f>
        <v>0.001</v>
      </c>
      <c r="D64" s="18" t="s">
        <v>136</v>
      </c>
      <c r="E64" s="18" t="s">
        <v>1597</v>
      </c>
      <c r="F64" s="18" t="s">
        <v>1638</v>
      </c>
      <c r="G64" s="33" t="str">
        <f aca="false">B64&amp;" = "&amp;C64&amp;";   % "&amp;D64&amp;IF(F64="",""," — "&amp;F64)</f>
        <v>Tf_w = 0.001;   % s — Lọc đo tốc độ</v>
      </c>
    </row>
    <row r="65" customFormat="false" ht="14.25" hidden="false" customHeight="false" outlineLevel="0" collapsed="false">
      <c r="A65" s="18" t="s">
        <v>1635</v>
      </c>
      <c r="B65" s="18" t="s">
        <v>381</v>
      </c>
      <c r="C65" s="26" t="n">
        <f aca="false">GiaDinh_K3!$D$34</f>
        <v>0.005</v>
      </c>
      <c r="D65" s="18" t="s">
        <v>136</v>
      </c>
      <c r="E65" s="18" t="s">
        <v>1597</v>
      </c>
      <c r="F65" s="18"/>
      <c r="G65" s="33" t="str">
        <f aca="false">B65&amp;" = "&amp;C65&amp;";   % "&amp;D65&amp;IF(F65="",""," — "&amp;F65)</f>
        <v>Tf_jerk = 0.005;   % s</v>
      </c>
    </row>
    <row r="66" customFormat="false" ht="14.25" hidden="false" customHeight="false" outlineLevel="0" collapsed="false">
      <c r="A66" s="18" t="s">
        <v>1635</v>
      </c>
      <c r="B66" s="18" t="s">
        <v>378</v>
      </c>
      <c r="C66" s="26" t="n">
        <f aca="false">GiaDinh_K3!$D$33</f>
        <v>1024</v>
      </c>
      <c r="D66" s="18" t="s">
        <v>380</v>
      </c>
      <c r="E66" s="18" t="s">
        <v>1597</v>
      </c>
      <c r="F66" s="18"/>
      <c r="G66" s="33" t="str">
        <f aca="false">B66&amp;" = "&amp;C66&amp;";   % "&amp;D66&amp;IF(F66="",""," — "&amp;F66)</f>
        <v>N_enc = 1024;   % xung/vg</v>
      </c>
    </row>
    <row r="67" customFormat="false" ht="14.25" hidden="false" customHeight="false" outlineLevel="0" collapsed="false">
      <c r="A67" s="18" t="s">
        <v>1635</v>
      </c>
      <c r="B67" s="18" t="s">
        <v>440</v>
      </c>
      <c r="C67" s="26" t="n">
        <f aca="false">GiaDinh_K3!$D$49</f>
        <v>0</v>
      </c>
      <c r="D67" s="18" t="s">
        <v>69</v>
      </c>
      <c r="E67" s="18" t="s">
        <v>1597</v>
      </c>
      <c r="F67" s="18" t="s">
        <v>1639</v>
      </c>
      <c r="G67" s="33" t="str">
        <f aca="false">B67&amp;" = "&amp;C67&amp;";   % "&amp;D67&amp;IF(F67="",""," — "&amp;F67)</f>
        <v>enc_model = 0;   % - — 0 = lý tưởng + lọc</v>
      </c>
    </row>
    <row r="68" customFormat="false" ht="14.25" hidden="false" customHeight="false" outlineLevel="0" collapsed="false">
      <c r="A68" s="18" t="s">
        <v>1640</v>
      </c>
      <c r="B68" s="18" t="s">
        <v>455</v>
      </c>
      <c r="C68" s="26" t="n">
        <f aca="false">GiaDinh_K3!$D$54</f>
        <v>0.5</v>
      </c>
      <c r="D68" s="18" t="s">
        <v>136</v>
      </c>
      <c r="E68" s="18" t="s">
        <v>1597</v>
      </c>
      <c r="F68" s="18"/>
      <c r="G68" s="33" t="str">
        <f aca="false">B68&amp;" = "&amp;C68&amp;";   % "&amp;D68&amp;IF(F68="",""," — "&amp;F68)</f>
        <v>t_cmd = 0.5;   % s</v>
      </c>
    </row>
    <row r="69" customFormat="false" ht="14.25" hidden="false" customHeight="false" outlineLevel="0" collapsed="false">
      <c r="A69" s="18" t="s">
        <v>1640</v>
      </c>
      <c r="B69" s="18" t="s">
        <v>458</v>
      </c>
      <c r="C69" s="26" t="n">
        <f aca="false">GiaDinh_K3!$D$55</f>
        <v>10</v>
      </c>
      <c r="D69" s="18" t="s">
        <v>136</v>
      </c>
      <c r="E69" s="18" t="s">
        <v>1597</v>
      </c>
      <c r="F69" s="18"/>
      <c r="G69" s="33" t="str">
        <f aca="false">B69&amp;" = "&amp;C69&amp;";   % "&amp;D69&amp;IF(F69="",""," — "&amp;F69)</f>
        <v>T_run = 10;   % s</v>
      </c>
    </row>
    <row r="70" customFormat="false" ht="14.25" hidden="false" customHeight="false" outlineLevel="0" collapsed="false">
      <c r="A70" s="18" t="s">
        <v>1640</v>
      </c>
      <c r="B70" s="18" t="s">
        <v>461</v>
      </c>
      <c r="C70" s="26" t="n">
        <f aca="false">GiaDinh_K3!$D$56</f>
        <v>10</v>
      </c>
      <c r="D70" s="18" t="s">
        <v>136</v>
      </c>
      <c r="E70" s="18" t="s">
        <v>1597</v>
      </c>
      <c r="F70" s="18"/>
      <c r="G70" s="33" t="str">
        <f aca="false">B70&amp;" = "&amp;C70&amp;";   % "&amp;D70&amp;IF(F70="",""," — "&amp;F70)</f>
        <v>T_dwell = 10;   % s</v>
      </c>
    </row>
    <row r="71" customFormat="false" ht="14.25" hidden="false" customHeight="false" outlineLevel="0" collapsed="false">
      <c r="A71" s="18" t="s">
        <v>1640</v>
      </c>
      <c r="B71" s="18" t="s">
        <v>1316</v>
      </c>
      <c r="C71" s="26" t="n">
        <f aca="false">'Tính chọn'!$D$219</f>
        <v>22.4333333333333</v>
      </c>
      <c r="D71" s="18" t="s">
        <v>136</v>
      </c>
      <c r="E71" s="18" t="s">
        <v>1641</v>
      </c>
      <c r="F71" s="18" t="s">
        <v>1642</v>
      </c>
      <c r="G71" s="33" t="str">
        <f aca="false">B71&amp;" = "&amp;C71&amp;";   % "&amp;D71&amp;IF(F71="",""," — "&amp;F71)</f>
        <v>t_unl = 22.4333333333333;   % s — TS-01: dỡ tải</v>
      </c>
    </row>
    <row r="72" customFormat="false" ht="14.25" hidden="false" customHeight="false" outlineLevel="0" collapsed="false">
      <c r="A72" s="18" t="s">
        <v>1640</v>
      </c>
      <c r="B72" s="18" t="s">
        <v>1319</v>
      </c>
      <c r="C72" s="26" t="n">
        <f aca="false">'Tính chọn'!$D$220</f>
        <v>22.9333333333333</v>
      </c>
      <c r="D72" s="18" t="s">
        <v>136</v>
      </c>
      <c r="E72" s="18" t="s">
        <v>1641</v>
      </c>
      <c r="F72" s="18" t="s">
        <v>1320</v>
      </c>
      <c r="G72" s="33" t="str">
        <f aca="false">B72&amp;" = "&amp;C72&amp;";   % "&amp;D72&amp;IF(F72="",""," — "&amp;F72)</f>
        <v>t_cmd2 = 22.9333333333333;   % s — TS-01: nhấn REV</v>
      </c>
    </row>
    <row r="73" customFormat="false" ht="14.25" hidden="false" customHeight="false" outlineLevel="0" collapsed="false">
      <c r="A73" s="18" t="s">
        <v>1640</v>
      </c>
      <c r="B73" s="18" t="s">
        <v>1325</v>
      </c>
      <c r="C73" s="26" t="n">
        <f aca="false">'Tính chọn'!$D$223</f>
        <v>44.8666666666667</v>
      </c>
      <c r="D73" s="18" t="s">
        <v>136</v>
      </c>
      <c r="E73" s="18" t="s">
        <v>1641</v>
      </c>
      <c r="F73" s="18" t="s">
        <v>1643</v>
      </c>
      <c r="G73" s="33" t="str">
        <f aca="false">B73&amp;" = "&amp;C73&amp;";   % "&amp;D73&amp;IF(F73="",""," — "&amp;F73)</f>
        <v>T_end = 44.8666666666667;   % s — TS-01</v>
      </c>
    </row>
    <row r="74" customFormat="false" ht="14.25" hidden="false" customHeight="false" outlineLevel="0" collapsed="false">
      <c r="A74" s="18" t="s">
        <v>1640</v>
      </c>
      <c r="B74" s="18" t="s">
        <v>1332</v>
      </c>
      <c r="C74" s="26" t="n">
        <f aca="false">'Tính chọn'!$D$226</f>
        <v>4.81666666666667</v>
      </c>
      <c r="D74" s="18" t="s">
        <v>136</v>
      </c>
      <c r="E74" s="18" t="s">
        <v>1641</v>
      </c>
      <c r="F74" s="18" t="s">
        <v>1644</v>
      </c>
      <c r="G74" s="33" t="str">
        <f aca="false">B74&amp;" = "&amp;C74&amp;";   % "&amp;D74&amp;IF(F74="",""," — "&amp;F74)</f>
        <v>t_rev2 = 4.81666666666667;   % s — TS-02: nhấn REV khi đang chạy</v>
      </c>
    </row>
    <row r="75" customFormat="false" ht="14.25" hidden="false" customHeight="false" outlineLevel="0" collapsed="false">
      <c r="A75" s="18" t="s">
        <v>1640</v>
      </c>
      <c r="B75" s="18" t="s">
        <v>1335</v>
      </c>
      <c r="C75" s="26" t="n">
        <f aca="false">'Tính chọn'!$D$227</f>
        <v>15.4333333333333</v>
      </c>
      <c r="D75" s="18" t="s">
        <v>136</v>
      </c>
      <c r="E75" s="18" t="s">
        <v>1641</v>
      </c>
      <c r="F75" s="18" t="s">
        <v>1645</v>
      </c>
      <c r="G75" s="33" t="str">
        <f aca="false">B75&amp;" = "&amp;C75&amp;";   % "&amp;D75&amp;IF(F75="",""," — "&amp;F75)</f>
        <v>T_end2 = 15.4333333333333;   % s — TS-02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5"/>
    <col collapsed="false" customWidth="true" hidden="false" outlineLevel="0" max="4" min="4" style="1" width="60"/>
    <col collapsed="false" customWidth="true" hidden="false" outlineLevel="0" max="16384" min="16379" style="1" width="10.49"/>
  </cols>
  <sheetData>
    <row r="1" customFormat="false" ht="15" hidden="false" customHeight="true" outlineLevel="0" collapsed="false">
      <c r="A1" s="35" t="s">
        <v>45</v>
      </c>
      <c r="B1" s="35" t="s">
        <v>1646</v>
      </c>
      <c r="C1" s="35" t="s">
        <v>1647</v>
      </c>
      <c r="D1" s="35" t="s">
        <v>249</v>
      </c>
    </row>
    <row r="2" customFormat="false" ht="14.25" hidden="false" customHeight="false" outlineLevel="0" collapsed="false">
      <c r="A2" s="15" t="s">
        <v>1648</v>
      </c>
      <c r="B2" s="16" t="n">
        <v>1800</v>
      </c>
      <c r="C2" s="16" t="n">
        <v>1800</v>
      </c>
      <c r="D2" s="15" t="s">
        <v>1649</v>
      </c>
    </row>
    <row r="3" customFormat="false" ht="14.25" hidden="false" customHeight="false" outlineLevel="0" collapsed="false">
      <c r="A3" s="15" t="s">
        <v>1650</v>
      </c>
      <c r="B3" s="16" t="n">
        <v>0.015</v>
      </c>
      <c r="C3" s="16" t="n">
        <v>0.015</v>
      </c>
      <c r="D3" s="15" t="s">
        <v>1651</v>
      </c>
    </row>
    <row r="4" customFormat="false" ht="14.25" hidden="false" customHeight="false" outlineLevel="0" collapsed="false">
      <c r="A4" s="15" t="s">
        <v>1652</v>
      </c>
      <c r="B4" s="16" t="n">
        <v>0.9</v>
      </c>
      <c r="C4" s="16" t="n">
        <v>0.9</v>
      </c>
      <c r="D4" s="15" t="s">
        <v>1653</v>
      </c>
    </row>
    <row r="5" customFormat="false" ht="14.25" hidden="false" customHeight="false" outlineLevel="0" collapsed="false">
      <c r="A5" s="15" t="s">
        <v>1654</v>
      </c>
      <c r="B5" s="16" t="n">
        <v>0</v>
      </c>
      <c r="C5" s="16" t="n">
        <v>-0.1</v>
      </c>
      <c r="D5" s="15" t="s">
        <v>1655</v>
      </c>
    </row>
    <row r="6" customFormat="false" ht="14.25" hidden="false" customHeight="false" outlineLevel="0" collapsed="false">
      <c r="A6" s="15" t="s">
        <v>1656</v>
      </c>
      <c r="B6" s="16" t="n">
        <v>0.2</v>
      </c>
      <c r="C6" s="16" t="n">
        <v>0.2</v>
      </c>
      <c r="D6" s="15" t="s">
        <v>1657</v>
      </c>
    </row>
    <row r="7" customFormat="false" ht="14.25" hidden="false" customHeight="false" outlineLevel="0" collapsed="false">
      <c r="A7" s="15" t="s">
        <v>1658</v>
      </c>
      <c r="B7" s="36" t="n">
        <f aca="false">Params!$C$2+Params!$C$3+B2</f>
        <v>14244</v>
      </c>
      <c r="C7" s="36" t="n">
        <f aca="false">Params!$C$2+Params!$C$3+C2</f>
        <v>14244</v>
      </c>
      <c r="D7" s="15" t="s">
        <v>1659</v>
      </c>
    </row>
    <row r="8" customFormat="false" ht="14.25" hidden="false" customHeight="false" outlineLevel="0" collapsed="false">
      <c r="A8" s="15" t="s">
        <v>1660</v>
      </c>
      <c r="B8" s="36" t="n">
        <f aca="false">B7*Params!$C$19*B3</f>
        <v>2096.0046</v>
      </c>
      <c r="C8" s="36" t="n">
        <f aca="false">C7*Params!$C$19*C3</f>
        <v>2096.0046</v>
      </c>
      <c r="D8" s="15" t="s">
        <v>246</v>
      </c>
    </row>
    <row r="9" customFormat="false" ht="14.25" hidden="false" customHeight="false" outlineLevel="0" collapsed="false">
      <c r="A9" s="15" t="s">
        <v>1661</v>
      </c>
      <c r="B9" s="36" t="n">
        <f aca="false">(B8+GiaDinh_K3!$D$8*B7*Params!$C$11)*'Tính chọn'!$D$23/B4+Catalogue!$F$15*Params!$C$11/'Tính chọn'!$D$23</f>
        <v>10.8249080736106</v>
      </c>
      <c r="C9" s="36" t="n">
        <f aca="false">(C8+GiaDinh_K3!$D$8*C7*Params!$C$11)*'Tính chọn'!$D$23/C4+Catalogue!$F$15*Params!$C$11/'Tính chọn'!$D$23</f>
        <v>10.8249080736106</v>
      </c>
      <c r="D9" s="15" t="s">
        <v>1662</v>
      </c>
    </row>
    <row r="10" customFormat="false" ht="14.25" hidden="false" customHeight="false" outlineLevel="0" collapsed="false">
      <c r="A10" s="15" t="s">
        <v>693</v>
      </c>
      <c r="B10" s="36" t="n">
        <f aca="false">B9/Catalogue!$F$5</f>
        <v>2.18685011588092</v>
      </c>
      <c r="C10" s="36" t="n">
        <f aca="false">C9/Catalogue!$F$5</f>
        <v>2.18685011588092</v>
      </c>
      <c r="D10" s="15"/>
    </row>
    <row r="11" customFormat="false" ht="14.25" hidden="false" customHeight="false" outlineLevel="0" collapsed="false">
      <c r="A11" s="15" t="s">
        <v>1663</v>
      </c>
      <c r="B11" s="36" t="n">
        <f aca="false">Catalogue!$F$12*(Params!$C$20*(1+B5)/GiaDinh_K3!$D$29)^2</f>
        <v>3.0685</v>
      </c>
      <c r="C11" s="36" t="n">
        <f aca="false">Catalogue!$F$12*(Params!$C$20*(1+C5)/GiaDinh_K3!$D$29)^2</f>
        <v>2.485485</v>
      </c>
      <c r="D11" s="15" t="s">
        <v>1664</v>
      </c>
    </row>
    <row r="12" customFormat="false" ht="14.25" hidden="false" customHeight="false" outlineLevel="0" collapsed="false">
      <c r="A12" s="15" t="s">
        <v>1665</v>
      </c>
      <c r="B12" s="36" t="n">
        <f aca="false">B11/B10</f>
        <v>1.40315972170042</v>
      </c>
      <c r="C12" s="36" t="n">
        <f aca="false">C11/C10</f>
        <v>1.13655937457734</v>
      </c>
      <c r="D12" s="15" t="s">
        <v>1666</v>
      </c>
    </row>
    <row r="13" customFormat="false" ht="14.25" hidden="false" customHeight="false" outlineLevel="0" collapsed="false">
      <c r="A13" s="15" t="s">
        <v>1667</v>
      </c>
      <c r="B13" s="36" t="n">
        <f aca="false">B6*GiaDinh_K3!$D$9*B7*Params!$C$19/(B8+B7*Params!$C$11)</f>
        <v>1.51587730819748</v>
      </c>
      <c r="C13" s="36" t="n">
        <f aca="false">C6*GiaDinh_K3!$D$9*C7*Params!$C$19/(C8+C7*Params!$C$11)</f>
        <v>1.51587730819748</v>
      </c>
      <c r="D13" s="15" t="s">
        <v>1668</v>
      </c>
    </row>
    <row r="14" customFormat="false" ht="14.25" hidden="false" customHeight="false" outlineLevel="0" collapsed="false">
      <c r="A14" s="15" t="s">
        <v>1669</v>
      </c>
      <c r="B14" s="36" t="n">
        <f aca="false">B6*GiaDinh_K3!$D$9*B7*Params!$C$19/(B8+B7*GiaDinh_K3!$D$11)</f>
        <v>1.64280331574981</v>
      </c>
      <c r="C14" s="36" t="n">
        <f aca="false">C6*GiaDinh_K3!$D$9*C7*Params!$C$19/(C8+C7*GiaDinh_K3!$D$11)</f>
        <v>1.64280331574981</v>
      </c>
      <c r="D14" s="15" t="s">
        <v>1670</v>
      </c>
    </row>
    <row r="15" customFormat="false" ht="14.25" hidden="false" customHeight="false" outlineLevel="0" collapsed="false">
      <c r="A15" s="15" t="s">
        <v>1671</v>
      </c>
      <c r="B15" s="36" t="n">
        <f aca="false">MAX(0,(B7*Params!$C$11-B8)*Params!$C$10*B4*Catalogue!$F$9*GiaDinh_K3!$D$13)</f>
        <v>436.487797548216</v>
      </c>
      <c r="C15" s="36" t="n">
        <f aca="false">MAX(0,(C7*Params!$C$11-C8)*Params!$C$10*C4*Catalogue!$F$9*GiaDinh_K3!$D$13)</f>
        <v>436.487797548216</v>
      </c>
      <c r="D15" s="15" t="s">
        <v>1672</v>
      </c>
    </row>
    <row r="16" customFormat="false" ht="14.25" hidden="false" customHeight="false" outlineLevel="0" collapsed="false">
      <c r="A16" s="15" t="s">
        <v>1673</v>
      </c>
      <c r="B16" s="36" t="n">
        <f aca="false">SQRT(2)*Params!$C$20*(1+B5)</f>
        <v>537.401153701776</v>
      </c>
      <c r="C16" s="36" t="n">
        <f aca="false">SQRT(2)*Params!$C$20*(1+C5)</f>
        <v>483.661038331599</v>
      </c>
      <c r="D16" s="15" t="s">
        <v>1674</v>
      </c>
    </row>
    <row r="17" customFormat="false" ht="15" hidden="false" customHeight="true" outlineLevel="0" collapsed="false">
      <c r="A17" s="37" t="s">
        <v>1675</v>
      </c>
      <c r="B17" s="36" t="str">
        <f aca="false">IF(AND(B12&gt;=1,B14&gt;=1.2,B15/1000&lt;=Catalogue!$F$27,B16&lt;GiaDinh_K3!$D$14-20),"Đạt","Không đạt")</f>
        <v>Đạt</v>
      </c>
      <c r="C17" s="36" t="str">
        <f aca="false">IF(AND(C12&gt;=1,C14&gt;=1.2,C15/1000&lt;=Catalogue!$F$27,C16&lt;GiaDinh_K3!$D$14-20),"Đạt","Không đạt")</f>
        <v>Đạt</v>
      </c>
      <c r="D17" s="15" t="s">
        <v>1676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5" min="1" style="1" width="12"/>
    <col collapsed="false" customWidth="true" hidden="false" outlineLevel="0" max="7" min="6" style="1" width="16"/>
    <col collapsed="false" customWidth="true" hidden="false" outlineLevel="0" max="8" min="8" style="1" width="14"/>
    <col collapsed="false" customWidth="true" hidden="false" outlineLevel="0" max="9" min="9" style="1" width="4"/>
  </cols>
  <sheetData>
    <row r="1" customFormat="false" ht="16.15" hidden="false" customHeight="false" outlineLevel="0" collapsed="false">
      <c r="A1" s="4" t="s">
        <v>1677</v>
      </c>
    </row>
    <row r="2" customFormat="false" ht="14.25" hidden="false" customHeight="false" outlineLevel="0" collapsed="false">
      <c r="A2" s="3" t="s">
        <v>1678</v>
      </c>
    </row>
    <row r="4" customFormat="false" ht="26.85" hidden="false" customHeight="false" outlineLevel="0" collapsed="false">
      <c r="A4" s="8" t="s">
        <v>1679</v>
      </c>
      <c r="B4" s="38" t="n">
        <v>1</v>
      </c>
      <c r="C4" s="8" t="s">
        <v>1680</v>
      </c>
      <c r="E4" s="8" t="s">
        <v>1681</v>
      </c>
      <c r="F4" s="28" t="n">
        <f aca="false">'Tính chọn'!$D$39</f>
        <v>0.25</v>
      </c>
      <c r="G4" s="8" t="s">
        <v>1682</v>
      </c>
      <c r="H4" s="39" t="n">
        <f aca="false">MAX(D14:D254)</f>
        <v>0.12</v>
      </c>
    </row>
    <row r="5" customFormat="false" ht="26.85" hidden="false" customHeight="false" outlineLevel="0" collapsed="false">
      <c r="A5" s="8" t="s">
        <v>1683</v>
      </c>
      <c r="B5" s="40" t="n">
        <v>0.01</v>
      </c>
      <c r="C5" s="8" t="s">
        <v>1680</v>
      </c>
      <c r="E5" s="8" t="s">
        <v>1684</v>
      </c>
      <c r="F5" s="28" t="n">
        <f aca="false">'Tính chọn'!$D$39+'Tính chọn'!$D$40</f>
        <v>0.266666666666667</v>
      </c>
      <c r="G5" s="8" t="s">
        <v>1685</v>
      </c>
      <c r="H5" s="39" t="n">
        <f aca="false">MAX(MAX(C14:C254),-MIN(C14:C254))</f>
        <v>0.45</v>
      </c>
    </row>
    <row r="6" customFormat="false" ht="14.25" hidden="false" customHeight="false" outlineLevel="0" collapsed="false">
      <c r="E6" s="8" t="s">
        <v>1686</v>
      </c>
      <c r="F6" s="28" t="n">
        <f aca="false">'Tính chọn'!$D$41</f>
        <v>0.516666666666667</v>
      </c>
      <c r="G6" s="8" t="s">
        <v>1687</v>
      </c>
      <c r="H6" s="39" t="n">
        <f aca="false">MAX(MAX(B14:B254),-MIN(B14:B254))</f>
        <v>1.8</v>
      </c>
    </row>
    <row r="7" customFormat="false" ht="26.85" hidden="false" customHeight="false" outlineLevel="0" collapsed="false">
      <c r="E7" s="8" t="s">
        <v>1688</v>
      </c>
      <c r="F7" s="28" t="n">
        <f aca="false">$F$6+$B$4</f>
        <v>1.51666666666667</v>
      </c>
      <c r="G7" s="8" t="s">
        <v>1689</v>
      </c>
      <c r="H7" s="39" t="n">
        <f aca="false">MAX(F14:F254)</f>
        <v>9.92982022105833</v>
      </c>
    </row>
    <row r="8" customFormat="false" ht="26.85" hidden="false" customHeight="false" outlineLevel="0" collapsed="false">
      <c r="E8" s="8" t="s">
        <v>1690</v>
      </c>
      <c r="F8" s="28" t="n">
        <f aca="false">$F$7+'Tính chọn'!$D$39</f>
        <v>1.76666666666667</v>
      </c>
      <c r="G8" s="8" t="s">
        <v>1691</v>
      </c>
      <c r="H8" s="39" t="n">
        <f aca="false">MIN(F14:F254)</f>
        <v>-5.28560821835458</v>
      </c>
    </row>
    <row r="9" customFormat="false" ht="14.25" hidden="false" customHeight="false" outlineLevel="0" collapsed="false">
      <c r="E9" s="8" t="s">
        <v>1692</v>
      </c>
      <c r="F9" s="28" t="n">
        <f aca="false">$F$8+'Tính chọn'!$D$40</f>
        <v>1.78333333333333</v>
      </c>
      <c r="G9" s="8" t="s">
        <v>1693</v>
      </c>
      <c r="H9" s="39" t="n">
        <f aca="false">MAX(E14:E254)</f>
        <v>0.181995</v>
      </c>
    </row>
    <row r="10" customFormat="false" ht="14.25" hidden="false" customHeight="false" outlineLevel="0" collapsed="false">
      <c r="E10" s="8" t="s">
        <v>1694</v>
      </c>
      <c r="F10" s="28" t="n">
        <f aca="false">$F$7+'Tính chọn'!$D$41</f>
        <v>2.03333333333333</v>
      </c>
    </row>
    <row r="13" customFormat="false" ht="26.85" hidden="false" customHeight="false" outlineLevel="0" collapsed="false">
      <c r="A13" s="7" t="s">
        <v>1695</v>
      </c>
      <c r="B13" s="7" t="s">
        <v>1696</v>
      </c>
      <c r="C13" s="7" t="s">
        <v>1697</v>
      </c>
      <c r="D13" s="7" t="s">
        <v>1698</v>
      </c>
      <c r="E13" s="7" t="s">
        <v>1699</v>
      </c>
      <c r="F13" s="7" t="s">
        <v>1700</v>
      </c>
      <c r="G13" s="7" t="s">
        <v>1701</v>
      </c>
      <c r="H13" s="7" t="s">
        <v>1702</v>
      </c>
    </row>
    <row r="14" customFormat="false" ht="14.25" hidden="false" customHeight="false" outlineLevel="0" collapsed="false">
      <c r="A14" s="41" t="n">
        <f aca="false">0*$B$5</f>
        <v>0</v>
      </c>
      <c r="B14" s="42" t="n">
        <f aca="false">IF(A14&lt;$F$4,GiaDinh_K3!$D$12,IF(A14&lt;$F$5,0,IF(A14&lt;$F$6,-GiaDinh_K3!$D$12,IF(A14&lt;$F$7,0,IF(A14&lt;$F$8,-GiaDinh_K3!$D$12,IF(A14&lt;$F$9,0,IF(A14&lt;$F$10,GiaDinh_K3!$D$12,0)))))))</f>
        <v>1.8</v>
      </c>
      <c r="C14" s="43" t="n">
        <f aca="false">IF(A14&lt;$F$4,GiaDinh_K3!$D$12*A14,IF(A14&lt;$F$5,GiaDinh_K3!$D$11,IF(A14&lt;$F$6,GiaDinh_K3!$D$11-GiaDinh_K3!$D$12*(A14-$F$5),IF(A14&lt;$F$7,0,IF(A14&lt;$F$8,-GiaDinh_K3!$D$12*(A14-$F$7),IF(A14&lt;$F$9,-GiaDinh_K3!$D$11,IF(A14&lt;$F$10,-GiaDinh_K3!$D$11+GiaDinh_K3!$D$12*(A14-$F$9),0)))))))</f>
        <v>0</v>
      </c>
      <c r="D14" s="44" t="n">
        <v>0</v>
      </c>
      <c r="E14" s="44" t="n">
        <v>0</v>
      </c>
      <c r="F14" s="42" t="n">
        <f aca="false">IF(A14&gt;$F$10,0,IF((Params!$C$21+GiaDinh_K3!$D$8*Params!$C$5*C14)&gt;=0,(Params!$C$21+GiaDinh_K3!$D$8*Params!$C$5*C14)*'Tính chọn'!$D$23/Params!$C$16,(Params!$C$21+GiaDinh_K3!$D$8*Params!$C$5*C14)*'Tính chọn'!$D$23*Params!$C$16)+Catalogue!$F$15*C14/'Tính chọn'!$D$23)</f>
        <v>1.87402954808807</v>
      </c>
      <c r="G14" s="42" t="n">
        <f aca="false">IF(A14&gt;$F$10,0,IF(('Tính chọn'!$D$6+GiaDinh_K3!$D$8*Params!$C$6*C14)&gt;=0,('Tính chọn'!$D$6+GiaDinh_K3!$D$8*Params!$C$6*C14)*'Tính chọn'!$D$23/Params!$C$16,('Tính chọn'!$D$6+GiaDinh_K3!$D$8*Params!$C$6*C14)*'Tính chọn'!$D$23*Params!$C$16)+Catalogue!$F$15*C14/'Tính chọn'!$D$23)</f>
        <v>0.266026940903824</v>
      </c>
      <c r="H14" s="45" t="n">
        <f aca="false">F14*D14/'Tính chọn'!$D$23</f>
        <v>0</v>
      </c>
    </row>
    <row r="15" customFormat="false" ht="14.25" hidden="false" customHeight="false" outlineLevel="0" collapsed="false">
      <c r="A15" s="41" t="n">
        <f aca="false">1*$B$5</f>
        <v>0.01</v>
      </c>
      <c r="B15" s="42" t="n">
        <f aca="false">IF(A15&lt;$F$4,GiaDinh_K3!$D$12,IF(A15&lt;$F$5,0,IF(A15&lt;$F$6,-GiaDinh_K3!$D$12,IF(A15&lt;$F$7,0,IF(A15&lt;$F$8,-GiaDinh_K3!$D$12,IF(A15&lt;$F$9,0,IF(A15&lt;$F$10,GiaDinh_K3!$D$12,0)))))))</f>
        <v>1.8</v>
      </c>
      <c r="C15" s="43" t="n">
        <f aca="false">IF(A15&lt;$F$4,GiaDinh_K3!$D$12*A15,IF(A15&lt;$F$5,GiaDinh_K3!$D$11,IF(A15&lt;$F$6,GiaDinh_K3!$D$11-GiaDinh_K3!$D$12*(A15-$F$5),IF(A15&lt;$F$7,0,IF(A15&lt;$F$8,-GiaDinh_K3!$D$12*(A15-$F$7),IF(A15&lt;$F$9,-GiaDinh_K3!$D$11,IF(A15&lt;$F$10,-GiaDinh_K3!$D$11+GiaDinh_K3!$D$12*(A15-$F$9),0)))))))</f>
        <v>0.018</v>
      </c>
      <c r="D15" s="46" t="n">
        <f aca="false">MAX(0,D14+(C14+C15)/2*$B$5)</f>
        <v>9E-005</v>
      </c>
      <c r="E15" s="46" t="n">
        <f aca="false">E14+(D14+D15)/2*$B$5</f>
        <v>4.5E-007</v>
      </c>
      <c r="F15" s="42" t="n">
        <f aca="false">IF(A15&gt;$F$10,0,IF((Params!$C$21+GiaDinh_K3!$D$8*Params!$C$5*C15)&gt;=0,(Params!$C$21+GiaDinh_K3!$D$8*Params!$C$5*C15)*'Tính chọn'!$D$23/Params!$C$16,(Params!$C$21+GiaDinh_K3!$D$8*Params!$C$5*C15)*'Tính chọn'!$D$23*Params!$C$16)+Catalogue!$F$15*C15/'Tính chọn'!$D$23)</f>
        <v>2.19626117500688</v>
      </c>
      <c r="G15" s="42" t="n">
        <f aca="false">IF(A15&gt;$F$10,0,IF(('Tính chọn'!$D$6+GiaDinh_K3!$D$8*Params!$C$6*C15)&gt;=0,('Tính chọn'!$D$6+GiaDinh_K3!$D$8*Params!$C$6*C15)*'Tính chọn'!$D$23/Params!$C$16,('Tính chọn'!$D$6+GiaDinh_K3!$D$8*Params!$C$6*C15)*'Tính chọn'!$D$23*Params!$C$16)+Catalogue!$F$15*C15/'Tính chọn'!$D$23)</f>
        <v>0.362056366200386</v>
      </c>
      <c r="H15" s="45" t="n">
        <f aca="false">F15*D15/'Tính chọn'!$D$23</f>
        <v>0.245640391866409</v>
      </c>
    </row>
    <row r="16" customFormat="false" ht="14.25" hidden="false" customHeight="false" outlineLevel="0" collapsed="false">
      <c r="A16" s="41" t="n">
        <f aca="false">2*$B$5</f>
        <v>0.02</v>
      </c>
      <c r="B16" s="42" t="n">
        <f aca="false">IF(A16&lt;$F$4,GiaDinh_K3!$D$12,IF(A16&lt;$F$5,0,IF(A16&lt;$F$6,-GiaDinh_K3!$D$12,IF(A16&lt;$F$7,0,IF(A16&lt;$F$8,-GiaDinh_K3!$D$12,IF(A16&lt;$F$9,0,IF(A16&lt;$F$10,GiaDinh_K3!$D$12,0)))))))</f>
        <v>1.8</v>
      </c>
      <c r="C16" s="43" t="n">
        <f aca="false">IF(A16&lt;$F$4,GiaDinh_K3!$D$12*A16,IF(A16&lt;$F$5,GiaDinh_K3!$D$11,IF(A16&lt;$F$6,GiaDinh_K3!$D$11-GiaDinh_K3!$D$12*(A16-$F$5),IF(A16&lt;$F$7,0,IF(A16&lt;$F$8,-GiaDinh_K3!$D$12*(A16-$F$7),IF(A16&lt;$F$9,-GiaDinh_K3!$D$11,IF(A16&lt;$F$10,-GiaDinh_K3!$D$11+GiaDinh_K3!$D$12*(A16-$F$9),0)))))))</f>
        <v>0.036</v>
      </c>
      <c r="D16" s="46" t="n">
        <f aca="false">MAX(0,D15+(C15+C16)/2*$B$5)</f>
        <v>0.00036</v>
      </c>
      <c r="E16" s="46" t="n">
        <f aca="false">E15+(D15+D16)/2*$B$5</f>
        <v>2.7E-006</v>
      </c>
      <c r="F16" s="42" t="n">
        <f aca="false">IF(A16&gt;$F$10,0,IF((Params!$C$21+GiaDinh_K3!$D$8*Params!$C$5*C16)&gt;=0,(Params!$C$21+GiaDinh_K3!$D$8*Params!$C$5*C16)*'Tính chọn'!$D$23/Params!$C$16,(Params!$C$21+GiaDinh_K3!$D$8*Params!$C$5*C16)*'Tính chọn'!$D$23*Params!$C$16)+Catalogue!$F$15*C16/'Tính chọn'!$D$23)</f>
        <v>2.51849280192569</v>
      </c>
      <c r="G16" s="42" t="n">
        <f aca="false">IF(A16&gt;$F$10,0,IF(('Tính chọn'!$D$6+GiaDinh_K3!$D$8*Params!$C$6*C16)&gt;=0,('Tính chọn'!$D$6+GiaDinh_K3!$D$8*Params!$C$6*C16)*'Tính chọn'!$D$23/Params!$C$16,('Tính chọn'!$D$6+GiaDinh_K3!$D$8*Params!$C$6*C16)*'Tính chọn'!$D$23*Params!$C$16)+Catalogue!$F$15*C16/'Tính chọn'!$D$23)</f>
        <v>0.458085791496949</v>
      </c>
      <c r="H16" s="45" t="n">
        <f aca="false">F16*D16/'Tính chọn'!$D$23</f>
        <v>1.12672129493127</v>
      </c>
    </row>
    <row r="17" customFormat="false" ht="14.25" hidden="false" customHeight="false" outlineLevel="0" collapsed="false">
      <c r="A17" s="41" t="n">
        <f aca="false">3*$B$5</f>
        <v>0.03</v>
      </c>
      <c r="B17" s="42" t="n">
        <f aca="false">IF(A17&lt;$F$4,GiaDinh_K3!$D$12,IF(A17&lt;$F$5,0,IF(A17&lt;$F$6,-GiaDinh_K3!$D$12,IF(A17&lt;$F$7,0,IF(A17&lt;$F$8,-GiaDinh_K3!$D$12,IF(A17&lt;$F$9,0,IF(A17&lt;$F$10,GiaDinh_K3!$D$12,0)))))))</f>
        <v>1.8</v>
      </c>
      <c r="C17" s="43" t="n">
        <f aca="false">IF(A17&lt;$F$4,GiaDinh_K3!$D$12*A17,IF(A17&lt;$F$5,GiaDinh_K3!$D$11,IF(A17&lt;$F$6,GiaDinh_K3!$D$11-GiaDinh_K3!$D$12*(A17-$F$5),IF(A17&lt;$F$7,0,IF(A17&lt;$F$8,-GiaDinh_K3!$D$12*(A17-$F$7),IF(A17&lt;$F$9,-GiaDinh_K3!$D$11,IF(A17&lt;$F$10,-GiaDinh_K3!$D$11+GiaDinh_K3!$D$12*(A17-$F$9),0)))))))</f>
        <v>0.054</v>
      </c>
      <c r="D17" s="46" t="n">
        <f aca="false">MAX(0,D16+(C16+C17)/2*$B$5)</f>
        <v>0.00081</v>
      </c>
      <c r="E17" s="46" t="n">
        <f aca="false">E16+(D16+D17)/2*$B$5</f>
        <v>8.55E-006</v>
      </c>
      <c r="F17" s="42" t="n">
        <f aca="false">IF(A17&gt;$F$10,0,IF((Params!$C$21+GiaDinh_K3!$D$8*Params!$C$5*C17)&gt;=0,(Params!$C$21+GiaDinh_K3!$D$8*Params!$C$5*C17)*'Tính chọn'!$D$23/Params!$C$16,(Params!$C$21+GiaDinh_K3!$D$8*Params!$C$5*C17)*'Tính chọn'!$D$23*Params!$C$16)+Catalogue!$F$15*C17/'Tính chọn'!$D$23)</f>
        <v>2.8407244288445</v>
      </c>
      <c r="G17" s="42" t="n">
        <f aca="false">IF(A17&gt;$F$10,0,IF(('Tính chọn'!$D$6+GiaDinh_K3!$D$8*Params!$C$6*C17)&gt;=0,('Tính chọn'!$D$6+GiaDinh_K3!$D$8*Params!$C$6*C17)*'Tính chọn'!$D$23/Params!$C$16,('Tính chọn'!$D$6+GiaDinh_K3!$D$8*Params!$C$6*C17)*'Tính chọn'!$D$23*Params!$C$16)+Catalogue!$F$15*C17/'Tính chọn'!$D$23)</f>
        <v>0.554115216793511</v>
      </c>
      <c r="H17" s="45" t="n">
        <f aca="false">F17*D17/'Tính chọn'!$D$23</f>
        <v>2.85948230039304</v>
      </c>
    </row>
    <row r="18" customFormat="false" ht="14.25" hidden="false" customHeight="false" outlineLevel="0" collapsed="false">
      <c r="A18" s="41" t="n">
        <f aca="false">4*$B$5</f>
        <v>0.04</v>
      </c>
      <c r="B18" s="42" t="n">
        <f aca="false">IF(A18&lt;$F$4,GiaDinh_K3!$D$12,IF(A18&lt;$F$5,0,IF(A18&lt;$F$6,-GiaDinh_K3!$D$12,IF(A18&lt;$F$7,0,IF(A18&lt;$F$8,-GiaDinh_K3!$D$12,IF(A18&lt;$F$9,0,IF(A18&lt;$F$10,GiaDinh_K3!$D$12,0)))))))</f>
        <v>1.8</v>
      </c>
      <c r="C18" s="43" t="n">
        <f aca="false">IF(A18&lt;$F$4,GiaDinh_K3!$D$12*A18,IF(A18&lt;$F$5,GiaDinh_K3!$D$11,IF(A18&lt;$F$6,GiaDinh_K3!$D$11-GiaDinh_K3!$D$12*(A18-$F$5),IF(A18&lt;$F$7,0,IF(A18&lt;$F$8,-GiaDinh_K3!$D$12*(A18-$F$7),IF(A18&lt;$F$9,-GiaDinh_K3!$D$11,IF(A18&lt;$F$10,-GiaDinh_K3!$D$11+GiaDinh_K3!$D$12*(A18-$F$9),0)))))))</f>
        <v>0.072</v>
      </c>
      <c r="D18" s="46" t="n">
        <f aca="false">MAX(0,D17+(C17+C18)/2*$B$5)</f>
        <v>0.00144</v>
      </c>
      <c r="E18" s="46" t="n">
        <f aca="false">E17+(D17+D18)/2*$B$5</f>
        <v>1.98E-005</v>
      </c>
      <c r="F18" s="42" t="n">
        <f aca="false">IF(A18&gt;$F$10,0,IF((Params!$C$21+GiaDinh_K3!$D$8*Params!$C$5*C18)&gt;=0,(Params!$C$21+GiaDinh_K3!$D$8*Params!$C$5*C18)*'Tính chọn'!$D$23/Params!$C$16,(Params!$C$21+GiaDinh_K3!$D$8*Params!$C$5*C18)*'Tính chọn'!$D$23*Params!$C$16)+Catalogue!$F$15*C18/'Tính chọn'!$D$23)</f>
        <v>3.16295605576331</v>
      </c>
      <c r="G18" s="42" t="n">
        <f aca="false">IF(A18&gt;$F$10,0,IF(('Tính chọn'!$D$6+GiaDinh_K3!$D$8*Params!$C$6*C18)&gt;=0,('Tính chọn'!$D$6+GiaDinh_K3!$D$8*Params!$C$6*C18)*'Tính chọn'!$D$23/Params!$C$16,('Tính chọn'!$D$6+GiaDinh_K3!$D$8*Params!$C$6*C18)*'Tính chọn'!$D$23*Params!$C$16)+Catalogue!$F$15*C18/'Tính chọn'!$D$23)</f>
        <v>0.650144642090073</v>
      </c>
      <c r="H18" s="45" t="n">
        <f aca="false">F18*D18/'Tính chọn'!$D$23</f>
        <v>5.66016299945017</v>
      </c>
    </row>
    <row r="19" customFormat="false" ht="14.25" hidden="false" customHeight="false" outlineLevel="0" collapsed="false">
      <c r="A19" s="41" t="n">
        <f aca="false">5*$B$5</f>
        <v>0.05</v>
      </c>
      <c r="B19" s="42" t="n">
        <f aca="false">IF(A19&lt;$F$4,GiaDinh_K3!$D$12,IF(A19&lt;$F$5,0,IF(A19&lt;$F$6,-GiaDinh_K3!$D$12,IF(A19&lt;$F$7,0,IF(A19&lt;$F$8,-GiaDinh_K3!$D$12,IF(A19&lt;$F$9,0,IF(A19&lt;$F$10,GiaDinh_K3!$D$12,0)))))))</f>
        <v>1.8</v>
      </c>
      <c r="C19" s="43" t="n">
        <f aca="false">IF(A19&lt;$F$4,GiaDinh_K3!$D$12*A19,IF(A19&lt;$F$5,GiaDinh_K3!$D$11,IF(A19&lt;$F$6,GiaDinh_K3!$D$11-GiaDinh_K3!$D$12*(A19-$F$5),IF(A19&lt;$F$7,0,IF(A19&lt;$F$8,-GiaDinh_K3!$D$12*(A19-$F$7),IF(A19&lt;$F$9,-GiaDinh_K3!$D$11,IF(A19&lt;$F$10,-GiaDinh_K3!$D$11+GiaDinh_K3!$D$12*(A19-$F$9),0)))))))</f>
        <v>0.09</v>
      </c>
      <c r="D19" s="46" t="n">
        <f aca="false">MAX(0,D18+(C18+C19)/2*$B$5)</f>
        <v>0.00225</v>
      </c>
      <c r="E19" s="46" t="n">
        <f aca="false">E18+(D18+D19)/2*$B$5</f>
        <v>3.825E-005</v>
      </c>
      <c r="F19" s="42" t="n">
        <f aca="false">IF(A19&gt;$F$10,0,IF((Params!$C$21+GiaDinh_K3!$D$8*Params!$C$5*C19)&gt;=0,(Params!$C$21+GiaDinh_K3!$D$8*Params!$C$5*C19)*'Tính chọn'!$D$23/Params!$C$16,(Params!$C$21+GiaDinh_K3!$D$8*Params!$C$5*C19)*'Tính chọn'!$D$23*Params!$C$16)+Catalogue!$F$15*C19/'Tính chọn'!$D$23)</f>
        <v>3.48518768268212</v>
      </c>
      <c r="G19" s="42" t="n">
        <f aca="false">IF(A19&gt;$F$10,0,IF(('Tính chọn'!$D$6+GiaDinh_K3!$D$8*Params!$C$6*C19)&gt;=0,('Tính chọn'!$D$6+GiaDinh_K3!$D$8*Params!$C$6*C19)*'Tính chọn'!$D$23/Params!$C$16,('Tính chọn'!$D$6+GiaDinh_K3!$D$8*Params!$C$6*C19)*'Tính chọn'!$D$23*Params!$C$16)+Catalogue!$F$15*C19/'Tính chọn'!$D$23)</f>
        <v>0.746174067386636</v>
      </c>
      <c r="H19" s="45" t="n">
        <f aca="false">F19*D19/'Tính chọn'!$D$23</f>
        <v>9.74500298330112</v>
      </c>
    </row>
    <row r="20" customFormat="false" ht="14.25" hidden="false" customHeight="false" outlineLevel="0" collapsed="false">
      <c r="A20" s="41" t="n">
        <f aca="false">6*$B$5</f>
        <v>0.06</v>
      </c>
      <c r="B20" s="42" t="n">
        <f aca="false">IF(A20&lt;$F$4,GiaDinh_K3!$D$12,IF(A20&lt;$F$5,0,IF(A20&lt;$F$6,-GiaDinh_K3!$D$12,IF(A20&lt;$F$7,0,IF(A20&lt;$F$8,-GiaDinh_K3!$D$12,IF(A20&lt;$F$9,0,IF(A20&lt;$F$10,GiaDinh_K3!$D$12,0)))))))</f>
        <v>1.8</v>
      </c>
      <c r="C20" s="43" t="n">
        <f aca="false">IF(A20&lt;$F$4,GiaDinh_K3!$D$12*A20,IF(A20&lt;$F$5,GiaDinh_K3!$D$11,IF(A20&lt;$F$6,GiaDinh_K3!$D$11-GiaDinh_K3!$D$12*(A20-$F$5),IF(A20&lt;$F$7,0,IF(A20&lt;$F$8,-GiaDinh_K3!$D$12*(A20-$F$7),IF(A20&lt;$F$9,-GiaDinh_K3!$D$11,IF(A20&lt;$F$10,-GiaDinh_K3!$D$11+GiaDinh_K3!$D$12*(A20-$F$9),0)))))))</f>
        <v>0.108</v>
      </c>
      <c r="D20" s="46" t="n">
        <f aca="false">MAX(0,D19+(C19+C20)/2*$B$5)</f>
        <v>0.00324</v>
      </c>
      <c r="E20" s="46" t="n">
        <f aca="false">E19+(D19+D20)/2*$B$5</f>
        <v>6.57E-005</v>
      </c>
      <c r="F20" s="42" t="n">
        <f aca="false">IF(A20&gt;$F$10,0,IF((Params!$C$21+GiaDinh_K3!$D$8*Params!$C$5*C20)&gt;=0,(Params!$C$21+GiaDinh_K3!$D$8*Params!$C$5*C20)*'Tính chọn'!$D$23/Params!$C$16,(Params!$C$21+GiaDinh_K3!$D$8*Params!$C$5*C20)*'Tính chọn'!$D$23*Params!$C$16)+Catalogue!$F$15*C20/'Tính chọn'!$D$23)</f>
        <v>3.80741930960093</v>
      </c>
      <c r="G20" s="42" t="n">
        <f aca="false">IF(A20&gt;$F$10,0,IF(('Tính chọn'!$D$6+GiaDinh_K3!$D$8*Params!$C$6*C20)&gt;=0,('Tính chọn'!$D$6+GiaDinh_K3!$D$8*Params!$C$6*C20)*'Tính chọn'!$D$23/Params!$C$16,('Tính chọn'!$D$6+GiaDinh_K3!$D$8*Params!$C$6*C20)*'Tính chọn'!$D$23*Params!$C$16)+Catalogue!$F$15*C20/'Tính chọn'!$D$23)</f>
        <v>0.842203492683198</v>
      </c>
      <c r="H20" s="45" t="n">
        <f aca="false">F20*D20/'Tính chọn'!$D$23</f>
        <v>15.3302418431443</v>
      </c>
    </row>
    <row r="21" customFormat="false" ht="14.25" hidden="false" customHeight="false" outlineLevel="0" collapsed="false">
      <c r="A21" s="41" t="n">
        <f aca="false">7*$B$5</f>
        <v>0.07</v>
      </c>
      <c r="B21" s="42" t="n">
        <f aca="false">IF(A21&lt;$F$4,GiaDinh_K3!$D$12,IF(A21&lt;$F$5,0,IF(A21&lt;$F$6,-GiaDinh_K3!$D$12,IF(A21&lt;$F$7,0,IF(A21&lt;$F$8,-GiaDinh_K3!$D$12,IF(A21&lt;$F$9,0,IF(A21&lt;$F$10,GiaDinh_K3!$D$12,0)))))))</f>
        <v>1.8</v>
      </c>
      <c r="C21" s="43" t="n">
        <f aca="false">IF(A21&lt;$F$4,GiaDinh_K3!$D$12*A21,IF(A21&lt;$F$5,GiaDinh_K3!$D$11,IF(A21&lt;$F$6,GiaDinh_K3!$D$11-GiaDinh_K3!$D$12*(A21-$F$5),IF(A21&lt;$F$7,0,IF(A21&lt;$F$8,-GiaDinh_K3!$D$12*(A21-$F$7),IF(A21&lt;$F$9,-GiaDinh_K3!$D$11,IF(A21&lt;$F$10,-GiaDinh_K3!$D$11+GiaDinh_K3!$D$12*(A21-$F$9),0)))))))</f>
        <v>0.126</v>
      </c>
      <c r="D21" s="46" t="n">
        <f aca="false">MAX(0,D20+(C20+C21)/2*$B$5)</f>
        <v>0.00441</v>
      </c>
      <c r="E21" s="46" t="n">
        <f aca="false">E20+(D20+D21)/2*$B$5</f>
        <v>0.00010395</v>
      </c>
      <c r="F21" s="42" t="n">
        <f aca="false">IF(A21&gt;$F$10,0,IF((Params!$C$21+GiaDinh_K3!$D$8*Params!$C$5*C21)&gt;=0,(Params!$C$21+GiaDinh_K3!$D$8*Params!$C$5*C21)*'Tính chọn'!$D$23/Params!$C$16,(Params!$C$21+GiaDinh_K3!$D$8*Params!$C$5*C21)*'Tính chọn'!$D$23*Params!$C$16)+Catalogue!$F$15*C21/'Tính chọn'!$D$23)</f>
        <v>4.12965093651974</v>
      </c>
      <c r="G21" s="42" t="n">
        <f aca="false">IF(A21&gt;$F$10,0,IF(('Tính chọn'!$D$6+GiaDinh_K3!$D$8*Params!$C$6*C21)&gt;=0,('Tính chọn'!$D$6+GiaDinh_K3!$D$8*Params!$C$6*C21)*'Tính chọn'!$D$23/Params!$C$16,('Tính chọn'!$D$6+GiaDinh_K3!$D$8*Params!$C$6*C21)*'Tính chọn'!$D$23*Params!$C$16)+Catalogue!$F$15*C21/'Tính chọn'!$D$23)</f>
        <v>0.938232917979761</v>
      </c>
      <c r="H21" s="45" t="n">
        <f aca="false">F21*D21/'Tính chọn'!$D$23</f>
        <v>22.6321191701783</v>
      </c>
    </row>
    <row r="22" customFormat="false" ht="14.25" hidden="false" customHeight="false" outlineLevel="0" collapsed="false">
      <c r="A22" s="41" t="n">
        <f aca="false">8*$B$5</f>
        <v>0.08</v>
      </c>
      <c r="B22" s="42" t="n">
        <f aca="false">IF(A22&lt;$F$4,GiaDinh_K3!$D$12,IF(A22&lt;$F$5,0,IF(A22&lt;$F$6,-GiaDinh_K3!$D$12,IF(A22&lt;$F$7,0,IF(A22&lt;$F$8,-GiaDinh_K3!$D$12,IF(A22&lt;$F$9,0,IF(A22&lt;$F$10,GiaDinh_K3!$D$12,0)))))))</f>
        <v>1.8</v>
      </c>
      <c r="C22" s="43" t="n">
        <f aca="false">IF(A22&lt;$F$4,GiaDinh_K3!$D$12*A22,IF(A22&lt;$F$5,GiaDinh_K3!$D$11,IF(A22&lt;$F$6,GiaDinh_K3!$D$11-GiaDinh_K3!$D$12*(A22-$F$5),IF(A22&lt;$F$7,0,IF(A22&lt;$F$8,-GiaDinh_K3!$D$12*(A22-$F$7),IF(A22&lt;$F$9,-GiaDinh_K3!$D$11,IF(A22&lt;$F$10,-GiaDinh_K3!$D$11+GiaDinh_K3!$D$12*(A22-$F$9),0)))))))</f>
        <v>0.144</v>
      </c>
      <c r="D22" s="46" t="n">
        <f aca="false">MAX(0,D21+(C21+C22)/2*$B$5)</f>
        <v>0.00576</v>
      </c>
      <c r="E22" s="46" t="n">
        <f aca="false">E21+(D21+D22)/2*$B$5</f>
        <v>0.0001548</v>
      </c>
      <c r="F22" s="42" t="n">
        <f aca="false">IF(A22&gt;$F$10,0,IF((Params!$C$21+GiaDinh_K3!$D$8*Params!$C$5*C22)&gt;=0,(Params!$C$21+GiaDinh_K3!$D$8*Params!$C$5*C22)*'Tính chọn'!$D$23/Params!$C$16,(Params!$C$21+GiaDinh_K3!$D$8*Params!$C$5*C22)*'Tính chọn'!$D$23*Params!$C$16)+Catalogue!$F$15*C22/'Tính chọn'!$D$23)</f>
        <v>4.45188256343855</v>
      </c>
      <c r="G22" s="42" t="n">
        <f aca="false">IF(A22&gt;$F$10,0,IF(('Tính chọn'!$D$6+GiaDinh_K3!$D$8*Params!$C$6*C22)&gt;=0,('Tính chọn'!$D$6+GiaDinh_K3!$D$8*Params!$C$6*C22)*'Tính chọn'!$D$23/Params!$C$16,('Tính chọn'!$D$6+GiaDinh_K3!$D$8*Params!$C$6*C22)*'Tính chọn'!$D$23*Params!$C$16)+Catalogue!$F$15*C22/'Tính chọn'!$D$23)</f>
        <v>1.03426234327632</v>
      </c>
      <c r="H22" s="45" t="n">
        <f aca="false">F22*D22/'Tính chọn'!$D$23</f>
        <v>31.8668745556014</v>
      </c>
    </row>
    <row r="23" customFormat="false" ht="14.25" hidden="false" customHeight="false" outlineLevel="0" collapsed="false">
      <c r="A23" s="41" t="n">
        <f aca="false">9*$B$5</f>
        <v>0.09</v>
      </c>
      <c r="B23" s="42" t="n">
        <f aca="false">IF(A23&lt;$F$4,GiaDinh_K3!$D$12,IF(A23&lt;$F$5,0,IF(A23&lt;$F$6,-GiaDinh_K3!$D$12,IF(A23&lt;$F$7,0,IF(A23&lt;$F$8,-GiaDinh_K3!$D$12,IF(A23&lt;$F$9,0,IF(A23&lt;$F$10,GiaDinh_K3!$D$12,0)))))))</f>
        <v>1.8</v>
      </c>
      <c r="C23" s="43" t="n">
        <f aca="false">IF(A23&lt;$F$4,GiaDinh_K3!$D$12*A23,IF(A23&lt;$F$5,GiaDinh_K3!$D$11,IF(A23&lt;$F$6,GiaDinh_K3!$D$11-GiaDinh_K3!$D$12*(A23-$F$5),IF(A23&lt;$F$7,0,IF(A23&lt;$F$8,-GiaDinh_K3!$D$12*(A23-$F$7),IF(A23&lt;$F$9,-GiaDinh_K3!$D$11,IF(A23&lt;$F$10,-GiaDinh_K3!$D$11+GiaDinh_K3!$D$12*(A23-$F$9),0)))))))</f>
        <v>0.162</v>
      </c>
      <c r="D23" s="46" t="n">
        <f aca="false">MAX(0,D22+(C22+C23)/2*$B$5)</f>
        <v>0.00729</v>
      </c>
      <c r="E23" s="46" t="n">
        <f aca="false">E22+(D22+D23)/2*$B$5</f>
        <v>0.00022005</v>
      </c>
      <c r="F23" s="42" t="n">
        <f aca="false">IF(A23&gt;$F$10,0,IF((Params!$C$21+GiaDinh_K3!$D$8*Params!$C$5*C23)&gt;=0,(Params!$C$21+GiaDinh_K3!$D$8*Params!$C$5*C23)*'Tính chọn'!$D$23/Params!$C$16,(Params!$C$21+GiaDinh_K3!$D$8*Params!$C$5*C23)*'Tính chọn'!$D$23*Params!$C$16)+Catalogue!$F$15*C23/'Tính chọn'!$D$23)</f>
        <v>4.77411419035736</v>
      </c>
      <c r="G23" s="42" t="n">
        <f aca="false">IF(A23&gt;$F$10,0,IF(('Tính chọn'!$D$6+GiaDinh_K3!$D$8*Params!$C$6*C23)&gt;=0,('Tính chọn'!$D$6+GiaDinh_K3!$D$8*Params!$C$6*C23)*'Tính chọn'!$D$23/Params!$C$16,('Tính chọn'!$D$6+GiaDinh_K3!$D$8*Params!$C$6*C23)*'Tính chọn'!$D$23*Params!$C$16)+Catalogue!$F$15*C23/'Tính chọn'!$D$23)</f>
        <v>1.13029176857289</v>
      </c>
      <c r="H23" s="45" t="n">
        <f aca="false">F23*D23/'Tính chọn'!$D$23</f>
        <v>43.2507475906121</v>
      </c>
    </row>
    <row r="24" customFormat="false" ht="14.25" hidden="false" customHeight="false" outlineLevel="0" collapsed="false">
      <c r="A24" s="41" t="n">
        <f aca="false">10*$B$5</f>
        <v>0.1</v>
      </c>
      <c r="B24" s="42" t="n">
        <f aca="false">IF(A24&lt;$F$4,GiaDinh_K3!$D$12,IF(A24&lt;$F$5,0,IF(A24&lt;$F$6,-GiaDinh_K3!$D$12,IF(A24&lt;$F$7,0,IF(A24&lt;$F$8,-GiaDinh_K3!$D$12,IF(A24&lt;$F$9,0,IF(A24&lt;$F$10,GiaDinh_K3!$D$12,0)))))))</f>
        <v>1.8</v>
      </c>
      <c r="C24" s="43" t="n">
        <f aca="false">IF(A24&lt;$F$4,GiaDinh_K3!$D$12*A24,IF(A24&lt;$F$5,GiaDinh_K3!$D$11,IF(A24&lt;$F$6,GiaDinh_K3!$D$11-GiaDinh_K3!$D$12*(A24-$F$5),IF(A24&lt;$F$7,0,IF(A24&lt;$F$8,-GiaDinh_K3!$D$12*(A24-$F$7),IF(A24&lt;$F$9,-GiaDinh_K3!$D$11,IF(A24&lt;$F$10,-GiaDinh_K3!$D$11+GiaDinh_K3!$D$12*(A24-$F$9),0)))))))</f>
        <v>0.18</v>
      </c>
      <c r="D24" s="46" t="n">
        <f aca="false">MAX(0,D23+(C23+C24)/2*$B$5)</f>
        <v>0.009</v>
      </c>
      <c r="E24" s="46" t="n">
        <f aca="false">E23+(D23+D24)/2*$B$5</f>
        <v>0.0003015</v>
      </c>
      <c r="F24" s="42" t="n">
        <f aca="false">IF(A24&gt;$F$10,0,IF((Params!$C$21+GiaDinh_K3!$D$8*Params!$C$5*C24)&gt;=0,(Params!$C$21+GiaDinh_K3!$D$8*Params!$C$5*C24)*'Tính chọn'!$D$23/Params!$C$16,(Params!$C$21+GiaDinh_K3!$D$8*Params!$C$5*C24)*'Tính chọn'!$D$23*Params!$C$16)+Catalogue!$F$15*C24/'Tính chọn'!$D$23)</f>
        <v>5.09634581727617</v>
      </c>
      <c r="G24" s="42" t="n">
        <f aca="false">IF(A24&gt;$F$10,0,IF(('Tính chọn'!$D$6+GiaDinh_K3!$D$8*Params!$C$6*C24)&gt;=0,('Tính chọn'!$D$6+GiaDinh_K3!$D$8*Params!$C$6*C24)*'Tính chọn'!$D$23/Params!$C$16,('Tính chọn'!$D$6+GiaDinh_K3!$D$8*Params!$C$6*C24)*'Tính chọn'!$D$23*Params!$C$16)+Catalogue!$F$15*C24/'Tính chọn'!$D$23)</f>
        <v>1.22632119386945</v>
      </c>
      <c r="H24" s="45" t="n">
        <f aca="false">F24*D24/'Tính chọn'!$D$23</f>
        <v>56.999977866409</v>
      </c>
    </row>
    <row r="25" customFormat="false" ht="14.25" hidden="false" customHeight="false" outlineLevel="0" collapsed="false">
      <c r="A25" s="41" t="n">
        <f aca="false">11*$B$5</f>
        <v>0.11</v>
      </c>
      <c r="B25" s="42" t="n">
        <f aca="false">IF(A25&lt;$F$4,GiaDinh_K3!$D$12,IF(A25&lt;$F$5,0,IF(A25&lt;$F$6,-GiaDinh_K3!$D$12,IF(A25&lt;$F$7,0,IF(A25&lt;$F$8,-GiaDinh_K3!$D$12,IF(A25&lt;$F$9,0,IF(A25&lt;$F$10,GiaDinh_K3!$D$12,0)))))))</f>
        <v>1.8</v>
      </c>
      <c r="C25" s="43" t="n">
        <f aca="false">IF(A25&lt;$F$4,GiaDinh_K3!$D$12*A25,IF(A25&lt;$F$5,GiaDinh_K3!$D$11,IF(A25&lt;$F$6,GiaDinh_K3!$D$11-GiaDinh_K3!$D$12*(A25-$F$5),IF(A25&lt;$F$7,0,IF(A25&lt;$F$8,-GiaDinh_K3!$D$12*(A25-$F$7),IF(A25&lt;$F$9,-GiaDinh_K3!$D$11,IF(A25&lt;$F$10,-GiaDinh_K3!$D$11+GiaDinh_K3!$D$12*(A25-$F$9),0)))))))</f>
        <v>0.198</v>
      </c>
      <c r="D25" s="46" t="n">
        <f aca="false">MAX(0,D24+(C24+C25)/2*$B$5)</f>
        <v>0.01089</v>
      </c>
      <c r="E25" s="46" t="n">
        <f aca="false">E24+(D24+D25)/2*$B$5</f>
        <v>0.00040095</v>
      </c>
      <c r="F25" s="42" t="n">
        <f aca="false">IF(A25&gt;$F$10,0,IF((Params!$C$21+GiaDinh_K3!$D$8*Params!$C$5*C25)&gt;=0,(Params!$C$21+GiaDinh_K3!$D$8*Params!$C$5*C25)*'Tính chọn'!$D$23/Params!$C$16,(Params!$C$21+GiaDinh_K3!$D$8*Params!$C$5*C25)*'Tính chọn'!$D$23*Params!$C$16)+Catalogue!$F$15*C25/'Tính chọn'!$D$23)</f>
        <v>5.41857744419498</v>
      </c>
      <c r="G25" s="42" t="n">
        <f aca="false">IF(A25&gt;$F$10,0,IF(('Tính chọn'!$D$6+GiaDinh_K3!$D$8*Params!$C$6*C25)&gt;=0,('Tính chọn'!$D$6+GiaDinh_K3!$D$8*Params!$C$6*C25)*'Tính chọn'!$D$23/Params!$C$16,('Tính chọn'!$D$6+GiaDinh_K3!$D$8*Params!$C$6*C25)*'Tính chọn'!$D$23*Params!$C$16)+Catalogue!$F$15*C25/'Tính chọn'!$D$23)</f>
        <v>1.32235061916601</v>
      </c>
      <c r="H25" s="45" t="n">
        <f aca="false">F25*D25/'Tính chọn'!$D$23</f>
        <v>73.3308049741903</v>
      </c>
    </row>
    <row r="26" customFormat="false" ht="14.25" hidden="false" customHeight="false" outlineLevel="0" collapsed="false">
      <c r="A26" s="41" t="n">
        <f aca="false">12*$B$5</f>
        <v>0.12</v>
      </c>
      <c r="B26" s="42" t="n">
        <f aca="false">IF(A26&lt;$F$4,GiaDinh_K3!$D$12,IF(A26&lt;$F$5,0,IF(A26&lt;$F$6,-GiaDinh_K3!$D$12,IF(A26&lt;$F$7,0,IF(A26&lt;$F$8,-GiaDinh_K3!$D$12,IF(A26&lt;$F$9,0,IF(A26&lt;$F$10,GiaDinh_K3!$D$12,0)))))))</f>
        <v>1.8</v>
      </c>
      <c r="C26" s="43" t="n">
        <f aca="false">IF(A26&lt;$F$4,GiaDinh_K3!$D$12*A26,IF(A26&lt;$F$5,GiaDinh_K3!$D$11,IF(A26&lt;$F$6,GiaDinh_K3!$D$11-GiaDinh_K3!$D$12*(A26-$F$5),IF(A26&lt;$F$7,0,IF(A26&lt;$F$8,-GiaDinh_K3!$D$12*(A26-$F$7),IF(A26&lt;$F$9,-GiaDinh_K3!$D$11,IF(A26&lt;$F$10,-GiaDinh_K3!$D$11+GiaDinh_K3!$D$12*(A26-$F$9),0)))))))</f>
        <v>0.216</v>
      </c>
      <c r="D26" s="46" t="n">
        <f aca="false">MAX(0,D25+(C25+C26)/2*$B$5)</f>
        <v>0.01296</v>
      </c>
      <c r="E26" s="46" t="n">
        <f aca="false">E25+(D25+D26)/2*$B$5</f>
        <v>0.0005202</v>
      </c>
      <c r="F26" s="42" t="n">
        <f aca="false">IF(A26&gt;$F$10,0,IF((Params!$C$21+GiaDinh_K3!$D$8*Params!$C$5*C26)&gt;=0,(Params!$C$21+GiaDinh_K3!$D$8*Params!$C$5*C26)*'Tính chọn'!$D$23/Params!$C$16,(Params!$C$21+GiaDinh_K3!$D$8*Params!$C$5*C26)*'Tính chọn'!$D$23*Params!$C$16)+Catalogue!$F$15*C26/'Tính chọn'!$D$23)</f>
        <v>5.74080907111379</v>
      </c>
      <c r="G26" s="42" t="n">
        <f aca="false">IF(A26&gt;$F$10,0,IF(('Tính chọn'!$D$6+GiaDinh_K3!$D$8*Params!$C$6*C26)&gt;=0,('Tính chọn'!$D$6+GiaDinh_K3!$D$8*Params!$C$6*C26)*'Tính chọn'!$D$23/Params!$C$16,('Tính chọn'!$D$6+GiaDinh_K3!$D$8*Params!$C$6*C26)*'Tính chọn'!$D$23*Params!$C$16)+Catalogue!$F$15*C26/'Tính chọn'!$D$23)</f>
        <v>1.41838004446257</v>
      </c>
      <c r="H26" s="45" t="n">
        <f aca="false">F26*D26/'Tính chọn'!$D$23</f>
        <v>92.4594685051547</v>
      </c>
    </row>
    <row r="27" customFormat="false" ht="14.25" hidden="false" customHeight="false" outlineLevel="0" collapsed="false">
      <c r="A27" s="41" t="n">
        <f aca="false">13*$B$5</f>
        <v>0.13</v>
      </c>
      <c r="B27" s="42" t="n">
        <f aca="false">IF(A27&lt;$F$4,GiaDinh_K3!$D$12,IF(A27&lt;$F$5,0,IF(A27&lt;$F$6,-GiaDinh_K3!$D$12,IF(A27&lt;$F$7,0,IF(A27&lt;$F$8,-GiaDinh_K3!$D$12,IF(A27&lt;$F$9,0,IF(A27&lt;$F$10,GiaDinh_K3!$D$12,0)))))))</f>
        <v>1.8</v>
      </c>
      <c r="C27" s="43" t="n">
        <f aca="false">IF(A27&lt;$F$4,GiaDinh_K3!$D$12*A27,IF(A27&lt;$F$5,GiaDinh_K3!$D$11,IF(A27&lt;$F$6,GiaDinh_K3!$D$11-GiaDinh_K3!$D$12*(A27-$F$5),IF(A27&lt;$F$7,0,IF(A27&lt;$F$8,-GiaDinh_K3!$D$12*(A27-$F$7),IF(A27&lt;$F$9,-GiaDinh_K3!$D$11,IF(A27&lt;$F$10,-GiaDinh_K3!$D$11+GiaDinh_K3!$D$12*(A27-$F$9),0)))))))</f>
        <v>0.234</v>
      </c>
      <c r="D27" s="46" t="n">
        <f aca="false">MAX(0,D26+(C26+C27)/2*$B$5)</f>
        <v>0.01521</v>
      </c>
      <c r="E27" s="46" t="n">
        <f aca="false">E26+(D26+D27)/2*$B$5</f>
        <v>0.00066105</v>
      </c>
      <c r="F27" s="42" t="n">
        <f aca="false">IF(A27&gt;$F$10,0,IF((Params!$C$21+GiaDinh_K3!$D$8*Params!$C$5*C27)&gt;=0,(Params!$C$21+GiaDinh_K3!$D$8*Params!$C$5*C27)*'Tính chọn'!$D$23/Params!$C$16,(Params!$C$21+GiaDinh_K3!$D$8*Params!$C$5*C27)*'Tính chọn'!$D$23*Params!$C$16)+Catalogue!$F$15*C27/'Tính chọn'!$D$23)</f>
        <v>6.0630406980326</v>
      </c>
      <c r="G27" s="42" t="n">
        <f aca="false">IF(A27&gt;$F$10,0,IF(('Tính chọn'!$D$6+GiaDinh_K3!$D$8*Params!$C$6*C27)&gt;=0,('Tính chọn'!$D$6+GiaDinh_K3!$D$8*Params!$C$6*C27)*'Tính chọn'!$D$23/Params!$C$16,('Tính chọn'!$D$6+GiaDinh_K3!$D$8*Params!$C$6*C27)*'Tính chọn'!$D$23*Params!$C$16)+Catalogue!$F$15*C27/'Tính chọn'!$D$23)</f>
        <v>1.51440946975913</v>
      </c>
      <c r="H27" s="45" t="n">
        <f aca="false">F27*D27/'Tính chọn'!$D$23</f>
        <v>114.602208050501</v>
      </c>
    </row>
    <row r="28" customFormat="false" ht="14.25" hidden="false" customHeight="false" outlineLevel="0" collapsed="false">
      <c r="A28" s="41" t="n">
        <f aca="false">14*$B$5</f>
        <v>0.14</v>
      </c>
      <c r="B28" s="42" t="n">
        <f aca="false">IF(A28&lt;$F$4,GiaDinh_K3!$D$12,IF(A28&lt;$F$5,0,IF(A28&lt;$F$6,-GiaDinh_K3!$D$12,IF(A28&lt;$F$7,0,IF(A28&lt;$F$8,-GiaDinh_K3!$D$12,IF(A28&lt;$F$9,0,IF(A28&lt;$F$10,GiaDinh_K3!$D$12,0)))))))</f>
        <v>1.8</v>
      </c>
      <c r="C28" s="43" t="n">
        <f aca="false">IF(A28&lt;$F$4,GiaDinh_K3!$D$12*A28,IF(A28&lt;$F$5,GiaDinh_K3!$D$11,IF(A28&lt;$F$6,GiaDinh_K3!$D$11-GiaDinh_K3!$D$12*(A28-$F$5),IF(A28&lt;$F$7,0,IF(A28&lt;$F$8,-GiaDinh_K3!$D$12*(A28-$F$7),IF(A28&lt;$F$9,-GiaDinh_K3!$D$11,IF(A28&lt;$F$10,-GiaDinh_K3!$D$11+GiaDinh_K3!$D$12*(A28-$F$9),0)))))))</f>
        <v>0.252</v>
      </c>
      <c r="D28" s="46" t="n">
        <f aca="false">MAX(0,D27+(C27+C28)/2*$B$5)</f>
        <v>0.01764</v>
      </c>
      <c r="E28" s="46" t="n">
        <f aca="false">E27+(D27+D28)/2*$B$5</f>
        <v>0.0008253</v>
      </c>
      <c r="F28" s="42" t="n">
        <f aca="false">IF(A28&gt;$F$10,0,IF((Params!$C$21+GiaDinh_K3!$D$8*Params!$C$5*C28)&gt;=0,(Params!$C$21+GiaDinh_K3!$D$8*Params!$C$5*C28)*'Tính chọn'!$D$23/Params!$C$16,(Params!$C$21+GiaDinh_K3!$D$8*Params!$C$5*C28)*'Tính chọn'!$D$23*Params!$C$16)+Catalogue!$F$15*C28/'Tính chọn'!$D$23)</f>
        <v>6.38527232495141</v>
      </c>
      <c r="G28" s="42" t="n">
        <f aca="false">IF(A28&gt;$F$10,0,IF(('Tính chọn'!$D$6+GiaDinh_K3!$D$8*Params!$C$6*C28)&gt;=0,('Tính chọn'!$D$6+GiaDinh_K3!$D$8*Params!$C$6*C28)*'Tính chọn'!$D$23/Params!$C$16,('Tính chọn'!$D$6+GiaDinh_K3!$D$8*Params!$C$6*C28)*'Tính chọn'!$D$23*Params!$C$16)+Catalogue!$F$15*C28/'Tính chọn'!$D$23)</f>
        <v>1.6104388950557</v>
      </c>
      <c r="H28" s="45" t="n">
        <f aca="false">F28*D28/'Tính chọn'!$D$23</f>
        <v>139.975263201426</v>
      </c>
    </row>
    <row r="29" customFormat="false" ht="14.25" hidden="false" customHeight="false" outlineLevel="0" collapsed="false">
      <c r="A29" s="41" t="n">
        <f aca="false">15*$B$5</f>
        <v>0.15</v>
      </c>
      <c r="B29" s="42" t="n">
        <f aca="false">IF(A29&lt;$F$4,GiaDinh_K3!$D$12,IF(A29&lt;$F$5,0,IF(A29&lt;$F$6,-GiaDinh_K3!$D$12,IF(A29&lt;$F$7,0,IF(A29&lt;$F$8,-GiaDinh_K3!$D$12,IF(A29&lt;$F$9,0,IF(A29&lt;$F$10,GiaDinh_K3!$D$12,0)))))))</f>
        <v>1.8</v>
      </c>
      <c r="C29" s="43" t="n">
        <f aca="false">IF(A29&lt;$F$4,GiaDinh_K3!$D$12*A29,IF(A29&lt;$F$5,GiaDinh_K3!$D$11,IF(A29&lt;$F$6,GiaDinh_K3!$D$11-GiaDinh_K3!$D$12*(A29-$F$5),IF(A29&lt;$F$7,0,IF(A29&lt;$F$8,-GiaDinh_K3!$D$12*(A29-$F$7),IF(A29&lt;$F$9,-GiaDinh_K3!$D$11,IF(A29&lt;$F$10,-GiaDinh_K3!$D$11+GiaDinh_K3!$D$12*(A29-$F$9),0)))))))</f>
        <v>0.27</v>
      </c>
      <c r="D29" s="46" t="n">
        <f aca="false">MAX(0,D28+(C28+C29)/2*$B$5)</f>
        <v>0.02025</v>
      </c>
      <c r="E29" s="46" t="n">
        <f aca="false">E28+(D28+D29)/2*$B$5</f>
        <v>0.00101475</v>
      </c>
      <c r="F29" s="42" t="n">
        <f aca="false">IF(A29&gt;$F$10,0,IF((Params!$C$21+GiaDinh_K3!$D$8*Params!$C$5*C29)&gt;=0,(Params!$C$21+GiaDinh_K3!$D$8*Params!$C$5*C29)*'Tính chọn'!$D$23/Params!$C$16,(Params!$C$21+GiaDinh_K3!$D$8*Params!$C$5*C29)*'Tính chọn'!$D$23*Params!$C$16)+Catalogue!$F$15*C29/'Tính chọn'!$D$23)</f>
        <v>6.70750395187022</v>
      </c>
      <c r="G29" s="42" t="n">
        <f aca="false">IF(A29&gt;$F$10,0,IF(('Tính chọn'!$D$6+GiaDinh_K3!$D$8*Params!$C$6*C29)&gt;=0,('Tính chọn'!$D$6+GiaDinh_K3!$D$8*Params!$C$6*C29)*'Tính chọn'!$D$23/Params!$C$16,('Tính chọn'!$D$6+GiaDinh_K3!$D$8*Params!$C$6*C29)*'Tính chọn'!$D$23*Params!$C$16)+Catalogue!$F$15*C29/'Tính chọn'!$D$23)</f>
        <v>1.70646832035226</v>
      </c>
      <c r="H29" s="45" t="n">
        <f aca="false">F29*D29/'Tính chọn'!$D$23</f>
        <v>168.79487354913</v>
      </c>
    </row>
    <row r="30" customFormat="false" ht="14.25" hidden="false" customHeight="false" outlineLevel="0" collapsed="false">
      <c r="A30" s="41" t="n">
        <f aca="false">16*$B$5</f>
        <v>0.16</v>
      </c>
      <c r="B30" s="42" t="n">
        <f aca="false">IF(A30&lt;$F$4,GiaDinh_K3!$D$12,IF(A30&lt;$F$5,0,IF(A30&lt;$F$6,-GiaDinh_K3!$D$12,IF(A30&lt;$F$7,0,IF(A30&lt;$F$8,-GiaDinh_K3!$D$12,IF(A30&lt;$F$9,0,IF(A30&lt;$F$10,GiaDinh_K3!$D$12,0)))))))</f>
        <v>1.8</v>
      </c>
      <c r="C30" s="43" t="n">
        <f aca="false">IF(A30&lt;$F$4,GiaDinh_K3!$D$12*A30,IF(A30&lt;$F$5,GiaDinh_K3!$D$11,IF(A30&lt;$F$6,GiaDinh_K3!$D$11-GiaDinh_K3!$D$12*(A30-$F$5),IF(A30&lt;$F$7,0,IF(A30&lt;$F$8,-GiaDinh_K3!$D$12*(A30-$F$7),IF(A30&lt;$F$9,-GiaDinh_K3!$D$11,IF(A30&lt;$F$10,-GiaDinh_K3!$D$11+GiaDinh_K3!$D$12*(A30-$F$9),0)))))))</f>
        <v>0.288</v>
      </c>
      <c r="D30" s="46" t="n">
        <f aca="false">MAX(0,D29+(C29+C30)/2*$B$5)</f>
        <v>0.02304</v>
      </c>
      <c r="E30" s="46" t="n">
        <f aca="false">E29+(D29+D30)/2*$B$5</f>
        <v>0.0012312</v>
      </c>
      <c r="F30" s="42" t="n">
        <f aca="false">IF(A30&gt;$F$10,0,IF((Params!$C$21+GiaDinh_K3!$D$8*Params!$C$5*C30)&gt;=0,(Params!$C$21+GiaDinh_K3!$D$8*Params!$C$5*C30)*'Tính chọn'!$D$23/Params!$C$16,(Params!$C$21+GiaDinh_K3!$D$8*Params!$C$5*C30)*'Tính chọn'!$D$23*Params!$C$16)+Catalogue!$F$15*C30/'Tính chọn'!$D$23)</f>
        <v>7.02973557878903</v>
      </c>
      <c r="G30" s="42" t="n">
        <f aca="false">IF(A30&gt;$F$10,0,IF(('Tính chọn'!$D$6+GiaDinh_K3!$D$8*Params!$C$6*C30)&gt;=0,('Tính chọn'!$D$6+GiaDinh_K3!$D$8*Params!$C$6*C30)*'Tính chọn'!$D$23/Params!$C$16,('Tính chọn'!$D$6+GiaDinh_K3!$D$8*Params!$C$6*C30)*'Tính chọn'!$D$23*Params!$C$16)+Catalogue!$F$15*C30/'Tính chọn'!$D$23)</f>
        <v>1.80249774564882</v>
      </c>
      <c r="H30" s="45" t="n">
        <f aca="false">F30*D30/'Tính chọn'!$D$23</f>
        <v>201.277278684811</v>
      </c>
    </row>
    <row r="31" customFormat="false" ht="14.25" hidden="false" customHeight="false" outlineLevel="0" collapsed="false">
      <c r="A31" s="41" t="n">
        <f aca="false">17*$B$5</f>
        <v>0.17</v>
      </c>
      <c r="B31" s="42" t="n">
        <f aca="false">IF(A31&lt;$F$4,GiaDinh_K3!$D$12,IF(A31&lt;$F$5,0,IF(A31&lt;$F$6,-GiaDinh_K3!$D$12,IF(A31&lt;$F$7,0,IF(A31&lt;$F$8,-GiaDinh_K3!$D$12,IF(A31&lt;$F$9,0,IF(A31&lt;$F$10,GiaDinh_K3!$D$12,0)))))))</f>
        <v>1.8</v>
      </c>
      <c r="C31" s="43" t="n">
        <f aca="false">IF(A31&lt;$F$4,GiaDinh_K3!$D$12*A31,IF(A31&lt;$F$5,GiaDinh_K3!$D$11,IF(A31&lt;$F$6,GiaDinh_K3!$D$11-GiaDinh_K3!$D$12*(A31-$F$5),IF(A31&lt;$F$7,0,IF(A31&lt;$F$8,-GiaDinh_K3!$D$12*(A31-$F$7),IF(A31&lt;$F$9,-GiaDinh_K3!$D$11,IF(A31&lt;$F$10,-GiaDinh_K3!$D$11+GiaDinh_K3!$D$12*(A31-$F$9),0)))))))</f>
        <v>0.306</v>
      </c>
      <c r="D31" s="46" t="n">
        <f aca="false">MAX(0,D30+(C30+C31)/2*$B$5)</f>
        <v>0.02601</v>
      </c>
      <c r="E31" s="46" t="n">
        <f aca="false">E30+(D30+D31)/2*$B$5</f>
        <v>0.00147645</v>
      </c>
      <c r="F31" s="42" t="n">
        <f aca="false">IF(A31&gt;$F$10,0,IF((Params!$C$21+GiaDinh_K3!$D$8*Params!$C$5*C31)&gt;=0,(Params!$C$21+GiaDinh_K3!$D$8*Params!$C$5*C31)*'Tính chọn'!$D$23/Params!$C$16,(Params!$C$21+GiaDinh_K3!$D$8*Params!$C$5*C31)*'Tính chọn'!$D$23*Params!$C$16)+Catalogue!$F$15*C31/'Tính chọn'!$D$23)</f>
        <v>7.35196720570784</v>
      </c>
      <c r="G31" s="42" t="n">
        <f aca="false">IF(A31&gt;$F$10,0,IF(('Tính chọn'!$D$6+GiaDinh_K3!$D$8*Params!$C$6*C31)&gt;=0,('Tính chọn'!$D$6+GiaDinh_K3!$D$8*Params!$C$6*C31)*'Tính chọn'!$D$23/Params!$C$16,('Tính chọn'!$D$6+GiaDinh_K3!$D$8*Params!$C$6*C31)*'Tính chọn'!$D$23*Params!$C$16)+Catalogue!$F$15*C31/'Tính chọn'!$D$23)</f>
        <v>1.89852717094538</v>
      </c>
      <c r="H31" s="45" t="n">
        <f aca="false">F31*D31/'Tính chọn'!$D$23</f>
        <v>237.638718199667</v>
      </c>
    </row>
    <row r="32" customFormat="false" ht="14.25" hidden="false" customHeight="false" outlineLevel="0" collapsed="false">
      <c r="A32" s="41" t="n">
        <f aca="false">18*$B$5</f>
        <v>0.18</v>
      </c>
      <c r="B32" s="42" t="n">
        <f aca="false">IF(A32&lt;$F$4,GiaDinh_K3!$D$12,IF(A32&lt;$F$5,0,IF(A32&lt;$F$6,-GiaDinh_K3!$D$12,IF(A32&lt;$F$7,0,IF(A32&lt;$F$8,-GiaDinh_K3!$D$12,IF(A32&lt;$F$9,0,IF(A32&lt;$F$10,GiaDinh_K3!$D$12,0)))))))</f>
        <v>1.8</v>
      </c>
      <c r="C32" s="43" t="n">
        <f aca="false">IF(A32&lt;$F$4,GiaDinh_K3!$D$12*A32,IF(A32&lt;$F$5,GiaDinh_K3!$D$11,IF(A32&lt;$F$6,GiaDinh_K3!$D$11-GiaDinh_K3!$D$12*(A32-$F$5),IF(A32&lt;$F$7,0,IF(A32&lt;$F$8,-GiaDinh_K3!$D$12*(A32-$F$7),IF(A32&lt;$F$9,-GiaDinh_K3!$D$11,IF(A32&lt;$F$10,-GiaDinh_K3!$D$11+GiaDinh_K3!$D$12*(A32-$F$9),0)))))))</f>
        <v>0.324</v>
      </c>
      <c r="D32" s="46" t="n">
        <f aca="false">MAX(0,D31+(C31+C32)/2*$B$5)</f>
        <v>0.02916</v>
      </c>
      <c r="E32" s="46" t="n">
        <f aca="false">E31+(D31+D32)/2*$B$5</f>
        <v>0.0017523</v>
      </c>
      <c r="F32" s="42" t="n">
        <f aca="false">IF(A32&gt;$F$10,0,IF((Params!$C$21+GiaDinh_K3!$D$8*Params!$C$5*C32)&gt;=0,(Params!$C$21+GiaDinh_K3!$D$8*Params!$C$5*C32)*'Tính chọn'!$D$23/Params!$C$16,(Params!$C$21+GiaDinh_K3!$D$8*Params!$C$5*C32)*'Tính chọn'!$D$23*Params!$C$16)+Catalogue!$F$15*C32/'Tính chọn'!$D$23)</f>
        <v>7.67419883262665</v>
      </c>
      <c r="G32" s="42" t="n">
        <f aca="false">IF(A32&gt;$F$10,0,IF(('Tính chọn'!$D$6+GiaDinh_K3!$D$8*Params!$C$6*C32)&gt;=0,('Tính chọn'!$D$6+GiaDinh_K3!$D$8*Params!$C$6*C32)*'Tính chọn'!$D$23/Params!$C$16,('Tính chọn'!$D$6+GiaDinh_K3!$D$8*Params!$C$6*C32)*'Tính chọn'!$D$23*Params!$C$16)+Catalogue!$F$15*C32/'Tính chọn'!$D$23)</f>
        <v>1.99455659624195</v>
      </c>
      <c r="H32" s="45" t="n">
        <f aca="false">F32*D32/'Tính chọn'!$D$23</f>
        <v>278.095431684897</v>
      </c>
    </row>
    <row r="33" customFormat="false" ht="14.25" hidden="false" customHeight="false" outlineLevel="0" collapsed="false">
      <c r="A33" s="41" t="n">
        <f aca="false">19*$B$5</f>
        <v>0.19</v>
      </c>
      <c r="B33" s="42" t="n">
        <f aca="false">IF(A33&lt;$F$4,GiaDinh_K3!$D$12,IF(A33&lt;$F$5,0,IF(A33&lt;$F$6,-GiaDinh_K3!$D$12,IF(A33&lt;$F$7,0,IF(A33&lt;$F$8,-GiaDinh_K3!$D$12,IF(A33&lt;$F$9,0,IF(A33&lt;$F$10,GiaDinh_K3!$D$12,0)))))))</f>
        <v>1.8</v>
      </c>
      <c r="C33" s="43" t="n">
        <f aca="false">IF(A33&lt;$F$4,GiaDinh_K3!$D$12*A33,IF(A33&lt;$F$5,GiaDinh_K3!$D$11,IF(A33&lt;$F$6,GiaDinh_K3!$D$11-GiaDinh_K3!$D$12*(A33-$F$5),IF(A33&lt;$F$7,0,IF(A33&lt;$F$8,-GiaDinh_K3!$D$12*(A33-$F$7),IF(A33&lt;$F$9,-GiaDinh_K3!$D$11,IF(A33&lt;$F$10,-GiaDinh_K3!$D$11+GiaDinh_K3!$D$12*(A33-$F$9),0)))))))</f>
        <v>0.342</v>
      </c>
      <c r="D33" s="46" t="n">
        <f aca="false">MAX(0,D32+(C32+C33)/2*$B$5)</f>
        <v>0.03249</v>
      </c>
      <c r="E33" s="46" t="n">
        <f aca="false">E32+(D32+D33)/2*$B$5</f>
        <v>0.00206055</v>
      </c>
      <c r="F33" s="42" t="n">
        <f aca="false">IF(A33&gt;$F$10,0,IF((Params!$C$21+GiaDinh_K3!$D$8*Params!$C$5*C33)&gt;=0,(Params!$C$21+GiaDinh_K3!$D$8*Params!$C$5*C33)*'Tính chọn'!$D$23/Params!$C$16,(Params!$C$21+GiaDinh_K3!$D$8*Params!$C$5*C33)*'Tính chọn'!$D$23*Params!$C$16)+Catalogue!$F$15*C33/'Tính chọn'!$D$23)</f>
        <v>7.99643045954546</v>
      </c>
      <c r="G33" s="42" t="n">
        <f aca="false">IF(A33&gt;$F$10,0,IF(('Tính chọn'!$D$6+GiaDinh_K3!$D$8*Params!$C$6*C33)&gt;=0,('Tính chọn'!$D$6+GiaDinh_K3!$D$8*Params!$C$6*C33)*'Tính chọn'!$D$23/Params!$C$16,('Tính chọn'!$D$6+GiaDinh_K3!$D$8*Params!$C$6*C33)*'Tính chọn'!$D$23*Params!$C$16)+Catalogue!$F$15*C33/'Tính chọn'!$D$23)</f>
        <v>2.09058602153851</v>
      </c>
      <c r="H33" s="45" t="n">
        <f aca="false">F33*D33/'Tính chọn'!$D$23</f>
        <v>322.863658731699</v>
      </c>
    </row>
    <row r="34" customFormat="false" ht="14.25" hidden="false" customHeight="false" outlineLevel="0" collapsed="false">
      <c r="A34" s="41" t="n">
        <f aca="false">20*$B$5</f>
        <v>0.2</v>
      </c>
      <c r="B34" s="42" t="n">
        <f aca="false">IF(A34&lt;$F$4,GiaDinh_K3!$D$12,IF(A34&lt;$F$5,0,IF(A34&lt;$F$6,-GiaDinh_K3!$D$12,IF(A34&lt;$F$7,0,IF(A34&lt;$F$8,-GiaDinh_K3!$D$12,IF(A34&lt;$F$9,0,IF(A34&lt;$F$10,GiaDinh_K3!$D$12,0)))))))</f>
        <v>1.8</v>
      </c>
      <c r="C34" s="43" t="n">
        <f aca="false">IF(A34&lt;$F$4,GiaDinh_K3!$D$12*A34,IF(A34&lt;$F$5,GiaDinh_K3!$D$11,IF(A34&lt;$F$6,GiaDinh_K3!$D$11-GiaDinh_K3!$D$12*(A34-$F$5),IF(A34&lt;$F$7,0,IF(A34&lt;$F$8,-GiaDinh_K3!$D$12*(A34-$F$7),IF(A34&lt;$F$9,-GiaDinh_K3!$D$11,IF(A34&lt;$F$10,-GiaDinh_K3!$D$11+GiaDinh_K3!$D$12*(A34-$F$9),0)))))))</f>
        <v>0.36</v>
      </c>
      <c r="D34" s="46" t="n">
        <f aca="false">MAX(0,D33+(C33+C34)/2*$B$5)</f>
        <v>0.036</v>
      </c>
      <c r="E34" s="46" t="n">
        <f aca="false">E33+(D33+D34)/2*$B$5</f>
        <v>0.002403</v>
      </c>
      <c r="F34" s="42" t="n">
        <f aca="false">IF(A34&gt;$F$10,0,IF((Params!$C$21+GiaDinh_K3!$D$8*Params!$C$5*C34)&gt;=0,(Params!$C$21+GiaDinh_K3!$D$8*Params!$C$5*C34)*'Tính chọn'!$D$23/Params!$C$16,(Params!$C$21+GiaDinh_K3!$D$8*Params!$C$5*C34)*'Tính chọn'!$D$23*Params!$C$16)+Catalogue!$F$15*C34/'Tính chọn'!$D$23)</f>
        <v>8.31866208646427</v>
      </c>
      <c r="G34" s="42" t="n">
        <f aca="false">IF(A34&gt;$F$10,0,IF(('Tính chọn'!$D$6+GiaDinh_K3!$D$8*Params!$C$6*C34)&gt;=0,('Tính chọn'!$D$6+GiaDinh_K3!$D$8*Params!$C$6*C34)*'Tính chọn'!$D$23/Params!$C$16,('Tính chọn'!$D$6+GiaDinh_K3!$D$8*Params!$C$6*C34)*'Tính chọn'!$D$23*Params!$C$16)+Catalogue!$F$15*C34/'Tính chọn'!$D$23)</f>
        <v>2.18661544683507</v>
      </c>
      <c r="H34" s="45" t="n">
        <f aca="false">F34*D34/'Tính chọn'!$D$23</f>
        <v>372.159638931272</v>
      </c>
    </row>
    <row r="35" customFormat="false" ht="14.25" hidden="false" customHeight="false" outlineLevel="0" collapsed="false">
      <c r="A35" s="41" t="n">
        <f aca="false">21*$B$5</f>
        <v>0.21</v>
      </c>
      <c r="B35" s="42" t="n">
        <f aca="false">IF(A35&lt;$F$4,GiaDinh_K3!$D$12,IF(A35&lt;$F$5,0,IF(A35&lt;$F$6,-GiaDinh_K3!$D$12,IF(A35&lt;$F$7,0,IF(A35&lt;$F$8,-GiaDinh_K3!$D$12,IF(A35&lt;$F$9,0,IF(A35&lt;$F$10,GiaDinh_K3!$D$12,0)))))))</f>
        <v>1.8</v>
      </c>
      <c r="C35" s="43" t="n">
        <f aca="false">IF(A35&lt;$F$4,GiaDinh_K3!$D$12*A35,IF(A35&lt;$F$5,GiaDinh_K3!$D$11,IF(A35&lt;$F$6,GiaDinh_K3!$D$11-GiaDinh_K3!$D$12*(A35-$F$5),IF(A35&lt;$F$7,0,IF(A35&lt;$F$8,-GiaDinh_K3!$D$12*(A35-$F$7),IF(A35&lt;$F$9,-GiaDinh_K3!$D$11,IF(A35&lt;$F$10,-GiaDinh_K3!$D$11+GiaDinh_K3!$D$12*(A35-$F$9),0)))))))</f>
        <v>0.378</v>
      </c>
      <c r="D35" s="46" t="n">
        <f aca="false">MAX(0,D34+(C34+C35)/2*$B$5)</f>
        <v>0.03969</v>
      </c>
      <c r="E35" s="46" t="n">
        <f aca="false">E34+(D34+D35)/2*$B$5</f>
        <v>0.00278145</v>
      </c>
      <c r="F35" s="42" t="n">
        <f aca="false">IF(A35&gt;$F$10,0,IF((Params!$C$21+GiaDinh_K3!$D$8*Params!$C$5*C35)&gt;=0,(Params!$C$21+GiaDinh_K3!$D$8*Params!$C$5*C35)*'Tính chọn'!$D$23/Params!$C$16,(Params!$C$21+GiaDinh_K3!$D$8*Params!$C$5*C35)*'Tính chọn'!$D$23*Params!$C$16)+Catalogue!$F$15*C35/'Tính chọn'!$D$23)</f>
        <v>8.64089371338308</v>
      </c>
      <c r="G35" s="42" t="n">
        <f aca="false">IF(A35&gt;$F$10,0,IF(('Tính chọn'!$D$6+GiaDinh_K3!$D$8*Params!$C$6*C35)&gt;=0,('Tính chọn'!$D$6+GiaDinh_K3!$D$8*Params!$C$6*C35)*'Tính chọn'!$D$23/Params!$C$16,('Tính chọn'!$D$6+GiaDinh_K3!$D$8*Params!$C$6*C35)*'Tính chọn'!$D$23*Params!$C$16)+Catalogue!$F$15*C35/'Tính chọn'!$D$23)</f>
        <v>2.28264487213163</v>
      </c>
      <c r="H35" s="45" t="n">
        <f aca="false">F35*D35/'Tính chọn'!$D$23</f>
        <v>426.199611874813</v>
      </c>
    </row>
    <row r="36" customFormat="false" ht="14.25" hidden="false" customHeight="false" outlineLevel="0" collapsed="false">
      <c r="A36" s="41" t="n">
        <f aca="false">22*$B$5</f>
        <v>0.22</v>
      </c>
      <c r="B36" s="42" t="n">
        <f aca="false">IF(A36&lt;$F$4,GiaDinh_K3!$D$12,IF(A36&lt;$F$5,0,IF(A36&lt;$F$6,-GiaDinh_K3!$D$12,IF(A36&lt;$F$7,0,IF(A36&lt;$F$8,-GiaDinh_K3!$D$12,IF(A36&lt;$F$9,0,IF(A36&lt;$F$10,GiaDinh_K3!$D$12,0)))))))</f>
        <v>1.8</v>
      </c>
      <c r="C36" s="43" t="n">
        <f aca="false">IF(A36&lt;$F$4,GiaDinh_K3!$D$12*A36,IF(A36&lt;$F$5,GiaDinh_K3!$D$11,IF(A36&lt;$F$6,GiaDinh_K3!$D$11-GiaDinh_K3!$D$12*(A36-$F$5),IF(A36&lt;$F$7,0,IF(A36&lt;$F$8,-GiaDinh_K3!$D$12*(A36-$F$7),IF(A36&lt;$F$9,-GiaDinh_K3!$D$11,IF(A36&lt;$F$10,-GiaDinh_K3!$D$11+GiaDinh_K3!$D$12*(A36-$F$9),0)))))))</f>
        <v>0.396</v>
      </c>
      <c r="D36" s="46" t="n">
        <f aca="false">MAX(0,D35+(C35+C36)/2*$B$5)</f>
        <v>0.04356</v>
      </c>
      <c r="E36" s="46" t="n">
        <f aca="false">E35+(D35+D36)/2*$B$5</f>
        <v>0.0031977</v>
      </c>
      <c r="F36" s="42" t="n">
        <f aca="false">IF(A36&gt;$F$10,0,IF((Params!$C$21+GiaDinh_K3!$D$8*Params!$C$5*C36)&gt;=0,(Params!$C$21+GiaDinh_K3!$D$8*Params!$C$5*C36)*'Tính chọn'!$D$23/Params!$C$16,(Params!$C$21+GiaDinh_K3!$D$8*Params!$C$5*C36)*'Tính chọn'!$D$23*Params!$C$16)+Catalogue!$F$15*C36/'Tính chọn'!$D$23)</f>
        <v>8.96312534030189</v>
      </c>
      <c r="G36" s="42" t="n">
        <f aca="false">IF(A36&gt;$F$10,0,IF(('Tính chọn'!$D$6+GiaDinh_K3!$D$8*Params!$C$6*C36)&gt;=0,('Tính chọn'!$D$6+GiaDinh_K3!$D$8*Params!$C$6*C36)*'Tính chọn'!$D$23/Params!$C$16,('Tính chọn'!$D$6+GiaDinh_K3!$D$8*Params!$C$6*C36)*'Tính chọn'!$D$23*Params!$C$16)+Catalogue!$F$15*C36/'Tính chọn'!$D$23)</f>
        <v>2.3786742974282</v>
      </c>
      <c r="H36" s="45" t="n">
        <f aca="false">F36*D36/'Tính chọn'!$D$23</f>
        <v>485.199817153523</v>
      </c>
    </row>
    <row r="37" customFormat="false" ht="14.25" hidden="false" customHeight="false" outlineLevel="0" collapsed="false">
      <c r="A37" s="41" t="n">
        <f aca="false">23*$B$5</f>
        <v>0.23</v>
      </c>
      <c r="B37" s="42" t="n">
        <f aca="false">IF(A37&lt;$F$4,GiaDinh_K3!$D$12,IF(A37&lt;$F$5,0,IF(A37&lt;$F$6,-GiaDinh_K3!$D$12,IF(A37&lt;$F$7,0,IF(A37&lt;$F$8,-GiaDinh_K3!$D$12,IF(A37&lt;$F$9,0,IF(A37&lt;$F$10,GiaDinh_K3!$D$12,0)))))))</f>
        <v>1.8</v>
      </c>
      <c r="C37" s="43" t="n">
        <f aca="false">IF(A37&lt;$F$4,GiaDinh_K3!$D$12*A37,IF(A37&lt;$F$5,GiaDinh_K3!$D$11,IF(A37&lt;$F$6,GiaDinh_K3!$D$11-GiaDinh_K3!$D$12*(A37-$F$5),IF(A37&lt;$F$7,0,IF(A37&lt;$F$8,-GiaDinh_K3!$D$12*(A37-$F$7),IF(A37&lt;$F$9,-GiaDinh_K3!$D$11,IF(A37&lt;$F$10,-GiaDinh_K3!$D$11+GiaDinh_K3!$D$12*(A37-$F$9),0)))))))</f>
        <v>0.414</v>
      </c>
      <c r="D37" s="46" t="n">
        <f aca="false">MAX(0,D36+(C36+C37)/2*$B$5)</f>
        <v>0.04761</v>
      </c>
      <c r="E37" s="46" t="n">
        <f aca="false">E36+(D36+D37)/2*$B$5</f>
        <v>0.00365355</v>
      </c>
      <c r="F37" s="42" t="n">
        <f aca="false">IF(A37&gt;$F$10,0,IF((Params!$C$21+GiaDinh_K3!$D$8*Params!$C$5*C37)&gt;=0,(Params!$C$21+GiaDinh_K3!$D$8*Params!$C$5*C37)*'Tính chọn'!$D$23/Params!$C$16,(Params!$C$21+GiaDinh_K3!$D$8*Params!$C$5*C37)*'Tính chọn'!$D$23*Params!$C$16)+Catalogue!$F$15*C37/'Tính chọn'!$D$23)</f>
        <v>9.2853569672207</v>
      </c>
      <c r="G37" s="42" t="n">
        <f aca="false">IF(A37&gt;$F$10,0,IF(('Tính chọn'!$D$6+GiaDinh_K3!$D$8*Params!$C$6*C37)&gt;=0,('Tính chọn'!$D$6+GiaDinh_K3!$D$8*Params!$C$6*C37)*'Tính chọn'!$D$23/Params!$C$16,('Tính chọn'!$D$6+GiaDinh_K3!$D$8*Params!$C$6*C37)*'Tính chọn'!$D$23*Params!$C$16)+Catalogue!$F$15*C37/'Tính chọn'!$D$23)</f>
        <v>2.47470372272476</v>
      </c>
      <c r="H37" s="45" t="n">
        <f aca="false">F37*D37/'Tính chọn'!$D$23</f>
        <v>549.376494358598</v>
      </c>
    </row>
    <row r="38" customFormat="false" ht="14.25" hidden="false" customHeight="false" outlineLevel="0" collapsed="false">
      <c r="A38" s="41" t="n">
        <f aca="false">24*$B$5</f>
        <v>0.24</v>
      </c>
      <c r="B38" s="42" t="n">
        <f aca="false">IF(A38&lt;$F$4,GiaDinh_K3!$D$12,IF(A38&lt;$F$5,0,IF(A38&lt;$F$6,-GiaDinh_K3!$D$12,IF(A38&lt;$F$7,0,IF(A38&lt;$F$8,-GiaDinh_K3!$D$12,IF(A38&lt;$F$9,0,IF(A38&lt;$F$10,GiaDinh_K3!$D$12,0)))))))</f>
        <v>1.8</v>
      </c>
      <c r="C38" s="43" t="n">
        <f aca="false">IF(A38&lt;$F$4,GiaDinh_K3!$D$12*A38,IF(A38&lt;$F$5,GiaDinh_K3!$D$11,IF(A38&lt;$F$6,GiaDinh_K3!$D$11-GiaDinh_K3!$D$12*(A38-$F$5),IF(A38&lt;$F$7,0,IF(A38&lt;$F$8,-GiaDinh_K3!$D$12*(A38-$F$7),IF(A38&lt;$F$9,-GiaDinh_K3!$D$11,IF(A38&lt;$F$10,-GiaDinh_K3!$D$11+GiaDinh_K3!$D$12*(A38-$F$9),0)))))))</f>
        <v>0.432</v>
      </c>
      <c r="D38" s="46" t="n">
        <f aca="false">MAX(0,D37+(C37+C38)/2*$B$5)</f>
        <v>0.05184</v>
      </c>
      <c r="E38" s="46" t="n">
        <f aca="false">E37+(D37+D38)/2*$B$5</f>
        <v>0.0041508</v>
      </c>
      <c r="F38" s="42" t="n">
        <f aca="false">IF(A38&gt;$F$10,0,IF((Params!$C$21+GiaDinh_K3!$D$8*Params!$C$5*C38)&gt;=0,(Params!$C$21+GiaDinh_K3!$D$8*Params!$C$5*C38)*'Tính chọn'!$D$23/Params!$C$16,(Params!$C$21+GiaDinh_K3!$D$8*Params!$C$5*C38)*'Tính chọn'!$D$23*Params!$C$16)+Catalogue!$F$15*C38/'Tính chọn'!$D$23)</f>
        <v>9.60758859413951</v>
      </c>
      <c r="G38" s="42" t="n">
        <f aca="false">IF(A38&gt;$F$10,0,IF(('Tính chọn'!$D$6+GiaDinh_K3!$D$8*Params!$C$6*C38)&gt;=0,('Tính chọn'!$D$6+GiaDinh_K3!$D$8*Params!$C$6*C38)*'Tính chọn'!$D$23/Params!$C$16,('Tính chọn'!$D$6+GiaDinh_K3!$D$8*Params!$C$6*C38)*'Tính chọn'!$D$23*Params!$C$16)+Catalogue!$F$15*C38/'Tính chọn'!$D$23)</f>
        <v>2.57073314802132</v>
      </c>
      <c r="H38" s="45" t="n">
        <f aca="false">F38*D38/'Tính chọn'!$D$23</f>
        <v>618.945883081238</v>
      </c>
    </row>
    <row r="39" customFormat="false" ht="14.25" hidden="false" customHeight="false" outlineLevel="0" collapsed="false">
      <c r="A39" s="41" t="n">
        <f aca="false">25*$B$5</f>
        <v>0.25</v>
      </c>
      <c r="B39" s="42" t="n">
        <f aca="false">IF(A39&lt;$F$4,GiaDinh_K3!$D$12,IF(A39&lt;$F$5,0,IF(A39&lt;$F$6,-GiaDinh_K3!$D$12,IF(A39&lt;$F$7,0,IF(A39&lt;$F$8,-GiaDinh_K3!$D$12,IF(A39&lt;$F$9,0,IF(A39&lt;$F$10,GiaDinh_K3!$D$12,0)))))))</f>
        <v>0</v>
      </c>
      <c r="C39" s="43" t="n">
        <f aca="false">IF(A39&lt;$F$4,GiaDinh_K3!$D$12*A39,IF(A39&lt;$F$5,GiaDinh_K3!$D$11,IF(A39&lt;$F$6,GiaDinh_K3!$D$11-GiaDinh_K3!$D$12*(A39-$F$5),IF(A39&lt;$F$7,0,IF(A39&lt;$F$8,-GiaDinh_K3!$D$12*(A39-$F$7),IF(A39&lt;$F$9,-GiaDinh_K3!$D$11,IF(A39&lt;$F$10,-GiaDinh_K3!$D$11+GiaDinh_K3!$D$12*(A39-$F$9),0)))))))</f>
        <v>0.45</v>
      </c>
      <c r="D39" s="46" t="n">
        <f aca="false">MAX(0,D38+(C38+C39)/2*$B$5)</f>
        <v>0.05625</v>
      </c>
      <c r="E39" s="46" t="n">
        <f aca="false">E38+(D38+D39)/2*$B$5</f>
        <v>0.00469125</v>
      </c>
      <c r="F39" s="42" t="n">
        <f aca="false">IF(A39&gt;$F$10,0,IF((Params!$C$21+GiaDinh_K3!$D$8*Params!$C$5*C39)&gt;=0,(Params!$C$21+GiaDinh_K3!$D$8*Params!$C$5*C39)*'Tính chọn'!$D$23/Params!$C$16,(Params!$C$21+GiaDinh_K3!$D$8*Params!$C$5*C39)*'Tính chọn'!$D$23*Params!$C$16)+Catalogue!$F$15*C39/'Tính chọn'!$D$23)</f>
        <v>9.92982022105833</v>
      </c>
      <c r="G39" s="42" t="n">
        <f aca="false">IF(A39&gt;$F$10,0,IF(('Tính chọn'!$D$6+GiaDinh_K3!$D$8*Params!$C$6*C39)&gt;=0,('Tính chọn'!$D$6+GiaDinh_K3!$D$8*Params!$C$6*C39)*'Tính chọn'!$D$23/Params!$C$16,('Tính chọn'!$D$6+GiaDinh_K3!$D$8*Params!$C$6*C39)*'Tính chọn'!$D$23*Params!$C$16)+Catalogue!$F$15*C39/'Tính chọn'!$D$23)</f>
        <v>2.66676257331788</v>
      </c>
      <c r="H39" s="45" t="n">
        <f aca="false">F39*D39/'Tính chọn'!$D$23</f>
        <v>694.12422291264</v>
      </c>
    </row>
    <row r="40" customFormat="false" ht="14.25" hidden="false" customHeight="false" outlineLevel="0" collapsed="false">
      <c r="A40" s="41" t="n">
        <f aca="false">26*$B$5</f>
        <v>0.26</v>
      </c>
      <c r="B40" s="42" t="n">
        <f aca="false">IF(A40&lt;$F$4,GiaDinh_K3!$D$12,IF(A40&lt;$F$5,0,IF(A40&lt;$F$6,-GiaDinh_K3!$D$12,IF(A40&lt;$F$7,0,IF(A40&lt;$F$8,-GiaDinh_K3!$D$12,IF(A40&lt;$F$9,0,IF(A40&lt;$F$10,GiaDinh_K3!$D$12,0)))))))</f>
        <v>0</v>
      </c>
      <c r="C40" s="43" t="n">
        <f aca="false">IF(A40&lt;$F$4,GiaDinh_K3!$D$12*A40,IF(A40&lt;$F$5,GiaDinh_K3!$D$11,IF(A40&lt;$F$6,GiaDinh_K3!$D$11-GiaDinh_K3!$D$12*(A40-$F$5),IF(A40&lt;$F$7,0,IF(A40&lt;$F$8,-GiaDinh_K3!$D$12*(A40-$F$7),IF(A40&lt;$F$9,-GiaDinh_K3!$D$11,IF(A40&lt;$F$10,-GiaDinh_K3!$D$11+GiaDinh_K3!$D$12*(A40-$F$9),0)))))))</f>
        <v>0.45</v>
      </c>
      <c r="D40" s="46" t="n">
        <f aca="false">MAX(0,D39+(C39+C40)/2*$B$5)</f>
        <v>0.06075</v>
      </c>
      <c r="E40" s="46" t="n">
        <f aca="false">E39+(D39+D40)/2*$B$5</f>
        <v>0.00527625</v>
      </c>
      <c r="F40" s="42" t="n">
        <f aca="false">IF(A40&gt;$F$10,0,IF((Params!$C$21+GiaDinh_K3!$D$8*Params!$C$5*C40)&gt;=0,(Params!$C$21+GiaDinh_K3!$D$8*Params!$C$5*C40)*'Tính chọn'!$D$23/Params!$C$16,(Params!$C$21+GiaDinh_K3!$D$8*Params!$C$5*C40)*'Tính chọn'!$D$23*Params!$C$16)+Catalogue!$F$15*C40/'Tính chọn'!$D$23)</f>
        <v>9.92982022105833</v>
      </c>
      <c r="G40" s="42" t="n">
        <f aca="false">IF(A40&gt;$F$10,0,IF(('Tính chọn'!$D$6+GiaDinh_K3!$D$8*Params!$C$6*C40)&gt;=0,('Tính chọn'!$D$6+GiaDinh_K3!$D$8*Params!$C$6*C40)*'Tính chọn'!$D$23/Params!$C$16,('Tính chọn'!$D$6+GiaDinh_K3!$D$8*Params!$C$6*C40)*'Tính chọn'!$D$23*Params!$C$16)+Catalogue!$F$15*C40/'Tính chọn'!$D$23)</f>
        <v>2.66676257331788</v>
      </c>
      <c r="H40" s="45" t="n">
        <f aca="false">F40*D40/'Tính chọn'!$D$23</f>
        <v>749.654160745651</v>
      </c>
    </row>
    <row r="41" customFormat="false" ht="14.25" hidden="false" customHeight="false" outlineLevel="0" collapsed="false">
      <c r="A41" s="41" t="n">
        <f aca="false">27*$B$5</f>
        <v>0.27</v>
      </c>
      <c r="B41" s="42" t="n">
        <f aca="false">IF(A41&lt;$F$4,GiaDinh_K3!$D$12,IF(A41&lt;$F$5,0,IF(A41&lt;$F$6,-GiaDinh_K3!$D$12,IF(A41&lt;$F$7,0,IF(A41&lt;$F$8,-GiaDinh_K3!$D$12,IF(A41&lt;$F$9,0,IF(A41&lt;$F$10,GiaDinh_K3!$D$12,0)))))))</f>
        <v>-1.8</v>
      </c>
      <c r="C41" s="43" t="n">
        <f aca="false">IF(A41&lt;$F$4,GiaDinh_K3!$D$12*A41,IF(A41&lt;$F$5,GiaDinh_K3!$D$11,IF(A41&lt;$F$6,GiaDinh_K3!$D$11-GiaDinh_K3!$D$12*(A41-$F$5),IF(A41&lt;$F$7,0,IF(A41&lt;$F$8,-GiaDinh_K3!$D$12*(A41-$F$7),IF(A41&lt;$F$9,-GiaDinh_K3!$D$11,IF(A41&lt;$F$10,-GiaDinh_K3!$D$11+GiaDinh_K3!$D$12*(A41-$F$9),0)))))))</f>
        <v>0.444</v>
      </c>
      <c r="D41" s="46" t="n">
        <f aca="false">MAX(0,D40+(C40+C41)/2*$B$5)</f>
        <v>0.06522</v>
      </c>
      <c r="E41" s="46" t="n">
        <f aca="false">E40+(D40+D41)/2*$B$5</f>
        <v>0.0059061</v>
      </c>
      <c r="F41" s="42" t="n">
        <f aca="false">IF(A41&gt;$F$10,0,IF((Params!$C$21+GiaDinh_K3!$D$8*Params!$C$5*C41)&gt;=0,(Params!$C$21+GiaDinh_K3!$D$8*Params!$C$5*C41)*'Tính chọn'!$D$23/Params!$C$16,(Params!$C$21+GiaDinh_K3!$D$8*Params!$C$5*C41)*'Tính chọn'!$D$23*Params!$C$16)+Catalogue!$F$15*C41/'Tính chọn'!$D$23)</f>
        <v>9.82240967875205</v>
      </c>
      <c r="G41" s="42" t="n">
        <f aca="false">IF(A41&gt;$F$10,0,IF(('Tính chọn'!$D$6+GiaDinh_K3!$D$8*Params!$C$6*C41)&gt;=0,('Tính chọn'!$D$6+GiaDinh_K3!$D$8*Params!$C$6*C41)*'Tính chọn'!$D$23/Params!$C$16,('Tính chọn'!$D$6+GiaDinh_K3!$D$8*Params!$C$6*C41)*'Tính chọn'!$D$23*Params!$C$16)+Catalogue!$F$15*C41/'Tính chọn'!$D$23)</f>
        <v>2.6347527648857</v>
      </c>
      <c r="H41" s="45" t="n">
        <f aca="false">F41*D41/'Tính chọn'!$D$23</f>
        <v>796.108253228934</v>
      </c>
    </row>
    <row r="42" customFormat="false" ht="14.25" hidden="false" customHeight="false" outlineLevel="0" collapsed="false">
      <c r="A42" s="41" t="n">
        <f aca="false">28*$B$5</f>
        <v>0.28</v>
      </c>
      <c r="B42" s="42" t="n">
        <f aca="false">IF(A42&lt;$F$4,GiaDinh_K3!$D$12,IF(A42&lt;$F$5,0,IF(A42&lt;$F$6,-GiaDinh_K3!$D$12,IF(A42&lt;$F$7,0,IF(A42&lt;$F$8,-GiaDinh_K3!$D$12,IF(A42&lt;$F$9,0,IF(A42&lt;$F$10,GiaDinh_K3!$D$12,0)))))))</f>
        <v>-1.8</v>
      </c>
      <c r="C42" s="43" t="n">
        <f aca="false">IF(A42&lt;$F$4,GiaDinh_K3!$D$12*A42,IF(A42&lt;$F$5,GiaDinh_K3!$D$11,IF(A42&lt;$F$6,GiaDinh_K3!$D$11-GiaDinh_K3!$D$12*(A42-$F$5),IF(A42&lt;$F$7,0,IF(A42&lt;$F$8,-GiaDinh_K3!$D$12*(A42-$F$7),IF(A42&lt;$F$9,-GiaDinh_K3!$D$11,IF(A42&lt;$F$10,-GiaDinh_K3!$D$11+GiaDinh_K3!$D$12*(A42-$F$9),0)))))))</f>
        <v>0.426</v>
      </c>
      <c r="D42" s="46" t="n">
        <f aca="false">MAX(0,D41+(C41+C42)/2*$B$5)</f>
        <v>0.06957</v>
      </c>
      <c r="E42" s="46" t="n">
        <f aca="false">E41+(D41+D42)/2*$B$5</f>
        <v>0.00658005</v>
      </c>
      <c r="F42" s="42" t="n">
        <f aca="false">IF(A42&gt;$F$10,0,IF((Params!$C$21+GiaDinh_K3!$D$8*Params!$C$5*C42)&gt;=0,(Params!$C$21+GiaDinh_K3!$D$8*Params!$C$5*C42)*'Tính chọn'!$D$23/Params!$C$16,(Params!$C$21+GiaDinh_K3!$D$8*Params!$C$5*C42)*'Tính chọn'!$D$23*Params!$C$16)+Catalogue!$F$15*C42/'Tính chọn'!$D$23)</f>
        <v>9.50017805183324</v>
      </c>
      <c r="G42" s="42" t="n">
        <f aca="false">IF(A42&gt;$F$10,0,IF(('Tính chọn'!$D$6+GiaDinh_K3!$D$8*Params!$C$6*C42)&gt;=0,('Tính chọn'!$D$6+GiaDinh_K3!$D$8*Params!$C$6*C42)*'Tính chọn'!$D$23/Params!$C$16,('Tính chọn'!$D$6+GiaDinh_K3!$D$8*Params!$C$6*C42)*'Tính chọn'!$D$23*Params!$C$16)+Catalogue!$F$15*C42/'Tính chọn'!$D$23)</f>
        <v>2.53872333958913</v>
      </c>
      <c r="H42" s="45" t="n">
        <f aca="false">F42*D42/'Tính chọn'!$D$23</f>
        <v>821.347682454707</v>
      </c>
    </row>
    <row r="43" customFormat="false" ht="14.25" hidden="false" customHeight="false" outlineLevel="0" collapsed="false">
      <c r="A43" s="41" t="n">
        <f aca="false">29*$B$5</f>
        <v>0.29</v>
      </c>
      <c r="B43" s="42" t="n">
        <f aca="false">IF(A43&lt;$F$4,GiaDinh_K3!$D$12,IF(A43&lt;$F$5,0,IF(A43&lt;$F$6,-GiaDinh_K3!$D$12,IF(A43&lt;$F$7,0,IF(A43&lt;$F$8,-GiaDinh_K3!$D$12,IF(A43&lt;$F$9,0,IF(A43&lt;$F$10,GiaDinh_K3!$D$12,0)))))))</f>
        <v>-1.8</v>
      </c>
      <c r="C43" s="43" t="n">
        <f aca="false">IF(A43&lt;$F$4,GiaDinh_K3!$D$12*A43,IF(A43&lt;$F$5,GiaDinh_K3!$D$11,IF(A43&lt;$F$6,GiaDinh_K3!$D$11-GiaDinh_K3!$D$12*(A43-$F$5),IF(A43&lt;$F$7,0,IF(A43&lt;$F$8,-GiaDinh_K3!$D$12*(A43-$F$7),IF(A43&lt;$F$9,-GiaDinh_K3!$D$11,IF(A43&lt;$F$10,-GiaDinh_K3!$D$11+GiaDinh_K3!$D$12*(A43-$F$9),0)))))))</f>
        <v>0.408</v>
      </c>
      <c r="D43" s="46" t="n">
        <f aca="false">MAX(0,D42+(C42+C43)/2*$B$5)</f>
        <v>0.07374</v>
      </c>
      <c r="E43" s="46" t="n">
        <f aca="false">E42+(D42+D43)/2*$B$5</f>
        <v>0.0072966</v>
      </c>
      <c r="F43" s="42" t="n">
        <f aca="false">IF(A43&gt;$F$10,0,IF((Params!$C$21+GiaDinh_K3!$D$8*Params!$C$5*C43)&gt;=0,(Params!$C$21+GiaDinh_K3!$D$8*Params!$C$5*C43)*'Tính chọn'!$D$23/Params!$C$16,(Params!$C$21+GiaDinh_K3!$D$8*Params!$C$5*C43)*'Tính chọn'!$D$23*Params!$C$16)+Catalogue!$F$15*C43/'Tính chọn'!$D$23)</f>
        <v>9.17794642491443</v>
      </c>
      <c r="G43" s="42" t="n">
        <f aca="false">IF(A43&gt;$F$10,0,IF(('Tính chọn'!$D$6+GiaDinh_K3!$D$8*Params!$C$6*C43)&gt;=0,('Tính chọn'!$D$6+GiaDinh_K3!$D$8*Params!$C$6*C43)*'Tính chọn'!$D$23/Params!$C$16,('Tính chọn'!$D$6+GiaDinh_K3!$D$8*Params!$C$6*C43)*'Tính chọn'!$D$23*Params!$C$16)+Catalogue!$F$15*C43/'Tính chọn'!$D$23)</f>
        <v>2.44269391429257</v>
      </c>
      <c r="H43" s="45" t="n">
        <f aca="false">F43*D43/'Tính chọn'!$D$23</f>
        <v>841.050240435451</v>
      </c>
    </row>
    <row r="44" customFormat="false" ht="14.25" hidden="false" customHeight="false" outlineLevel="0" collapsed="false">
      <c r="A44" s="41" t="n">
        <f aca="false">30*$B$5</f>
        <v>0.3</v>
      </c>
      <c r="B44" s="42" t="n">
        <f aca="false">IF(A44&lt;$F$4,GiaDinh_K3!$D$12,IF(A44&lt;$F$5,0,IF(A44&lt;$F$6,-GiaDinh_K3!$D$12,IF(A44&lt;$F$7,0,IF(A44&lt;$F$8,-GiaDinh_K3!$D$12,IF(A44&lt;$F$9,0,IF(A44&lt;$F$10,GiaDinh_K3!$D$12,0)))))))</f>
        <v>-1.8</v>
      </c>
      <c r="C44" s="43" t="n">
        <f aca="false">IF(A44&lt;$F$4,GiaDinh_K3!$D$12*A44,IF(A44&lt;$F$5,GiaDinh_K3!$D$11,IF(A44&lt;$F$6,GiaDinh_K3!$D$11-GiaDinh_K3!$D$12*(A44-$F$5),IF(A44&lt;$F$7,0,IF(A44&lt;$F$8,-GiaDinh_K3!$D$12*(A44-$F$7),IF(A44&lt;$F$9,-GiaDinh_K3!$D$11,IF(A44&lt;$F$10,-GiaDinh_K3!$D$11+GiaDinh_K3!$D$12*(A44-$F$9),0)))))))</f>
        <v>0.39</v>
      </c>
      <c r="D44" s="46" t="n">
        <f aca="false">MAX(0,D43+(C43+C44)/2*$B$5)</f>
        <v>0.07773</v>
      </c>
      <c r="E44" s="46" t="n">
        <f aca="false">E43+(D43+D44)/2*$B$5</f>
        <v>0.00805395</v>
      </c>
      <c r="F44" s="42" t="n">
        <f aca="false">IF(A44&gt;$F$10,0,IF((Params!$C$21+GiaDinh_K3!$D$8*Params!$C$5*C44)&gt;=0,(Params!$C$21+GiaDinh_K3!$D$8*Params!$C$5*C44)*'Tính chọn'!$D$23/Params!$C$16,(Params!$C$21+GiaDinh_K3!$D$8*Params!$C$5*C44)*'Tính chọn'!$D$23*Params!$C$16)+Catalogue!$F$15*C44/'Tính chọn'!$D$23)</f>
        <v>8.85571479799562</v>
      </c>
      <c r="G44" s="42" t="n">
        <f aca="false">IF(A44&gt;$F$10,0,IF(('Tính chọn'!$D$6+GiaDinh_K3!$D$8*Params!$C$6*C44)&gt;=0,('Tính chọn'!$D$6+GiaDinh_K3!$D$8*Params!$C$6*C44)*'Tính chọn'!$D$23/Params!$C$16,('Tính chọn'!$D$6+GiaDinh_K3!$D$8*Params!$C$6*C44)*'Tính chọn'!$D$23*Params!$C$16)+Catalogue!$F$15*C44/'Tính chọn'!$D$23)</f>
        <v>2.34666448899601</v>
      </c>
      <c r="H44" s="45" t="n">
        <f aca="false">F44*D44/'Tính chọn'!$D$23</f>
        <v>855.432166762363</v>
      </c>
    </row>
    <row r="45" customFormat="false" ht="14.25" hidden="false" customHeight="false" outlineLevel="0" collapsed="false">
      <c r="A45" s="41" t="n">
        <f aca="false">31*$B$5</f>
        <v>0.31</v>
      </c>
      <c r="B45" s="42" t="n">
        <f aca="false">IF(A45&lt;$F$4,GiaDinh_K3!$D$12,IF(A45&lt;$F$5,0,IF(A45&lt;$F$6,-GiaDinh_K3!$D$12,IF(A45&lt;$F$7,0,IF(A45&lt;$F$8,-GiaDinh_K3!$D$12,IF(A45&lt;$F$9,0,IF(A45&lt;$F$10,GiaDinh_K3!$D$12,0)))))))</f>
        <v>-1.8</v>
      </c>
      <c r="C45" s="43" t="n">
        <f aca="false">IF(A45&lt;$F$4,GiaDinh_K3!$D$12*A45,IF(A45&lt;$F$5,GiaDinh_K3!$D$11,IF(A45&lt;$F$6,GiaDinh_K3!$D$11-GiaDinh_K3!$D$12*(A45-$F$5),IF(A45&lt;$F$7,0,IF(A45&lt;$F$8,-GiaDinh_K3!$D$12*(A45-$F$7),IF(A45&lt;$F$9,-GiaDinh_K3!$D$11,IF(A45&lt;$F$10,-GiaDinh_K3!$D$11+GiaDinh_K3!$D$12*(A45-$F$9),0)))))))</f>
        <v>0.372</v>
      </c>
      <c r="D45" s="46" t="n">
        <f aca="false">MAX(0,D44+(C44+C45)/2*$B$5)</f>
        <v>0.08154</v>
      </c>
      <c r="E45" s="46" t="n">
        <f aca="false">E44+(D44+D45)/2*$B$5</f>
        <v>0.0088503</v>
      </c>
      <c r="F45" s="42" t="n">
        <f aca="false">IF(A45&gt;$F$10,0,IF((Params!$C$21+GiaDinh_K3!$D$8*Params!$C$5*C45)&gt;=0,(Params!$C$21+GiaDinh_K3!$D$8*Params!$C$5*C45)*'Tính chọn'!$D$23/Params!$C$16,(Params!$C$21+GiaDinh_K3!$D$8*Params!$C$5*C45)*'Tính chọn'!$D$23*Params!$C$16)+Catalogue!$F$15*C45/'Tính chọn'!$D$23)</f>
        <v>8.53348317107681</v>
      </c>
      <c r="G45" s="42" t="n">
        <f aca="false">IF(A45&gt;$F$10,0,IF(('Tính chọn'!$D$6+GiaDinh_K3!$D$8*Params!$C$6*C45)&gt;=0,('Tính chọn'!$D$6+GiaDinh_K3!$D$8*Params!$C$6*C45)*'Tính chọn'!$D$23/Params!$C$16,('Tính chọn'!$D$6+GiaDinh_K3!$D$8*Params!$C$6*C45)*'Tính chọn'!$D$23*Params!$C$16)+Catalogue!$F$15*C45/'Tính chọn'!$D$23)</f>
        <v>2.25063506369945</v>
      </c>
      <c r="H45" s="45" t="n">
        <f aca="false">F45*D45/'Tính chọn'!$D$23</f>
        <v>864.709701026641</v>
      </c>
    </row>
    <row r="46" customFormat="false" ht="14.25" hidden="false" customHeight="false" outlineLevel="0" collapsed="false">
      <c r="A46" s="41" t="n">
        <f aca="false">32*$B$5</f>
        <v>0.32</v>
      </c>
      <c r="B46" s="42" t="n">
        <f aca="false">IF(A46&lt;$F$4,GiaDinh_K3!$D$12,IF(A46&lt;$F$5,0,IF(A46&lt;$F$6,-GiaDinh_K3!$D$12,IF(A46&lt;$F$7,0,IF(A46&lt;$F$8,-GiaDinh_K3!$D$12,IF(A46&lt;$F$9,0,IF(A46&lt;$F$10,GiaDinh_K3!$D$12,0)))))))</f>
        <v>-1.8</v>
      </c>
      <c r="C46" s="43" t="n">
        <f aca="false">IF(A46&lt;$F$4,GiaDinh_K3!$D$12*A46,IF(A46&lt;$F$5,GiaDinh_K3!$D$11,IF(A46&lt;$F$6,GiaDinh_K3!$D$11-GiaDinh_K3!$D$12*(A46-$F$5),IF(A46&lt;$F$7,0,IF(A46&lt;$F$8,-GiaDinh_K3!$D$12*(A46-$F$7),IF(A46&lt;$F$9,-GiaDinh_K3!$D$11,IF(A46&lt;$F$10,-GiaDinh_K3!$D$11+GiaDinh_K3!$D$12*(A46-$F$9),0)))))))</f>
        <v>0.354</v>
      </c>
      <c r="D46" s="46" t="n">
        <f aca="false">MAX(0,D45+(C45+C46)/2*$B$5)</f>
        <v>0.08517</v>
      </c>
      <c r="E46" s="46" t="n">
        <f aca="false">E45+(D45+D46)/2*$B$5</f>
        <v>0.00968385</v>
      </c>
      <c r="F46" s="42" t="n">
        <f aca="false">IF(A46&gt;$F$10,0,IF((Params!$C$21+GiaDinh_K3!$D$8*Params!$C$5*C46)&gt;=0,(Params!$C$21+GiaDinh_K3!$D$8*Params!$C$5*C46)*'Tính chọn'!$D$23/Params!$C$16,(Params!$C$21+GiaDinh_K3!$D$8*Params!$C$5*C46)*'Tính chọn'!$D$23*Params!$C$16)+Catalogue!$F$15*C46/'Tính chọn'!$D$23)</f>
        <v>8.211251544158</v>
      </c>
      <c r="G46" s="42" t="n">
        <f aca="false">IF(A46&gt;$F$10,0,IF(('Tính chọn'!$D$6+GiaDinh_K3!$D$8*Params!$C$6*C46)&gt;=0,('Tính chọn'!$D$6+GiaDinh_K3!$D$8*Params!$C$6*C46)*'Tính chọn'!$D$23/Params!$C$16,('Tính chọn'!$D$6+GiaDinh_K3!$D$8*Params!$C$6*C46)*'Tính chọn'!$D$23*Params!$C$16)+Catalogue!$F$15*C46/'Tính chọn'!$D$23)</f>
        <v>2.15460563840288</v>
      </c>
      <c r="H46" s="45" t="n">
        <f aca="false">F46*D46/'Tính chọn'!$D$23</f>
        <v>869.099082819485</v>
      </c>
    </row>
    <row r="47" customFormat="false" ht="14.25" hidden="false" customHeight="false" outlineLevel="0" collapsed="false">
      <c r="A47" s="41" t="n">
        <f aca="false">33*$B$5</f>
        <v>0.33</v>
      </c>
      <c r="B47" s="42" t="n">
        <f aca="false">IF(A47&lt;$F$4,GiaDinh_K3!$D$12,IF(A47&lt;$F$5,0,IF(A47&lt;$F$6,-GiaDinh_K3!$D$12,IF(A47&lt;$F$7,0,IF(A47&lt;$F$8,-GiaDinh_K3!$D$12,IF(A47&lt;$F$9,0,IF(A47&lt;$F$10,GiaDinh_K3!$D$12,0)))))))</f>
        <v>-1.8</v>
      </c>
      <c r="C47" s="43" t="n">
        <f aca="false">IF(A47&lt;$F$4,GiaDinh_K3!$D$12*A47,IF(A47&lt;$F$5,GiaDinh_K3!$D$11,IF(A47&lt;$F$6,GiaDinh_K3!$D$11-GiaDinh_K3!$D$12*(A47-$F$5),IF(A47&lt;$F$7,0,IF(A47&lt;$F$8,-GiaDinh_K3!$D$12*(A47-$F$7),IF(A47&lt;$F$9,-GiaDinh_K3!$D$11,IF(A47&lt;$F$10,-GiaDinh_K3!$D$11+GiaDinh_K3!$D$12*(A47-$F$9),0)))))))</f>
        <v>0.336</v>
      </c>
      <c r="D47" s="46" t="n">
        <f aca="false">MAX(0,D46+(C46+C47)/2*$B$5)</f>
        <v>0.08862</v>
      </c>
      <c r="E47" s="46" t="n">
        <f aca="false">E46+(D46+D47)/2*$B$5</f>
        <v>0.0105528</v>
      </c>
      <c r="F47" s="42" t="n">
        <f aca="false">IF(A47&gt;$F$10,0,IF((Params!$C$21+GiaDinh_K3!$D$8*Params!$C$5*C47)&gt;=0,(Params!$C$21+GiaDinh_K3!$D$8*Params!$C$5*C47)*'Tính chọn'!$D$23/Params!$C$16,(Params!$C$21+GiaDinh_K3!$D$8*Params!$C$5*C47)*'Tính chọn'!$D$23*Params!$C$16)+Catalogue!$F$15*C47/'Tính chọn'!$D$23)</f>
        <v>7.88901991723919</v>
      </c>
      <c r="G47" s="42" t="n">
        <f aca="false">IF(A47&gt;$F$10,0,IF(('Tính chọn'!$D$6+GiaDinh_K3!$D$8*Params!$C$6*C47)&gt;=0,('Tính chọn'!$D$6+GiaDinh_K3!$D$8*Params!$C$6*C47)*'Tính chọn'!$D$23/Params!$C$16,('Tính chọn'!$D$6+GiaDinh_K3!$D$8*Params!$C$6*C47)*'Tính chọn'!$D$23*Params!$C$16)+Catalogue!$F$15*C47/'Tính chọn'!$D$23)</f>
        <v>2.05857621310632</v>
      </c>
      <c r="H47" s="45" t="n">
        <f aca="false">F47*D47/'Tính chọn'!$D$23</f>
        <v>868.816551732093</v>
      </c>
    </row>
    <row r="48" customFormat="false" ht="14.25" hidden="false" customHeight="false" outlineLevel="0" collapsed="false">
      <c r="A48" s="41" t="n">
        <f aca="false">34*$B$5</f>
        <v>0.34</v>
      </c>
      <c r="B48" s="42" t="n">
        <f aca="false">IF(A48&lt;$F$4,GiaDinh_K3!$D$12,IF(A48&lt;$F$5,0,IF(A48&lt;$F$6,-GiaDinh_K3!$D$12,IF(A48&lt;$F$7,0,IF(A48&lt;$F$8,-GiaDinh_K3!$D$12,IF(A48&lt;$F$9,0,IF(A48&lt;$F$10,GiaDinh_K3!$D$12,0)))))))</f>
        <v>-1.8</v>
      </c>
      <c r="C48" s="43" t="n">
        <f aca="false">IF(A48&lt;$F$4,GiaDinh_K3!$D$12*A48,IF(A48&lt;$F$5,GiaDinh_K3!$D$11,IF(A48&lt;$F$6,GiaDinh_K3!$D$11-GiaDinh_K3!$D$12*(A48-$F$5),IF(A48&lt;$F$7,0,IF(A48&lt;$F$8,-GiaDinh_K3!$D$12*(A48-$F$7),IF(A48&lt;$F$9,-GiaDinh_K3!$D$11,IF(A48&lt;$F$10,-GiaDinh_K3!$D$11+GiaDinh_K3!$D$12*(A48-$F$9),0)))))))</f>
        <v>0.318</v>
      </c>
      <c r="D48" s="46" t="n">
        <f aca="false">MAX(0,D47+(C47+C48)/2*$B$5)</f>
        <v>0.09189</v>
      </c>
      <c r="E48" s="46" t="n">
        <f aca="false">E47+(D47+D48)/2*$B$5</f>
        <v>0.01145535</v>
      </c>
      <c r="F48" s="42" t="n">
        <f aca="false">IF(A48&gt;$F$10,0,IF((Params!$C$21+GiaDinh_K3!$D$8*Params!$C$5*C48)&gt;=0,(Params!$C$21+GiaDinh_K3!$D$8*Params!$C$5*C48)*'Tính chọn'!$D$23/Params!$C$16,(Params!$C$21+GiaDinh_K3!$D$8*Params!$C$5*C48)*'Tính chọn'!$D$23*Params!$C$16)+Catalogue!$F$15*C48/'Tính chọn'!$D$23)</f>
        <v>7.56678829032038</v>
      </c>
      <c r="G48" s="42" t="n">
        <f aca="false">IF(A48&gt;$F$10,0,IF(('Tính chọn'!$D$6+GiaDinh_K3!$D$8*Params!$C$6*C48)&gt;=0,('Tính chọn'!$D$6+GiaDinh_K3!$D$8*Params!$C$6*C48)*'Tính chọn'!$D$23/Params!$C$16,('Tính chọn'!$D$6+GiaDinh_K3!$D$8*Params!$C$6*C48)*'Tính chọn'!$D$23*Params!$C$16)+Catalogue!$F$15*C48/'Tính chọn'!$D$23)</f>
        <v>1.96254678780976</v>
      </c>
      <c r="H48" s="45" t="n">
        <f aca="false">F48*D48/'Tính chọn'!$D$23</f>
        <v>864.078347355662</v>
      </c>
    </row>
    <row r="49" customFormat="false" ht="14.25" hidden="false" customHeight="false" outlineLevel="0" collapsed="false">
      <c r="A49" s="41" t="n">
        <f aca="false">35*$B$5</f>
        <v>0.35</v>
      </c>
      <c r="B49" s="42" t="n">
        <f aca="false">IF(A49&lt;$F$4,GiaDinh_K3!$D$12,IF(A49&lt;$F$5,0,IF(A49&lt;$F$6,-GiaDinh_K3!$D$12,IF(A49&lt;$F$7,0,IF(A49&lt;$F$8,-GiaDinh_K3!$D$12,IF(A49&lt;$F$9,0,IF(A49&lt;$F$10,GiaDinh_K3!$D$12,0)))))))</f>
        <v>-1.8</v>
      </c>
      <c r="C49" s="43" t="n">
        <f aca="false">IF(A49&lt;$F$4,GiaDinh_K3!$D$12*A49,IF(A49&lt;$F$5,GiaDinh_K3!$D$11,IF(A49&lt;$F$6,GiaDinh_K3!$D$11-GiaDinh_K3!$D$12*(A49-$F$5),IF(A49&lt;$F$7,0,IF(A49&lt;$F$8,-GiaDinh_K3!$D$12*(A49-$F$7),IF(A49&lt;$F$9,-GiaDinh_K3!$D$11,IF(A49&lt;$F$10,-GiaDinh_K3!$D$11+GiaDinh_K3!$D$12*(A49-$F$9),0)))))))</f>
        <v>0.3</v>
      </c>
      <c r="D49" s="46" t="n">
        <f aca="false">MAX(0,D48+(C48+C49)/2*$B$5)</f>
        <v>0.09498</v>
      </c>
      <c r="E49" s="46" t="n">
        <f aca="false">E48+(D48+D49)/2*$B$5</f>
        <v>0.0123897</v>
      </c>
      <c r="F49" s="42" t="n">
        <f aca="false">IF(A49&gt;$F$10,0,IF((Params!$C$21+GiaDinh_K3!$D$8*Params!$C$5*C49)&gt;=0,(Params!$C$21+GiaDinh_K3!$D$8*Params!$C$5*C49)*'Tính chọn'!$D$23/Params!$C$16,(Params!$C$21+GiaDinh_K3!$D$8*Params!$C$5*C49)*'Tính chọn'!$D$23*Params!$C$16)+Catalogue!$F$15*C49/'Tính chọn'!$D$23)</f>
        <v>7.24455666340157</v>
      </c>
      <c r="G49" s="42" t="n">
        <f aca="false">IF(A49&gt;$F$10,0,IF(('Tính chọn'!$D$6+GiaDinh_K3!$D$8*Params!$C$6*C49)&gt;=0,('Tính chọn'!$D$6+GiaDinh_K3!$D$8*Params!$C$6*C49)*'Tính chọn'!$D$23/Params!$C$16,('Tính chọn'!$D$6+GiaDinh_K3!$D$8*Params!$C$6*C49)*'Tính chọn'!$D$23*Params!$C$16)+Catalogue!$F$15*C49/'Tính chọn'!$D$23)</f>
        <v>1.8665173625132</v>
      </c>
      <c r="H49" s="45" t="n">
        <f aca="false">F49*D49/'Tính chọn'!$D$23</f>
        <v>855.100709281393</v>
      </c>
    </row>
    <row r="50" customFormat="false" ht="14.25" hidden="false" customHeight="false" outlineLevel="0" collapsed="false">
      <c r="A50" s="41" t="n">
        <f aca="false">36*$B$5</f>
        <v>0.36</v>
      </c>
      <c r="B50" s="42" t="n">
        <f aca="false">IF(A50&lt;$F$4,GiaDinh_K3!$D$12,IF(A50&lt;$F$5,0,IF(A50&lt;$F$6,-GiaDinh_K3!$D$12,IF(A50&lt;$F$7,0,IF(A50&lt;$F$8,-GiaDinh_K3!$D$12,IF(A50&lt;$F$9,0,IF(A50&lt;$F$10,GiaDinh_K3!$D$12,0)))))))</f>
        <v>-1.8</v>
      </c>
      <c r="C50" s="43" t="n">
        <f aca="false">IF(A50&lt;$F$4,GiaDinh_K3!$D$12*A50,IF(A50&lt;$F$5,GiaDinh_K3!$D$11,IF(A50&lt;$F$6,GiaDinh_K3!$D$11-GiaDinh_K3!$D$12*(A50-$F$5),IF(A50&lt;$F$7,0,IF(A50&lt;$F$8,-GiaDinh_K3!$D$12*(A50-$F$7),IF(A50&lt;$F$9,-GiaDinh_K3!$D$11,IF(A50&lt;$F$10,-GiaDinh_K3!$D$11+GiaDinh_K3!$D$12*(A50-$F$9),0)))))))</f>
        <v>0.282</v>
      </c>
      <c r="D50" s="46" t="n">
        <f aca="false">MAX(0,D49+(C49+C50)/2*$B$5)</f>
        <v>0.09789</v>
      </c>
      <c r="E50" s="46" t="n">
        <f aca="false">E49+(D49+D50)/2*$B$5</f>
        <v>0.01335405</v>
      </c>
      <c r="F50" s="42" t="n">
        <f aca="false">IF(A50&gt;$F$10,0,IF((Params!$C$21+GiaDinh_K3!$D$8*Params!$C$5*C50)&gt;=0,(Params!$C$21+GiaDinh_K3!$D$8*Params!$C$5*C50)*'Tính chọn'!$D$23/Params!$C$16,(Params!$C$21+GiaDinh_K3!$D$8*Params!$C$5*C50)*'Tính chọn'!$D$23*Params!$C$16)+Catalogue!$F$15*C50/'Tính chọn'!$D$23)</f>
        <v>6.92232503648276</v>
      </c>
      <c r="G50" s="42" t="n">
        <f aca="false">IF(A50&gt;$F$10,0,IF(('Tính chọn'!$D$6+GiaDinh_K3!$D$8*Params!$C$6*C50)&gt;=0,('Tính chọn'!$D$6+GiaDinh_K3!$D$8*Params!$C$6*C50)*'Tính chọn'!$D$23/Params!$C$16,('Tính chọn'!$D$6+GiaDinh_K3!$D$8*Params!$C$6*C50)*'Tính chọn'!$D$23*Params!$C$16)+Catalogue!$F$15*C50/'Tính chọn'!$D$23)</f>
        <v>1.77048793721663</v>
      </c>
      <c r="H50" s="45" t="n">
        <f aca="false">F50*D50/'Tính chọn'!$D$23</f>
        <v>842.099877100482</v>
      </c>
    </row>
    <row r="51" customFormat="false" ht="14.25" hidden="false" customHeight="false" outlineLevel="0" collapsed="false">
      <c r="A51" s="41" t="n">
        <f aca="false">37*$B$5</f>
        <v>0.37</v>
      </c>
      <c r="B51" s="42" t="n">
        <f aca="false">IF(A51&lt;$F$4,GiaDinh_K3!$D$12,IF(A51&lt;$F$5,0,IF(A51&lt;$F$6,-GiaDinh_K3!$D$12,IF(A51&lt;$F$7,0,IF(A51&lt;$F$8,-GiaDinh_K3!$D$12,IF(A51&lt;$F$9,0,IF(A51&lt;$F$10,GiaDinh_K3!$D$12,0)))))))</f>
        <v>-1.8</v>
      </c>
      <c r="C51" s="43" t="n">
        <f aca="false">IF(A51&lt;$F$4,GiaDinh_K3!$D$12*A51,IF(A51&lt;$F$5,GiaDinh_K3!$D$11,IF(A51&lt;$F$6,GiaDinh_K3!$D$11-GiaDinh_K3!$D$12*(A51-$F$5),IF(A51&lt;$F$7,0,IF(A51&lt;$F$8,-GiaDinh_K3!$D$12*(A51-$F$7),IF(A51&lt;$F$9,-GiaDinh_K3!$D$11,IF(A51&lt;$F$10,-GiaDinh_K3!$D$11+GiaDinh_K3!$D$12*(A51-$F$9),0)))))))</f>
        <v>0.264</v>
      </c>
      <c r="D51" s="46" t="n">
        <f aca="false">MAX(0,D50+(C50+C51)/2*$B$5)</f>
        <v>0.10062</v>
      </c>
      <c r="E51" s="46" t="n">
        <f aca="false">E50+(D50+D51)/2*$B$5</f>
        <v>0.0143466</v>
      </c>
      <c r="F51" s="42" t="n">
        <f aca="false">IF(A51&gt;$F$10,0,IF((Params!$C$21+GiaDinh_K3!$D$8*Params!$C$5*C51)&gt;=0,(Params!$C$21+GiaDinh_K3!$D$8*Params!$C$5*C51)*'Tính chọn'!$D$23/Params!$C$16,(Params!$C$21+GiaDinh_K3!$D$8*Params!$C$5*C51)*'Tính chọn'!$D$23*Params!$C$16)+Catalogue!$F$15*C51/'Tính chọn'!$D$23)</f>
        <v>6.60009340956395</v>
      </c>
      <c r="G51" s="42" t="n">
        <f aca="false">IF(A51&gt;$F$10,0,IF(('Tính chọn'!$D$6+GiaDinh_K3!$D$8*Params!$C$6*C51)&gt;=0,('Tính chọn'!$D$6+GiaDinh_K3!$D$8*Params!$C$6*C51)*'Tính chọn'!$D$23/Params!$C$16,('Tính chọn'!$D$6+GiaDinh_K3!$D$8*Params!$C$6*C51)*'Tính chọn'!$D$23*Params!$C$16)+Catalogue!$F$15*C51/'Tính chọn'!$D$23)</f>
        <v>1.67445851192007</v>
      </c>
      <c r="H51" s="45" t="n">
        <f aca="false">F51*D51/'Tính chọn'!$D$23</f>
        <v>825.29209040413</v>
      </c>
    </row>
    <row r="52" customFormat="false" ht="14.25" hidden="false" customHeight="false" outlineLevel="0" collapsed="false">
      <c r="A52" s="41" t="n">
        <f aca="false">38*$B$5</f>
        <v>0.38</v>
      </c>
      <c r="B52" s="42" t="n">
        <f aca="false">IF(A52&lt;$F$4,GiaDinh_K3!$D$12,IF(A52&lt;$F$5,0,IF(A52&lt;$F$6,-GiaDinh_K3!$D$12,IF(A52&lt;$F$7,0,IF(A52&lt;$F$8,-GiaDinh_K3!$D$12,IF(A52&lt;$F$9,0,IF(A52&lt;$F$10,GiaDinh_K3!$D$12,0)))))))</f>
        <v>-1.8</v>
      </c>
      <c r="C52" s="43" t="n">
        <f aca="false">IF(A52&lt;$F$4,GiaDinh_K3!$D$12*A52,IF(A52&lt;$F$5,GiaDinh_K3!$D$11,IF(A52&lt;$F$6,GiaDinh_K3!$D$11-GiaDinh_K3!$D$12*(A52-$F$5),IF(A52&lt;$F$7,0,IF(A52&lt;$F$8,-GiaDinh_K3!$D$12*(A52-$F$7),IF(A52&lt;$F$9,-GiaDinh_K3!$D$11,IF(A52&lt;$F$10,-GiaDinh_K3!$D$11+GiaDinh_K3!$D$12*(A52-$F$9),0)))))))</f>
        <v>0.246</v>
      </c>
      <c r="D52" s="46" t="n">
        <f aca="false">MAX(0,D51+(C51+C52)/2*$B$5)</f>
        <v>0.10317</v>
      </c>
      <c r="E52" s="46" t="n">
        <f aca="false">E51+(D51+D52)/2*$B$5</f>
        <v>0.01536555</v>
      </c>
      <c r="F52" s="42" t="n">
        <f aca="false">IF(A52&gt;$F$10,0,IF((Params!$C$21+GiaDinh_K3!$D$8*Params!$C$5*C52)&gt;=0,(Params!$C$21+GiaDinh_K3!$D$8*Params!$C$5*C52)*'Tính chọn'!$D$23/Params!$C$16,(Params!$C$21+GiaDinh_K3!$D$8*Params!$C$5*C52)*'Tính chọn'!$D$23*Params!$C$16)+Catalogue!$F$15*C52/'Tính chọn'!$D$23)</f>
        <v>6.27786178264514</v>
      </c>
      <c r="G52" s="42" t="n">
        <f aca="false">IF(A52&gt;$F$10,0,IF(('Tính chọn'!$D$6+GiaDinh_K3!$D$8*Params!$C$6*C52)&gt;=0,('Tính chọn'!$D$6+GiaDinh_K3!$D$8*Params!$C$6*C52)*'Tính chọn'!$D$23/Params!$C$16,('Tính chọn'!$D$6+GiaDinh_K3!$D$8*Params!$C$6*C52)*'Tính chọn'!$D$23*Params!$C$16)+Catalogue!$F$15*C52/'Tính chọn'!$D$23)</f>
        <v>1.57842908662351</v>
      </c>
      <c r="H52" s="45" t="n">
        <f aca="false">F52*D52/'Tính chọn'!$D$23</f>
        <v>804.893588783533</v>
      </c>
    </row>
    <row r="53" customFormat="false" ht="14.25" hidden="false" customHeight="false" outlineLevel="0" collapsed="false">
      <c r="A53" s="41" t="n">
        <f aca="false">39*$B$5</f>
        <v>0.39</v>
      </c>
      <c r="B53" s="42" t="n">
        <f aca="false">IF(A53&lt;$F$4,GiaDinh_K3!$D$12,IF(A53&lt;$F$5,0,IF(A53&lt;$F$6,-GiaDinh_K3!$D$12,IF(A53&lt;$F$7,0,IF(A53&lt;$F$8,-GiaDinh_K3!$D$12,IF(A53&lt;$F$9,0,IF(A53&lt;$F$10,GiaDinh_K3!$D$12,0)))))))</f>
        <v>-1.8</v>
      </c>
      <c r="C53" s="43" t="n">
        <f aca="false">IF(A53&lt;$F$4,GiaDinh_K3!$D$12*A53,IF(A53&lt;$F$5,GiaDinh_K3!$D$11,IF(A53&lt;$F$6,GiaDinh_K3!$D$11-GiaDinh_K3!$D$12*(A53-$F$5),IF(A53&lt;$F$7,0,IF(A53&lt;$F$8,-GiaDinh_K3!$D$12*(A53-$F$7),IF(A53&lt;$F$9,-GiaDinh_K3!$D$11,IF(A53&lt;$F$10,-GiaDinh_K3!$D$11+GiaDinh_K3!$D$12*(A53-$F$9),0)))))))</f>
        <v>0.228</v>
      </c>
      <c r="D53" s="46" t="n">
        <f aca="false">MAX(0,D52+(C52+C53)/2*$B$5)</f>
        <v>0.10554</v>
      </c>
      <c r="E53" s="46" t="n">
        <f aca="false">E52+(D52+D53)/2*$B$5</f>
        <v>0.0164091</v>
      </c>
      <c r="F53" s="42" t="n">
        <f aca="false">IF(A53&gt;$F$10,0,IF((Params!$C$21+GiaDinh_K3!$D$8*Params!$C$5*C53)&gt;=0,(Params!$C$21+GiaDinh_K3!$D$8*Params!$C$5*C53)*'Tính chọn'!$D$23/Params!$C$16,(Params!$C$21+GiaDinh_K3!$D$8*Params!$C$5*C53)*'Tính chọn'!$D$23*Params!$C$16)+Catalogue!$F$15*C53/'Tính chọn'!$D$23)</f>
        <v>5.95563015572633</v>
      </c>
      <c r="G53" s="42" t="n">
        <f aca="false">IF(A53&gt;$F$10,0,IF(('Tính chọn'!$D$6+GiaDinh_K3!$D$8*Params!$C$6*C53)&gt;=0,('Tính chọn'!$D$6+GiaDinh_K3!$D$8*Params!$C$6*C53)*'Tính chọn'!$D$23/Params!$C$16,('Tính chọn'!$D$6+GiaDinh_K3!$D$8*Params!$C$6*C53)*'Tính chọn'!$D$23*Params!$C$16)+Catalogue!$F$15*C53/'Tính chọn'!$D$23)</f>
        <v>1.48239966132695</v>
      </c>
      <c r="H53" s="45" t="n">
        <f aca="false">F53*D53/'Tính chọn'!$D$23</f>
        <v>781.12061182989</v>
      </c>
    </row>
    <row r="54" customFormat="false" ht="14.25" hidden="false" customHeight="false" outlineLevel="0" collapsed="false">
      <c r="A54" s="41" t="n">
        <f aca="false">40*$B$5</f>
        <v>0.4</v>
      </c>
      <c r="B54" s="42" t="n">
        <f aca="false">IF(A54&lt;$F$4,GiaDinh_K3!$D$12,IF(A54&lt;$F$5,0,IF(A54&lt;$F$6,-GiaDinh_K3!$D$12,IF(A54&lt;$F$7,0,IF(A54&lt;$F$8,-GiaDinh_K3!$D$12,IF(A54&lt;$F$9,0,IF(A54&lt;$F$10,GiaDinh_K3!$D$12,0)))))))</f>
        <v>-1.8</v>
      </c>
      <c r="C54" s="43" t="n">
        <f aca="false">IF(A54&lt;$F$4,GiaDinh_K3!$D$12*A54,IF(A54&lt;$F$5,GiaDinh_K3!$D$11,IF(A54&lt;$F$6,GiaDinh_K3!$D$11-GiaDinh_K3!$D$12*(A54-$F$5),IF(A54&lt;$F$7,0,IF(A54&lt;$F$8,-GiaDinh_K3!$D$12*(A54-$F$7),IF(A54&lt;$F$9,-GiaDinh_K3!$D$11,IF(A54&lt;$F$10,-GiaDinh_K3!$D$11+GiaDinh_K3!$D$12*(A54-$F$9),0)))))))</f>
        <v>0.21</v>
      </c>
      <c r="D54" s="46" t="n">
        <f aca="false">MAX(0,D53+(C53+C54)/2*$B$5)</f>
        <v>0.10773</v>
      </c>
      <c r="E54" s="46" t="n">
        <f aca="false">E53+(D53+D54)/2*$B$5</f>
        <v>0.01747545</v>
      </c>
      <c r="F54" s="42" t="n">
        <f aca="false">IF(A54&gt;$F$10,0,IF((Params!$C$21+GiaDinh_K3!$D$8*Params!$C$5*C54)&gt;=0,(Params!$C$21+GiaDinh_K3!$D$8*Params!$C$5*C54)*'Tính chọn'!$D$23/Params!$C$16,(Params!$C$21+GiaDinh_K3!$D$8*Params!$C$5*C54)*'Tính chọn'!$D$23*Params!$C$16)+Catalogue!$F$15*C54/'Tính chọn'!$D$23)</f>
        <v>5.63339852880752</v>
      </c>
      <c r="G54" s="42" t="n">
        <f aca="false">IF(A54&gt;$F$10,0,IF(('Tính chọn'!$D$6+GiaDinh_K3!$D$8*Params!$C$6*C54)&gt;=0,('Tính chọn'!$D$6+GiaDinh_K3!$D$8*Params!$C$6*C54)*'Tính chọn'!$D$23/Params!$C$16,('Tính chọn'!$D$6+GiaDinh_K3!$D$8*Params!$C$6*C54)*'Tính chọn'!$D$23*Params!$C$16)+Catalogue!$F$15*C54/'Tính chọn'!$D$23)</f>
        <v>1.38637023603038</v>
      </c>
      <c r="H54" s="45" t="n">
        <f aca="false">F54*D54/'Tính chọn'!$D$23</f>
        <v>754.189399134401</v>
      </c>
    </row>
    <row r="55" customFormat="false" ht="14.25" hidden="false" customHeight="false" outlineLevel="0" collapsed="false">
      <c r="A55" s="41" t="n">
        <f aca="false">41*$B$5</f>
        <v>0.41</v>
      </c>
      <c r="B55" s="42" t="n">
        <f aca="false">IF(A55&lt;$F$4,GiaDinh_K3!$D$12,IF(A55&lt;$F$5,0,IF(A55&lt;$F$6,-GiaDinh_K3!$D$12,IF(A55&lt;$F$7,0,IF(A55&lt;$F$8,-GiaDinh_K3!$D$12,IF(A55&lt;$F$9,0,IF(A55&lt;$F$10,GiaDinh_K3!$D$12,0)))))))</f>
        <v>-1.8</v>
      </c>
      <c r="C55" s="43" t="n">
        <f aca="false">IF(A55&lt;$F$4,GiaDinh_K3!$D$12*A55,IF(A55&lt;$F$5,GiaDinh_K3!$D$11,IF(A55&lt;$F$6,GiaDinh_K3!$D$11-GiaDinh_K3!$D$12*(A55-$F$5),IF(A55&lt;$F$7,0,IF(A55&lt;$F$8,-GiaDinh_K3!$D$12*(A55-$F$7),IF(A55&lt;$F$9,-GiaDinh_K3!$D$11,IF(A55&lt;$F$10,-GiaDinh_K3!$D$11+GiaDinh_K3!$D$12*(A55-$F$9),0)))))))</f>
        <v>0.192</v>
      </c>
      <c r="D55" s="46" t="n">
        <f aca="false">MAX(0,D54+(C54+C55)/2*$B$5)</f>
        <v>0.10974</v>
      </c>
      <c r="E55" s="46" t="n">
        <f aca="false">E54+(D54+D55)/2*$B$5</f>
        <v>0.0185628</v>
      </c>
      <c r="F55" s="42" t="n">
        <f aca="false">IF(A55&gt;$F$10,0,IF((Params!$C$21+GiaDinh_K3!$D$8*Params!$C$5*C55)&gt;=0,(Params!$C$21+GiaDinh_K3!$D$8*Params!$C$5*C55)*'Tính chọn'!$D$23/Params!$C$16,(Params!$C$21+GiaDinh_K3!$D$8*Params!$C$5*C55)*'Tính chọn'!$D$23*Params!$C$16)+Catalogue!$F$15*C55/'Tính chọn'!$D$23)</f>
        <v>5.31116690188871</v>
      </c>
      <c r="G55" s="42" t="n">
        <f aca="false">IF(A55&gt;$F$10,0,IF(('Tính chọn'!$D$6+GiaDinh_K3!$D$8*Params!$C$6*C55)&gt;=0,('Tính chọn'!$D$6+GiaDinh_K3!$D$8*Params!$C$6*C55)*'Tính chọn'!$D$23/Params!$C$16,('Tính chọn'!$D$6+GiaDinh_K3!$D$8*Params!$C$6*C55)*'Tính chọn'!$D$23*Params!$C$16)+Catalogue!$F$15*C55/'Tính chọn'!$D$23)</f>
        <v>1.29034081073382</v>
      </c>
      <c r="H55" s="45" t="n">
        <f aca="false">F55*D55/'Tính chọn'!$D$23</f>
        <v>724.316190288263</v>
      </c>
    </row>
    <row r="56" customFormat="false" ht="14.25" hidden="false" customHeight="false" outlineLevel="0" collapsed="false">
      <c r="A56" s="41" t="n">
        <f aca="false">42*$B$5</f>
        <v>0.42</v>
      </c>
      <c r="B56" s="42" t="n">
        <f aca="false">IF(A56&lt;$F$4,GiaDinh_K3!$D$12,IF(A56&lt;$F$5,0,IF(A56&lt;$F$6,-GiaDinh_K3!$D$12,IF(A56&lt;$F$7,0,IF(A56&lt;$F$8,-GiaDinh_K3!$D$12,IF(A56&lt;$F$9,0,IF(A56&lt;$F$10,GiaDinh_K3!$D$12,0)))))))</f>
        <v>-1.8</v>
      </c>
      <c r="C56" s="43" t="n">
        <f aca="false">IF(A56&lt;$F$4,GiaDinh_K3!$D$12*A56,IF(A56&lt;$F$5,GiaDinh_K3!$D$11,IF(A56&lt;$F$6,GiaDinh_K3!$D$11-GiaDinh_K3!$D$12*(A56-$F$5),IF(A56&lt;$F$7,0,IF(A56&lt;$F$8,-GiaDinh_K3!$D$12*(A56-$F$7),IF(A56&lt;$F$9,-GiaDinh_K3!$D$11,IF(A56&lt;$F$10,-GiaDinh_K3!$D$11+GiaDinh_K3!$D$12*(A56-$F$9),0)))))))</f>
        <v>0.174</v>
      </c>
      <c r="D56" s="46" t="n">
        <f aca="false">MAX(0,D55+(C55+C56)/2*$B$5)</f>
        <v>0.11157</v>
      </c>
      <c r="E56" s="46" t="n">
        <f aca="false">E55+(D55+D56)/2*$B$5</f>
        <v>0.01966935</v>
      </c>
      <c r="F56" s="42" t="n">
        <f aca="false">IF(A56&gt;$F$10,0,IF((Params!$C$21+GiaDinh_K3!$D$8*Params!$C$5*C56)&gt;=0,(Params!$C$21+GiaDinh_K3!$D$8*Params!$C$5*C56)*'Tính chọn'!$D$23/Params!$C$16,(Params!$C$21+GiaDinh_K3!$D$8*Params!$C$5*C56)*'Tính chọn'!$D$23*Params!$C$16)+Catalogue!$F$15*C56/'Tính chọn'!$D$23)</f>
        <v>4.9889352749699</v>
      </c>
      <c r="G56" s="42" t="n">
        <f aca="false">IF(A56&gt;$F$10,0,IF(('Tính chọn'!$D$6+GiaDinh_K3!$D$8*Params!$C$6*C56)&gt;=0,('Tính chọn'!$D$6+GiaDinh_K3!$D$8*Params!$C$6*C56)*'Tính chọn'!$D$23/Params!$C$16,('Tính chọn'!$D$6+GiaDinh_K3!$D$8*Params!$C$6*C56)*'Tính chọn'!$D$23*Params!$C$16)+Catalogue!$F$15*C56/'Tính chọn'!$D$23)</f>
        <v>1.19431138543726</v>
      </c>
      <c r="H56" s="45" t="n">
        <f aca="false">F56*D56/'Tính chọn'!$D$23</f>
        <v>691.717224882675</v>
      </c>
    </row>
    <row r="57" customFormat="false" ht="14.25" hidden="false" customHeight="false" outlineLevel="0" collapsed="false">
      <c r="A57" s="41" t="n">
        <f aca="false">43*$B$5</f>
        <v>0.43</v>
      </c>
      <c r="B57" s="42" t="n">
        <f aca="false">IF(A57&lt;$F$4,GiaDinh_K3!$D$12,IF(A57&lt;$F$5,0,IF(A57&lt;$F$6,-GiaDinh_K3!$D$12,IF(A57&lt;$F$7,0,IF(A57&lt;$F$8,-GiaDinh_K3!$D$12,IF(A57&lt;$F$9,0,IF(A57&lt;$F$10,GiaDinh_K3!$D$12,0)))))))</f>
        <v>-1.8</v>
      </c>
      <c r="C57" s="43" t="n">
        <f aca="false">IF(A57&lt;$F$4,GiaDinh_K3!$D$12*A57,IF(A57&lt;$F$5,GiaDinh_K3!$D$11,IF(A57&lt;$F$6,GiaDinh_K3!$D$11-GiaDinh_K3!$D$12*(A57-$F$5),IF(A57&lt;$F$7,0,IF(A57&lt;$F$8,-GiaDinh_K3!$D$12*(A57-$F$7),IF(A57&lt;$F$9,-GiaDinh_K3!$D$11,IF(A57&lt;$F$10,-GiaDinh_K3!$D$11+GiaDinh_K3!$D$12*(A57-$F$9),0)))))))</f>
        <v>0.156</v>
      </c>
      <c r="D57" s="46" t="n">
        <f aca="false">MAX(0,D56+(C56+C57)/2*$B$5)</f>
        <v>0.11322</v>
      </c>
      <c r="E57" s="46" t="n">
        <f aca="false">E56+(D56+D57)/2*$B$5</f>
        <v>0.0207933</v>
      </c>
      <c r="F57" s="42" t="n">
        <f aca="false">IF(A57&gt;$F$10,0,IF((Params!$C$21+GiaDinh_K3!$D$8*Params!$C$5*C57)&gt;=0,(Params!$C$21+GiaDinh_K3!$D$8*Params!$C$5*C57)*'Tính chọn'!$D$23/Params!$C$16,(Params!$C$21+GiaDinh_K3!$D$8*Params!$C$5*C57)*'Tính chọn'!$D$23*Params!$C$16)+Catalogue!$F$15*C57/'Tính chọn'!$D$23)</f>
        <v>4.66670364805109</v>
      </c>
      <c r="G57" s="42" t="n">
        <f aca="false">IF(A57&gt;$F$10,0,IF(('Tính chọn'!$D$6+GiaDinh_K3!$D$8*Params!$C$6*C57)&gt;=0,('Tính chọn'!$D$6+GiaDinh_K3!$D$8*Params!$C$6*C57)*'Tính chọn'!$D$23/Params!$C$16,('Tính chọn'!$D$6+GiaDinh_K3!$D$8*Params!$C$6*C57)*'Tính chọn'!$D$23*Params!$C$16)+Catalogue!$F$15*C57/'Tính chọn'!$D$23)</f>
        <v>1.0982819601407</v>
      </c>
      <c r="H57" s="45" t="n">
        <f aca="false">F57*D57/'Tính chọn'!$D$23</f>
        <v>656.608742508835</v>
      </c>
    </row>
    <row r="58" customFormat="false" ht="14.25" hidden="false" customHeight="false" outlineLevel="0" collapsed="false">
      <c r="A58" s="41" t="n">
        <f aca="false">44*$B$5</f>
        <v>0.44</v>
      </c>
      <c r="B58" s="42" t="n">
        <f aca="false">IF(A58&lt;$F$4,GiaDinh_K3!$D$12,IF(A58&lt;$F$5,0,IF(A58&lt;$F$6,-GiaDinh_K3!$D$12,IF(A58&lt;$F$7,0,IF(A58&lt;$F$8,-GiaDinh_K3!$D$12,IF(A58&lt;$F$9,0,IF(A58&lt;$F$10,GiaDinh_K3!$D$12,0)))))))</f>
        <v>-1.8</v>
      </c>
      <c r="C58" s="43" t="n">
        <f aca="false">IF(A58&lt;$F$4,GiaDinh_K3!$D$12*A58,IF(A58&lt;$F$5,GiaDinh_K3!$D$11,IF(A58&lt;$F$6,GiaDinh_K3!$D$11-GiaDinh_K3!$D$12*(A58-$F$5),IF(A58&lt;$F$7,0,IF(A58&lt;$F$8,-GiaDinh_K3!$D$12*(A58-$F$7),IF(A58&lt;$F$9,-GiaDinh_K3!$D$11,IF(A58&lt;$F$10,-GiaDinh_K3!$D$11+GiaDinh_K3!$D$12*(A58-$F$9),0)))))))</f>
        <v>0.138</v>
      </c>
      <c r="D58" s="46" t="n">
        <f aca="false">MAX(0,D57+(C57+C58)/2*$B$5)</f>
        <v>0.11469</v>
      </c>
      <c r="E58" s="46" t="n">
        <f aca="false">E57+(D57+D58)/2*$B$5</f>
        <v>0.02193285</v>
      </c>
      <c r="F58" s="42" t="n">
        <f aca="false">IF(A58&gt;$F$10,0,IF((Params!$C$21+GiaDinh_K3!$D$8*Params!$C$5*C58)&gt;=0,(Params!$C$21+GiaDinh_K3!$D$8*Params!$C$5*C58)*'Tính chọn'!$D$23/Params!$C$16,(Params!$C$21+GiaDinh_K3!$D$8*Params!$C$5*C58)*'Tính chọn'!$D$23*Params!$C$16)+Catalogue!$F$15*C58/'Tính chọn'!$D$23)</f>
        <v>4.34447202113228</v>
      </c>
      <c r="G58" s="42" t="n">
        <f aca="false">IF(A58&gt;$F$10,0,IF(('Tính chọn'!$D$6+GiaDinh_K3!$D$8*Params!$C$6*C58)&gt;=0,('Tính chọn'!$D$6+GiaDinh_K3!$D$8*Params!$C$6*C58)*'Tính chọn'!$D$23/Params!$C$16,('Tính chọn'!$D$6+GiaDinh_K3!$D$8*Params!$C$6*C58)*'Tính chọn'!$D$23*Params!$C$16)+Catalogue!$F$15*C58/'Tính chọn'!$D$23)</f>
        <v>1.00225253484414</v>
      </c>
      <c r="H58" s="45" t="n">
        <f aca="false">F58*D58/'Tính chọn'!$D$23</f>
        <v>619.206982757941</v>
      </c>
    </row>
    <row r="59" customFormat="false" ht="14.25" hidden="false" customHeight="false" outlineLevel="0" collapsed="false">
      <c r="A59" s="41" t="n">
        <f aca="false">45*$B$5</f>
        <v>0.45</v>
      </c>
      <c r="B59" s="42" t="n">
        <f aca="false">IF(A59&lt;$F$4,GiaDinh_K3!$D$12,IF(A59&lt;$F$5,0,IF(A59&lt;$F$6,-GiaDinh_K3!$D$12,IF(A59&lt;$F$7,0,IF(A59&lt;$F$8,-GiaDinh_K3!$D$12,IF(A59&lt;$F$9,0,IF(A59&lt;$F$10,GiaDinh_K3!$D$12,0)))))))</f>
        <v>-1.8</v>
      </c>
      <c r="C59" s="43" t="n">
        <f aca="false">IF(A59&lt;$F$4,GiaDinh_K3!$D$12*A59,IF(A59&lt;$F$5,GiaDinh_K3!$D$11,IF(A59&lt;$F$6,GiaDinh_K3!$D$11-GiaDinh_K3!$D$12*(A59-$F$5),IF(A59&lt;$F$7,0,IF(A59&lt;$F$8,-GiaDinh_K3!$D$12*(A59-$F$7),IF(A59&lt;$F$9,-GiaDinh_K3!$D$11,IF(A59&lt;$F$10,-GiaDinh_K3!$D$11+GiaDinh_K3!$D$12*(A59-$F$9),0)))))))</f>
        <v>0.12</v>
      </c>
      <c r="D59" s="46" t="n">
        <f aca="false">MAX(0,D58+(C58+C59)/2*$B$5)</f>
        <v>0.11598</v>
      </c>
      <c r="E59" s="46" t="n">
        <f aca="false">E58+(D58+D59)/2*$B$5</f>
        <v>0.0230862</v>
      </c>
      <c r="F59" s="42" t="n">
        <f aca="false">IF(A59&gt;$F$10,0,IF((Params!$C$21+GiaDinh_K3!$D$8*Params!$C$5*C59)&gt;=0,(Params!$C$21+GiaDinh_K3!$D$8*Params!$C$5*C59)*'Tính chọn'!$D$23/Params!$C$16,(Params!$C$21+GiaDinh_K3!$D$8*Params!$C$5*C59)*'Tính chọn'!$D$23*Params!$C$16)+Catalogue!$F$15*C59/'Tính chọn'!$D$23)</f>
        <v>4.02224039421347</v>
      </c>
      <c r="G59" s="42" t="n">
        <f aca="false">IF(A59&gt;$F$10,0,IF(('Tính chọn'!$D$6+GiaDinh_K3!$D$8*Params!$C$6*C59)&gt;=0,('Tính chọn'!$D$6+GiaDinh_K3!$D$8*Params!$C$6*C59)*'Tính chọn'!$D$23/Params!$C$16,('Tính chọn'!$D$6+GiaDinh_K3!$D$8*Params!$C$6*C59)*'Tính chọn'!$D$23*Params!$C$16)+Catalogue!$F$15*C59/'Tính chọn'!$D$23)</f>
        <v>0.906223109547573</v>
      </c>
      <c r="H59" s="45" t="n">
        <f aca="false">F59*D59/'Tính chọn'!$D$23</f>
        <v>579.728185221193</v>
      </c>
    </row>
    <row r="60" customFormat="false" ht="14.25" hidden="false" customHeight="false" outlineLevel="0" collapsed="false">
      <c r="A60" s="41" t="n">
        <f aca="false">46*$B$5</f>
        <v>0.46</v>
      </c>
      <c r="B60" s="42" t="n">
        <f aca="false">IF(A60&lt;$F$4,GiaDinh_K3!$D$12,IF(A60&lt;$F$5,0,IF(A60&lt;$F$6,-GiaDinh_K3!$D$12,IF(A60&lt;$F$7,0,IF(A60&lt;$F$8,-GiaDinh_K3!$D$12,IF(A60&lt;$F$9,0,IF(A60&lt;$F$10,GiaDinh_K3!$D$12,0)))))))</f>
        <v>-1.8</v>
      </c>
      <c r="C60" s="43" t="n">
        <f aca="false">IF(A60&lt;$F$4,GiaDinh_K3!$D$12*A60,IF(A60&lt;$F$5,GiaDinh_K3!$D$11,IF(A60&lt;$F$6,GiaDinh_K3!$D$11-GiaDinh_K3!$D$12*(A60-$F$5),IF(A60&lt;$F$7,0,IF(A60&lt;$F$8,-GiaDinh_K3!$D$12*(A60-$F$7),IF(A60&lt;$F$9,-GiaDinh_K3!$D$11,IF(A60&lt;$F$10,-GiaDinh_K3!$D$11+GiaDinh_K3!$D$12*(A60-$F$9),0)))))))</f>
        <v>0.102</v>
      </c>
      <c r="D60" s="46" t="n">
        <f aca="false">MAX(0,D59+(C59+C60)/2*$B$5)</f>
        <v>0.11709</v>
      </c>
      <c r="E60" s="46" t="n">
        <f aca="false">E59+(D59+D60)/2*$B$5</f>
        <v>0.02425155</v>
      </c>
      <c r="F60" s="42" t="n">
        <f aca="false">IF(A60&gt;$F$10,0,IF((Params!$C$21+GiaDinh_K3!$D$8*Params!$C$5*C60)&gt;=0,(Params!$C$21+GiaDinh_K3!$D$8*Params!$C$5*C60)*'Tính chọn'!$D$23/Params!$C$16,(Params!$C$21+GiaDinh_K3!$D$8*Params!$C$5*C60)*'Tính chọn'!$D$23*Params!$C$16)+Catalogue!$F$15*C60/'Tính chọn'!$D$23)</f>
        <v>3.70000876729466</v>
      </c>
      <c r="G60" s="42" t="n">
        <f aca="false">IF(A60&gt;$F$10,0,IF(('Tính chọn'!$D$6+GiaDinh_K3!$D$8*Params!$C$6*C60)&gt;=0,('Tính chọn'!$D$6+GiaDinh_K3!$D$8*Params!$C$6*C60)*'Tính chọn'!$D$23/Params!$C$16,('Tính chọn'!$D$6+GiaDinh_K3!$D$8*Params!$C$6*C60)*'Tính chọn'!$D$23*Params!$C$16)+Catalogue!$F$15*C60/'Tính chọn'!$D$23)</f>
        <v>0.810193684251011</v>
      </c>
      <c r="H60" s="45" t="n">
        <f aca="false">F60*D60/'Tính chọn'!$D$23</f>
        <v>538.388589489789</v>
      </c>
    </row>
    <row r="61" customFormat="false" ht="14.25" hidden="false" customHeight="false" outlineLevel="0" collapsed="false">
      <c r="A61" s="41" t="n">
        <f aca="false">47*$B$5</f>
        <v>0.47</v>
      </c>
      <c r="B61" s="42" t="n">
        <f aca="false">IF(A61&lt;$F$4,GiaDinh_K3!$D$12,IF(A61&lt;$F$5,0,IF(A61&lt;$F$6,-GiaDinh_K3!$D$12,IF(A61&lt;$F$7,0,IF(A61&lt;$F$8,-GiaDinh_K3!$D$12,IF(A61&lt;$F$9,0,IF(A61&lt;$F$10,GiaDinh_K3!$D$12,0)))))))</f>
        <v>-1.8</v>
      </c>
      <c r="C61" s="43" t="n">
        <f aca="false">IF(A61&lt;$F$4,GiaDinh_K3!$D$12*A61,IF(A61&lt;$F$5,GiaDinh_K3!$D$11,IF(A61&lt;$F$6,GiaDinh_K3!$D$11-GiaDinh_K3!$D$12*(A61-$F$5),IF(A61&lt;$F$7,0,IF(A61&lt;$F$8,-GiaDinh_K3!$D$12*(A61-$F$7),IF(A61&lt;$F$9,-GiaDinh_K3!$D$11,IF(A61&lt;$F$10,-GiaDinh_K3!$D$11+GiaDinh_K3!$D$12*(A61-$F$9),0)))))))</f>
        <v>0.084</v>
      </c>
      <c r="D61" s="46" t="n">
        <f aca="false">MAX(0,D60+(C60+C61)/2*$B$5)</f>
        <v>0.11802</v>
      </c>
      <c r="E61" s="46" t="n">
        <f aca="false">E60+(D60+D61)/2*$B$5</f>
        <v>0.0254271</v>
      </c>
      <c r="F61" s="42" t="n">
        <f aca="false">IF(A61&gt;$F$10,0,IF((Params!$C$21+GiaDinh_K3!$D$8*Params!$C$5*C61)&gt;=0,(Params!$C$21+GiaDinh_K3!$D$8*Params!$C$5*C61)*'Tính chọn'!$D$23/Params!$C$16,(Params!$C$21+GiaDinh_K3!$D$8*Params!$C$5*C61)*'Tính chọn'!$D$23*Params!$C$16)+Catalogue!$F$15*C61/'Tính chọn'!$D$23)</f>
        <v>3.37777714037585</v>
      </c>
      <c r="G61" s="42" t="n">
        <f aca="false">IF(A61&gt;$F$10,0,IF(('Tính chọn'!$D$6+GiaDinh_K3!$D$8*Params!$C$6*C61)&gt;=0,('Tính chọn'!$D$6+GiaDinh_K3!$D$8*Params!$C$6*C61)*'Tính chọn'!$D$23/Params!$C$16,('Tính chọn'!$D$6+GiaDinh_K3!$D$8*Params!$C$6*C61)*'Tính chọn'!$D$23*Params!$C$16)+Catalogue!$F$15*C61/'Tính chọn'!$D$23)</f>
        <v>0.714164258954448</v>
      </c>
      <c r="H61" s="45" t="n">
        <f aca="false">F61*D61/'Tính chọn'!$D$23</f>
        <v>495.404435154926</v>
      </c>
    </row>
    <row r="62" customFormat="false" ht="14.25" hidden="false" customHeight="false" outlineLevel="0" collapsed="false">
      <c r="A62" s="41" t="n">
        <f aca="false">48*$B$5</f>
        <v>0.48</v>
      </c>
      <c r="B62" s="42" t="n">
        <f aca="false">IF(A62&lt;$F$4,GiaDinh_K3!$D$12,IF(A62&lt;$F$5,0,IF(A62&lt;$F$6,-GiaDinh_K3!$D$12,IF(A62&lt;$F$7,0,IF(A62&lt;$F$8,-GiaDinh_K3!$D$12,IF(A62&lt;$F$9,0,IF(A62&lt;$F$10,GiaDinh_K3!$D$12,0)))))))</f>
        <v>-1.8</v>
      </c>
      <c r="C62" s="43" t="n">
        <f aca="false">IF(A62&lt;$F$4,GiaDinh_K3!$D$12*A62,IF(A62&lt;$F$5,GiaDinh_K3!$D$11,IF(A62&lt;$F$6,GiaDinh_K3!$D$11-GiaDinh_K3!$D$12*(A62-$F$5),IF(A62&lt;$F$7,0,IF(A62&lt;$F$8,-GiaDinh_K3!$D$12*(A62-$F$7),IF(A62&lt;$F$9,-GiaDinh_K3!$D$11,IF(A62&lt;$F$10,-GiaDinh_K3!$D$11+GiaDinh_K3!$D$12*(A62-$F$9),0)))))))</f>
        <v>0.066</v>
      </c>
      <c r="D62" s="46" t="n">
        <f aca="false">MAX(0,D61+(C61+C62)/2*$B$5)</f>
        <v>0.11877</v>
      </c>
      <c r="E62" s="46" t="n">
        <f aca="false">E61+(D61+D62)/2*$B$5</f>
        <v>0.02661105</v>
      </c>
      <c r="F62" s="42" t="n">
        <f aca="false">IF(A62&gt;$F$10,0,IF((Params!$C$21+GiaDinh_K3!$D$8*Params!$C$5*C62)&gt;=0,(Params!$C$21+GiaDinh_K3!$D$8*Params!$C$5*C62)*'Tính chọn'!$D$23/Params!$C$16,(Params!$C$21+GiaDinh_K3!$D$8*Params!$C$5*C62)*'Tính chọn'!$D$23*Params!$C$16)+Catalogue!$F$15*C62/'Tính chọn'!$D$23)</f>
        <v>3.05554551345704</v>
      </c>
      <c r="G62" s="42" t="n">
        <f aca="false">IF(A62&gt;$F$10,0,IF(('Tính chọn'!$D$6+GiaDinh_K3!$D$8*Params!$C$6*C62)&gt;=0,('Tính chọn'!$D$6+GiaDinh_K3!$D$8*Params!$C$6*C62)*'Tính chọn'!$D$23/Params!$C$16,('Tính chọn'!$D$6+GiaDinh_K3!$D$8*Params!$C$6*C62)*'Tính chọn'!$D$23*Params!$C$16)+Catalogue!$F$15*C62/'Tính chọn'!$D$23)</f>
        <v>0.618134833657886</v>
      </c>
      <c r="H62" s="45" t="n">
        <f aca="false">F62*D62/'Tính chọn'!$D$23</f>
        <v>450.991961807805</v>
      </c>
    </row>
    <row r="63" customFormat="false" ht="14.25" hidden="false" customHeight="false" outlineLevel="0" collapsed="false">
      <c r="A63" s="41" t="n">
        <f aca="false">49*$B$5</f>
        <v>0.49</v>
      </c>
      <c r="B63" s="42" t="n">
        <f aca="false">IF(A63&lt;$F$4,GiaDinh_K3!$D$12,IF(A63&lt;$F$5,0,IF(A63&lt;$F$6,-GiaDinh_K3!$D$12,IF(A63&lt;$F$7,0,IF(A63&lt;$F$8,-GiaDinh_K3!$D$12,IF(A63&lt;$F$9,0,IF(A63&lt;$F$10,GiaDinh_K3!$D$12,0)))))))</f>
        <v>-1.8</v>
      </c>
      <c r="C63" s="43" t="n">
        <f aca="false">IF(A63&lt;$F$4,GiaDinh_K3!$D$12*A63,IF(A63&lt;$F$5,GiaDinh_K3!$D$11,IF(A63&lt;$F$6,GiaDinh_K3!$D$11-GiaDinh_K3!$D$12*(A63-$F$5),IF(A63&lt;$F$7,0,IF(A63&lt;$F$8,-GiaDinh_K3!$D$12*(A63-$F$7),IF(A63&lt;$F$9,-GiaDinh_K3!$D$11,IF(A63&lt;$F$10,-GiaDinh_K3!$D$11+GiaDinh_K3!$D$12*(A63-$F$9),0)))))))</f>
        <v>0.048</v>
      </c>
      <c r="D63" s="46" t="n">
        <f aca="false">MAX(0,D62+(C62+C63)/2*$B$5)</f>
        <v>0.11934</v>
      </c>
      <c r="E63" s="46" t="n">
        <f aca="false">E62+(D62+D63)/2*$B$5</f>
        <v>0.0278016</v>
      </c>
      <c r="F63" s="42" t="n">
        <f aca="false">IF(A63&gt;$F$10,0,IF((Params!$C$21+GiaDinh_K3!$D$8*Params!$C$5*C63)&gt;=0,(Params!$C$21+GiaDinh_K3!$D$8*Params!$C$5*C63)*'Tính chọn'!$D$23/Params!$C$16,(Params!$C$21+GiaDinh_K3!$D$8*Params!$C$5*C63)*'Tính chọn'!$D$23*Params!$C$16)+Catalogue!$F$15*C63/'Tính chọn'!$D$23)</f>
        <v>2.73331388653823</v>
      </c>
      <c r="G63" s="42" t="n">
        <f aca="false">IF(A63&gt;$F$10,0,IF(('Tính chọn'!$D$6+GiaDinh_K3!$D$8*Params!$C$6*C63)&gt;=0,('Tính chọn'!$D$6+GiaDinh_K3!$D$8*Params!$C$6*C63)*'Tính chọn'!$D$23/Params!$C$16,('Tính chọn'!$D$6+GiaDinh_K3!$D$8*Params!$C$6*C63)*'Tính chọn'!$D$23*Params!$C$16)+Catalogue!$F$15*C63/'Tính chọn'!$D$23)</f>
        <v>0.522105408361324</v>
      </c>
      <c r="H63" s="45" t="n">
        <f aca="false">F63*D63/'Tính chọn'!$D$23</f>
        <v>405.367409039622</v>
      </c>
    </row>
    <row r="64" customFormat="false" ht="14.25" hidden="false" customHeight="false" outlineLevel="0" collapsed="false">
      <c r="A64" s="41" t="n">
        <f aca="false">50*$B$5</f>
        <v>0.5</v>
      </c>
      <c r="B64" s="42" t="n">
        <f aca="false">IF(A64&lt;$F$4,GiaDinh_K3!$D$12,IF(A64&lt;$F$5,0,IF(A64&lt;$F$6,-GiaDinh_K3!$D$12,IF(A64&lt;$F$7,0,IF(A64&lt;$F$8,-GiaDinh_K3!$D$12,IF(A64&lt;$F$9,0,IF(A64&lt;$F$10,GiaDinh_K3!$D$12,0)))))))</f>
        <v>-1.8</v>
      </c>
      <c r="C64" s="43" t="n">
        <f aca="false">IF(A64&lt;$F$4,GiaDinh_K3!$D$12*A64,IF(A64&lt;$F$5,GiaDinh_K3!$D$11,IF(A64&lt;$F$6,GiaDinh_K3!$D$11-GiaDinh_K3!$D$12*(A64-$F$5),IF(A64&lt;$F$7,0,IF(A64&lt;$F$8,-GiaDinh_K3!$D$12*(A64-$F$7),IF(A64&lt;$F$9,-GiaDinh_K3!$D$11,IF(A64&lt;$F$10,-GiaDinh_K3!$D$11+GiaDinh_K3!$D$12*(A64-$F$9),0)))))))</f>
        <v>0.03</v>
      </c>
      <c r="D64" s="46" t="n">
        <f aca="false">MAX(0,D63+(C63+C64)/2*$B$5)</f>
        <v>0.11973</v>
      </c>
      <c r="E64" s="46" t="n">
        <f aca="false">E63+(D63+D64)/2*$B$5</f>
        <v>0.02899695</v>
      </c>
      <c r="F64" s="42" t="n">
        <f aca="false">IF(A64&gt;$F$10,0,IF((Params!$C$21+GiaDinh_K3!$D$8*Params!$C$5*C64)&gt;=0,(Params!$C$21+GiaDinh_K3!$D$8*Params!$C$5*C64)*'Tính chọn'!$D$23/Params!$C$16,(Params!$C$21+GiaDinh_K3!$D$8*Params!$C$5*C64)*'Tính chọn'!$D$23*Params!$C$16)+Catalogue!$F$15*C64/'Tính chọn'!$D$23)</f>
        <v>2.41108225961942</v>
      </c>
      <c r="G64" s="42" t="n">
        <f aca="false">IF(A64&gt;$F$10,0,IF(('Tính chọn'!$D$6+GiaDinh_K3!$D$8*Params!$C$6*C64)&gt;=0,('Tính chọn'!$D$6+GiaDinh_K3!$D$8*Params!$C$6*C64)*'Tính chọn'!$D$23/Params!$C$16,('Tính chọn'!$D$6+GiaDinh_K3!$D$8*Params!$C$6*C64)*'Tính chọn'!$D$23*Params!$C$16)+Catalogue!$F$15*C64/'Tính chọn'!$D$23)</f>
        <v>0.426075983064761</v>
      </c>
      <c r="H64" s="45" t="n">
        <f aca="false">F64*D64/'Tính chọn'!$D$23</f>
        <v>358.747016441577</v>
      </c>
    </row>
    <row r="65" customFormat="false" ht="14.25" hidden="false" customHeight="false" outlineLevel="0" collapsed="false">
      <c r="A65" s="41" t="n">
        <f aca="false">51*$B$5</f>
        <v>0.51</v>
      </c>
      <c r="B65" s="42" t="n">
        <f aca="false">IF(A65&lt;$F$4,GiaDinh_K3!$D$12,IF(A65&lt;$F$5,0,IF(A65&lt;$F$6,-GiaDinh_K3!$D$12,IF(A65&lt;$F$7,0,IF(A65&lt;$F$8,-GiaDinh_K3!$D$12,IF(A65&lt;$F$9,0,IF(A65&lt;$F$10,GiaDinh_K3!$D$12,0)))))))</f>
        <v>-1.8</v>
      </c>
      <c r="C65" s="43" t="n">
        <f aca="false">IF(A65&lt;$F$4,GiaDinh_K3!$D$12*A65,IF(A65&lt;$F$5,GiaDinh_K3!$D$11,IF(A65&lt;$F$6,GiaDinh_K3!$D$11-GiaDinh_K3!$D$12*(A65-$F$5),IF(A65&lt;$F$7,0,IF(A65&lt;$F$8,-GiaDinh_K3!$D$12*(A65-$F$7),IF(A65&lt;$F$9,-GiaDinh_K3!$D$11,IF(A65&lt;$F$10,-GiaDinh_K3!$D$11+GiaDinh_K3!$D$12*(A65-$F$9),0)))))))</f>
        <v>0.012</v>
      </c>
      <c r="D65" s="46" t="n">
        <f aca="false">MAX(0,D64+(C64+C65)/2*$B$5)</f>
        <v>0.11994</v>
      </c>
      <c r="E65" s="46" t="n">
        <f aca="false">E64+(D64+D65)/2*$B$5</f>
        <v>0.0301953</v>
      </c>
      <c r="F65" s="42" t="n">
        <f aca="false">IF(A65&gt;$F$10,0,IF((Params!$C$21+GiaDinh_K3!$D$8*Params!$C$5*C65)&gt;=0,(Params!$C$21+GiaDinh_K3!$D$8*Params!$C$5*C65)*'Tính chọn'!$D$23/Params!$C$16,(Params!$C$21+GiaDinh_K3!$D$8*Params!$C$5*C65)*'Tính chọn'!$D$23*Params!$C$16)+Catalogue!$F$15*C65/'Tính chọn'!$D$23)</f>
        <v>2.0888506327006</v>
      </c>
      <c r="G65" s="42" t="n">
        <f aca="false">IF(A65&gt;$F$10,0,IF(('Tính chọn'!$D$6+GiaDinh_K3!$D$8*Params!$C$6*C65)&gt;=0,('Tính chọn'!$D$6+GiaDinh_K3!$D$8*Params!$C$6*C65)*'Tính chọn'!$D$23/Params!$C$16,('Tính chọn'!$D$6+GiaDinh_K3!$D$8*Params!$C$6*C65)*'Tính chọn'!$D$23*Params!$C$16)+Catalogue!$F$15*C65/'Tính chọn'!$D$23)</f>
        <v>0.330046557768199</v>
      </c>
      <c r="H65" s="45" t="n">
        <f aca="false">F65*D65/'Tính chọn'!$D$23</f>
        <v>311.347023604867</v>
      </c>
    </row>
    <row r="66" customFormat="false" ht="14.25" hidden="false" customHeight="false" outlineLevel="0" collapsed="false">
      <c r="A66" s="41" t="n">
        <f aca="false">52*$B$5</f>
        <v>0.52</v>
      </c>
      <c r="B66" s="42" t="n">
        <f aca="false">IF(A66&lt;$F$4,GiaDinh_K3!$D$12,IF(A66&lt;$F$5,0,IF(A66&lt;$F$6,-GiaDinh_K3!$D$12,IF(A66&lt;$F$7,0,IF(A66&lt;$F$8,-GiaDinh_K3!$D$12,IF(A66&lt;$F$9,0,IF(A66&lt;$F$10,GiaDinh_K3!$D$12,0)))))))</f>
        <v>0</v>
      </c>
      <c r="C66" s="43" t="n">
        <f aca="false">IF(A66&lt;$F$4,GiaDinh_K3!$D$12*A66,IF(A66&lt;$F$5,GiaDinh_K3!$D$11,IF(A66&lt;$F$6,GiaDinh_K3!$D$11-GiaDinh_K3!$D$12*(A66-$F$5),IF(A66&lt;$F$7,0,IF(A66&lt;$F$8,-GiaDinh_K3!$D$12*(A66-$F$7),IF(A66&lt;$F$9,-GiaDinh_K3!$D$11,IF(A66&lt;$F$10,-GiaDinh_K3!$D$11+GiaDinh_K3!$D$12*(A66-$F$9),0)))))))</f>
        <v>0</v>
      </c>
      <c r="D66" s="46" t="n">
        <f aca="false">MAX(0,D65+(C65+C66)/2*$B$5)</f>
        <v>0.12</v>
      </c>
      <c r="E66" s="46" t="n">
        <f aca="false">E65+(D65+D66)/2*$B$5</f>
        <v>0.031395</v>
      </c>
      <c r="F66" s="42" t="n">
        <f aca="false">IF(A66&gt;$F$10,0,IF((Params!$C$21+GiaDinh_K3!$D$8*Params!$C$5*C66)&gt;=0,(Params!$C$21+GiaDinh_K3!$D$8*Params!$C$5*C66)*'Tính chọn'!$D$23/Params!$C$16,(Params!$C$21+GiaDinh_K3!$D$8*Params!$C$5*C66)*'Tính chọn'!$D$23*Params!$C$16)+Catalogue!$F$15*C66/'Tính chọn'!$D$23)</f>
        <v>1.87402954808807</v>
      </c>
      <c r="G66" s="42" t="n">
        <f aca="false">IF(A66&gt;$F$10,0,IF(('Tính chọn'!$D$6+GiaDinh_K3!$D$8*Params!$C$6*C66)&gt;=0,('Tính chọn'!$D$6+GiaDinh_K3!$D$8*Params!$C$6*C66)*'Tính chọn'!$D$23/Params!$C$16,('Tính chọn'!$D$6+GiaDinh_K3!$D$8*Params!$C$6*C66)*'Tính chọn'!$D$23*Params!$C$16)+Catalogue!$F$15*C66/'Tính chọn'!$D$23)</f>
        <v>0.266026940903824</v>
      </c>
      <c r="H66" s="45" t="n">
        <f aca="false">F66*D66/'Tính chọn'!$D$23</f>
        <v>279.46728</v>
      </c>
    </row>
    <row r="67" customFormat="false" ht="14.25" hidden="false" customHeight="false" outlineLevel="0" collapsed="false">
      <c r="A67" s="41" t="n">
        <f aca="false">53*$B$5</f>
        <v>0.53</v>
      </c>
      <c r="B67" s="42" t="n">
        <f aca="false">IF(A67&lt;$F$4,GiaDinh_K3!$D$12,IF(A67&lt;$F$5,0,IF(A67&lt;$F$6,-GiaDinh_K3!$D$12,IF(A67&lt;$F$7,0,IF(A67&lt;$F$8,-GiaDinh_K3!$D$12,IF(A67&lt;$F$9,0,IF(A67&lt;$F$10,GiaDinh_K3!$D$12,0)))))))</f>
        <v>0</v>
      </c>
      <c r="C67" s="43" t="n">
        <f aca="false">IF(A67&lt;$F$4,GiaDinh_K3!$D$12*A67,IF(A67&lt;$F$5,GiaDinh_K3!$D$11,IF(A67&lt;$F$6,GiaDinh_K3!$D$11-GiaDinh_K3!$D$12*(A67-$F$5),IF(A67&lt;$F$7,0,IF(A67&lt;$F$8,-GiaDinh_K3!$D$12*(A67-$F$7),IF(A67&lt;$F$9,-GiaDinh_K3!$D$11,IF(A67&lt;$F$10,-GiaDinh_K3!$D$11+GiaDinh_K3!$D$12*(A67-$F$9),0)))))))</f>
        <v>0</v>
      </c>
      <c r="D67" s="46" t="n">
        <f aca="false">MAX(0,D66+(C66+C67)/2*$B$5)</f>
        <v>0.12</v>
      </c>
      <c r="E67" s="46" t="n">
        <f aca="false">E66+(D66+D67)/2*$B$5</f>
        <v>0.032595</v>
      </c>
      <c r="F67" s="42" t="n">
        <f aca="false">IF(A67&gt;$F$10,0,IF((Params!$C$21+GiaDinh_K3!$D$8*Params!$C$5*C67)&gt;=0,(Params!$C$21+GiaDinh_K3!$D$8*Params!$C$5*C67)*'Tính chọn'!$D$23/Params!$C$16,(Params!$C$21+GiaDinh_K3!$D$8*Params!$C$5*C67)*'Tính chọn'!$D$23*Params!$C$16)+Catalogue!$F$15*C67/'Tính chọn'!$D$23)</f>
        <v>1.87402954808807</v>
      </c>
      <c r="G67" s="42" t="n">
        <f aca="false">IF(A67&gt;$F$10,0,IF(('Tính chọn'!$D$6+GiaDinh_K3!$D$8*Params!$C$6*C67)&gt;=0,('Tính chọn'!$D$6+GiaDinh_K3!$D$8*Params!$C$6*C67)*'Tính chọn'!$D$23/Params!$C$16,('Tính chọn'!$D$6+GiaDinh_K3!$D$8*Params!$C$6*C67)*'Tính chọn'!$D$23*Params!$C$16)+Catalogue!$F$15*C67/'Tính chọn'!$D$23)</f>
        <v>0.266026940903824</v>
      </c>
      <c r="H67" s="45" t="n">
        <f aca="false">F67*D67/'Tính chọn'!$D$23</f>
        <v>279.46728</v>
      </c>
    </row>
    <row r="68" customFormat="false" ht="14.25" hidden="false" customHeight="false" outlineLevel="0" collapsed="false">
      <c r="A68" s="41" t="n">
        <f aca="false">54*$B$5</f>
        <v>0.54</v>
      </c>
      <c r="B68" s="42" t="n">
        <f aca="false">IF(A68&lt;$F$4,GiaDinh_K3!$D$12,IF(A68&lt;$F$5,0,IF(A68&lt;$F$6,-GiaDinh_K3!$D$12,IF(A68&lt;$F$7,0,IF(A68&lt;$F$8,-GiaDinh_K3!$D$12,IF(A68&lt;$F$9,0,IF(A68&lt;$F$10,GiaDinh_K3!$D$12,0)))))))</f>
        <v>0</v>
      </c>
      <c r="C68" s="43" t="n">
        <f aca="false">IF(A68&lt;$F$4,GiaDinh_K3!$D$12*A68,IF(A68&lt;$F$5,GiaDinh_K3!$D$11,IF(A68&lt;$F$6,GiaDinh_K3!$D$11-GiaDinh_K3!$D$12*(A68-$F$5),IF(A68&lt;$F$7,0,IF(A68&lt;$F$8,-GiaDinh_K3!$D$12*(A68-$F$7),IF(A68&lt;$F$9,-GiaDinh_K3!$D$11,IF(A68&lt;$F$10,-GiaDinh_K3!$D$11+GiaDinh_K3!$D$12*(A68-$F$9),0)))))))</f>
        <v>0</v>
      </c>
      <c r="D68" s="46" t="n">
        <f aca="false">MAX(0,D67+(C67+C68)/2*$B$5)</f>
        <v>0.12</v>
      </c>
      <c r="E68" s="46" t="n">
        <f aca="false">E67+(D67+D68)/2*$B$5</f>
        <v>0.033795</v>
      </c>
      <c r="F68" s="42" t="n">
        <f aca="false">IF(A68&gt;$F$10,0,IF((Params!$C$21+GiaDinh_K3!$D$8*Params!$C$5*C68)&gt;=0,(Params!$C$21+GiaDinh_K3!$D$8*Params!$C$5*C68)*'Tính chọn'!$D$23/Params!$C$16,(Params!$C$21+GiaDinh_K3!$D$8*Params!$C$5*C68)*'Tính chọn'!$D$23*Params!$C$16)+Catalogue!$F$15*C68/'Tính chọn'!$D$23)</f>
        <v>1.87402954808807</v>
      </c>
      <c r="G68" s="42" t="n">
        <f aca="false">IF(A68&gt;$F$10,0,IF(('Tính chọn'!$D$6+GiaDinh_K3!$D$8*Params!$C$6*C68)&gt;=0,('Tính chọn'!$D$6+GiaDinh_K3!$D$8*Params!$C$6*C68)*'Tính chọn'!$D$23/Params!$C$16,('Tính chọn'!$D$6+GiaDinh_K3!$D$8*Params!$C$6*C68)*'Tính chọn'!$D$23*Params!$C$16)+Catalogue!$F$15*C68/'Tính chọn'!$D$23)</f>
        <v>0.266026940903824</v>
      </c>
      <c r="H68" s="45" t="n">
        <f aca="false">F68*D68/'Tính chọn'!$D$23</f>
        <v>279.46728</v>
      </c>
    </row>
    <row r="69" customFormat="false" ht="14.25" hidden="false" customHeight="false" outlineLevel="0" collapsed="false">
      <c r="A69" s="41" t="n">
        <f aca="false">55*$B$5</f>
        <v>0.55</v>
      </c>
      <c r="B69" s="42" t="n">
        <f aca="false">IF(A69&lt;$F$4,GiaDinh_K3!$D$12,IF(A69&lt;$F$5,0,IF(A69&lt;$F$6,-GiaDinh_K3!$D$12,IF(A69&lt;$F$7,0,IF(A69&lt;$F$8,-GiaDinh_K3!$D$12,IF(A69&lt;$F$9,0,IF(A69&lt;$F$10,GiaDinh_K3!$D$12,0)))))))</f>
        <v>0</v>
      </c>
      <c r="C69" s="43" t="n">
        <f aca="false">IF(A69&lt;$F$4,GiaDinh_K3!$D$12*A69,IF(A69&lt;$F$5,GiaDinh_K3!$D$11,IF(A69&lt;$F$6,GiaDinh_K3!$D$11-GiaDinh_K3!$D$12*(A69-$F$5),IF(A69&lt;$F$7,0,IF(A69&lt;$F$8,-GiaDinh_K3!$D$12*(A69-$F$7),IF(A69&lt;$F$9,-GiaDinh_K3!$D$11,IF(A69&lt;$F$10,-GiaDinh_K3!$D$11+GiaDinh_K3!$D$12*(A69-$F$9),0)))))))</f>
        <v>0</v>
      </c>
      <c r="D69" s="46" t="n">
        <f aca="false">MAX(0,D68+(C68+C69)/2*$B$5)</f>
        <v>0.12</v>
      </c>
      <c r="E69" s="46" t="n">
        <f aca="false">E68+(D68+D69)/2*$B$5</f>
        <v>0.034995</v>
      </c>
      <c r="F69" s="42" t="n">
        <f aca="false">IF(A69&gt;$F$10,0,IF((Params!$C$21+GiaDinh_K3!$D$8*Params!$C$5*C69)&gt;=0,(Params!$C$21+GiaDinh_K3!$D$8*Params!$C$5*C69)*'Tính chọn'!$D$23/Params!$C$16,(Params!$C$21+GiaDinh_K3!$D$8*Params!$C$5*C69)*'Tính chọn'!$D$23*Params!$C$16)+Catalogue!$F$15*C69/'Tính chọn'!$D$23)</f>
        <v>1.87402954808807</v>
      </c>
      <c r="G69" s="42" t="n">
        <f aca="false">IF(A69&gt;$F$10,0,IF(('Tính chọn'!$D$6+GiaDinh_K3!$D$8*Params!$C$6*C69)&gt;=0,('Tính chọn'!$D$6+GiaDinh_K3!$D$8*Params!$C$6*C69)*'Tính chọn'!$D$23/Params!$C$16,('Tính chọn'!$D$6+GiaDinh_K3!$D$8*Params!$C$6*C69)*'Tính chọn'!$D$23*Params!$C$16)+Catalogue!$F$15*C69/'Tính chọn'!$D$23)</f>
        <v>0.266026940903824</v>
      </c>
      <c r="H69" s="45" t="n">
        <f aca="false">F69*D69/'Tính chọn'!$D$23</f>
        <v>279.46728</v>
      </c>
    </row>
    <row r="70" customFormat="false" ht="14.25" hidden="false" customHeight="false" outlineLevel="0" collapsed="false">
      <c r="A70" s="41" t="n">
        <f aca="false">56*$B$5</f>
        <v>0.56</v>
      </c>
      <c r="B70" s="42" t="n">
        <f aca="false">IF(A70&lt;$F$4,GiaDinh_K3!$D$12,IF(A70&lt;$F$5,0,IF(A70&lt;$F$6,-GiaDinh_K3!$D$12,IF(A70&lt;$F$7,0,IF(A70&lt;$F$8,-GiaDinh_K3!$D$12,IF(A70&lt;$F$9,0,IF(A70&lt;$F$10,GiaDinh_K3!$D$12,0)))))))</f>
        <v>0</v>
      </c>
      <c r="C70" s="43" t="n">
        <f aca="false">IF(A70&lt;$F$4,GiaDinh_K3!$D$12*A70,IF(A70&lt;$F$5,GiaDinh_K3!$D$11,IF(A70&lt;$F$6,GiaDinh_K3!$D$11-GiaDinh_K3!$D$12*(A70-$F$5),IF(A70&lt;$F$7,0,IF(A70&lt;$F$8,-GiaDinh_K3!$D$12*(A70-$F$7),IF(A70&lt;$F$9,-GiaDinh_K3!$D$11,IF(A70&lt;$F$10,-GiaDinh_K3!$D$11+GiaDinh_K3!$D$12*(A70-$F$9),0)))))))</f>
        <v>0</v>
      </c>
      <c r="D70" s="46" t="n">
        <f aca="false">MAX(0,D69+(C69+C70)/2*$B$5)</f>
        <v>0.12</v>
      </c>
      <c r="E70" s="46" t="n">
        <f aca="false">E69+(D69+D70)/2*$B$5</f>
        <v>0.036195</v>
      </c>
      <c r="F70" s="42" t="n">
        <f aca="false">IF(A70&gt;$F$10,0,IF((Params!$C$21+GiaDinh_K3!$D$8*Params!$C$5*C70)&gt;=0,(Params!$C$21+GiaDinh_K3!$D$8*Params!$C$5*C70)*'Tính chọn'!$D$23/Params!$C$16,(Params!$C$21+GiaDinh_K3!$D$8*Params!$C$5*C70)*'Tính chọn'!$D$23*Params!$C$16)+Catalogue!$F$15*C70/'Tính chọn'!$D$23)</f>
        <v>1.87402954808807</v>
      </c>
      <c r="G70" s="42" t="n">
        <f aca="false">IF(A70&gt;$F$10,0,IF(('Tính chọn'!$D$6+GiaDinh_K3!$D$8*Params!$C$6*C70)&gt;=0,('Tính chọn'!$D$6+GiaDinh_K3!$D$8*Params!$C$6*C70)*'Tính chọn'!$D$23/Params!$C$16,('Tính chọn'!$D$6+GiaDinh_K3!$D$8*Params!$C$6*C70)*'Tính chọn'!$D$23*Params!$C$16)+Catalogue!$F$15*C70/'Tính chọn'!$D$23)</f>
        <v>0.266026940903824</v>
      </c>
      <c r="H70" s="45" t="n">
        <f aca="false">F70*D70/'Tính chọn'!$D$23</f>
        <v>279.46728</v>
      </c>
    </row>
    <row r="71" customFormat="false" ht="14.25" hidden="false" customHeight="false" outlineLevel="0" collapsed="false">
      <c r="A71" s="41" t="n">
        <f aca="false">57*$B$5</f>
        <v>0.57</v>
      </c>
      <c r="B71" s="42" t="n">
        <f aca="false">IF(A71&lt;$F$4,GiaDinh_K3!$D$12,IF(A71&lt;$F$5,0,IF(A71&lt;$F$6,-GiaDinh_K3!$D$12,IF(A71&lt;$F$7,0,IF(A71&lt;$F$8,-GiaDinh_K3!$D$12,IF(A71&lt;$F$9,0,IF(A71&lt;$F$10,GiaDinh_K3!$D$12,0)))))))</f>
        <v>0</v>
      </c>
      <c r="C71" s="43" t="n">
        <f aca="false">IF(A71&lt;$F$4,GiaDinh_K3!$D$12*A71,IF(A71&lt;$F$5,GiaDinh_K3!$D$11,IF(A71&lt;$F$6,GiaDinh_K3!$D$11-GiaDinh_K3!$D$12*(A71-$F$5),IF(A71&lt;$F$7,0,IF(A71&lt;$F$8,-GiaDinh_K3!$D$12*(A71-$F$7),IF(A71&lt;$F$9,-GiaDinh_K3!$D$11,IF(A71&lt;$F$10,-GiaDinh_K3!$D$11+GiaDinh_K3!$D$12*(A71-$F$9),0)))))))</f>
        <v>0</v>
      </c>
      <c r="D71" s="46" t="n">
        <f aca="false">MAX(0,D70+(C70+C71)/2*$B$5)</f>
        <v>0.12</v>
      </c>
      <c r="E71" s="46" t="n">
        <f aca="false">E70+(D70+D71)/2*$B$5</f>
        <v>0.037395</v>
      </c>
      <c r="F71" s="42" t="n">
        <f aca="false">IF(A71&gt;$F$10,0,IF((Params!$C$21+GiaDinh_K3!$D$8*Params!$C$5*C71)&gt;=0,(Params!$C$21+GiaDinh_K3!$D$8*Params!$C$5*C71)*'Tính chọn'!$D$23/Params!$C$16,(Params!$C$21+GiaDinh_K3!$D$8*Params!$C$5*C71)*'Tính chọn'!$D$23*Params!$C$16)+Catalogue!$F$15*C71/'Tính chọn'!$D$23)</f>
        <v>1.87402954808807</v>
      </c>
      <c r="G71" s="42" t="n">
        <f aca="false">IF(A71&gt;$F$10,0,IF(('Tính chọn'!$D$6+GiaDinh_K3!$D$8*Params!$C$6*C71)&gt;=0,('Tính chọn'!$D$6+GiaDinh_K3!$D$8*Params!$C$6*C71)*'Tính chọn'!$D$23/Params!$C$16,('Tính chọn'!$D$6+GiaDinh_K3!$D$8*Params!$C$6*C71)*'Tính chọn'!$D$23*Params!$C$16)+Catalogue!$F$15*C71/'Tính chọn'!$D$23)</f>
        <v>0.266026940903824</v>
      </c>
      <c r="H71" s="45" t="n">
        <f aca="false">F71*D71/'Tính chọn'!$D$23</f>
        <v>279.46728</v>
      </c>
    </row>
    <row r="72" customFormat="false" ht="14.25" hidden="false" customHeight="false" outlineLevel="0" collapsed="false">
      <c r="A72" s="41" t="n">
        <f aca="false">58*$B$5</f>
        <v>0.58</v>
      </c>
      <c r="B72" s="42" t="n">
        <f aca="false">IF(A72&lt;$F$4,GiaDinh_K3!$D$12,IF(A72&lt;$F$5,0,IF(A72&lt;$F$6,-GiaDinh_K3!$D$12,IF(A72&lt;$F$7,0,IF(A72&lt;$F$8,-GiaDinh_K3!$D$12,IF(A72&lt;$F$9,0,IF(A72&lt;$F$10,GiaDinh_K3!$D$12,0)))))))</f>
        <v>0</v>
      </c>
      <c r="C72" s="43" t="n">
        <f aca="false">IF(A72&lt;$F$4,GiaDinh_K3!$D$12*A72,IF(A72&lt;$F$5,GiaDinh_K3!$D$11,IF(A72&lt;$F$6,GiaDinh_K3!$D$11-GiaDinh_K3!$D$12*(A72-$F$5),IF(A72&lt;$F$7,0,IF(A72&lt;$F$8,-GiaDinh_K3!$D$12*(A72-$F$7),IF(A72&lt;$F$9,-GiaDinh_K3!$D$11,IF(A72&lt;$F$10,-GiaDinh_K3!$D$11+GiaDinh_K3!$D$12*(A72-$F$9),0)))))))</f>
        <v>0</v>
      </c>
      <c r="D72" s="46" t="n">
        <f aca="false">MAX(0,D71+(C71+C72)/2*$B$5)</f>
        <v>0.12</v>
      </c>
      <c r="E72" s="46" t="n">
        <f aca="false">E71+(D71+D72)/2*$B$5</f>
        <v>0.038595</v>
      </c>
      <c r="F72" s="42" t="n">
        <f aca="false">IF(A72&gt;$F$10,0,IF((Params!$C$21+GiaDinh_K3!$D$8*Params!$C$5*C72)&gt;=0,(Params!$C$21+GiaDinh_K3!$D$8*Params!$C$5*C72)*'Tính chọn'!$D$23/Params!$C$16,(Params!$C$21+GiaDinh_K3!$D$8*Params!$C$5*C72)*'Tính chọn'!$D$23*Params!$C$16)+Catalogue!$F$15*C72/'Tính chọn'!$D$23)</f>
        <v>1.87402954808807</v>
      </c>
      <c r="G72" s="42" t="n">
        <f aca="false">IF(A72&gt;$F$10,0,IF(('Tính chọn'!$D$6+GiaDinh_K3!$D$8*Params!$C$6*C72)&gt;=0,('Tính chọn'!$D$6+GiaDinh_K3!$D$8*Params!$C$6*C72)*'Tính chọn'!$D$23/Params!$C$16,('Tính chọn'!$D$6+GiaDinh_K3!$D$8*Params!$C$6*C72)*'Tính chọn'!$D$23*Params!$C$16)+Catalogue!$F$15*C72/'Tính chọn'!$D$23)</f>
        <v>0.266026940903824</v>
      </c>
      <c r="H72" s="45" t="n">
        <f aca="false">F72*D72/'Tính chọn'!$D$23</f>
        <v>279.46728</v>
      </c>
    </row>
    <row r="73" customFormat="false" ht="14.25" hidden="false" customHeight="false" outlineLevel="0" collapsed="false">
      <c r="A73" s="41" t="n">
        <f aca="false">59*$B$5</f>
        <v>0.59</v>
      </c>
      <c r="B73" s="42" t="n">
        <f aca="false">IF(A73&lt;$F$4,GiaDinh_K3!$D$12,IF(A73&lt;$F$5,0,IF(A73&lt;$F$6,-GiaDinh_K3!$D$12,IF(A73&lt;$F$7,0,IF(A73&lt;$F$8,-GiaDinh_K3!$D$12,IF(A73&lt;$F$9,0,IF(A73&lt;$F$10,GiaDinh_K3!$D$12,0)))))))</f>
        <v>0</v>
      </c>
      <c r="C73" s="43" t="n">
        <f aca="false">IF(A73&lt;$F$4,GiaDinh_K3!$D$12*A73,IF(A73&lt;$F$5,GiaDinh_K3!$D$11,IF(A73&lt;$F$6,GiaDinh_K3!$D$11-GiaDinh_K3!$D$12*(A73-$F$5),IF(A73&lt;$F$7,0,IF(A73&lt;$F$8,-GiaDinh_K3!$D$12*(A73-$F$7),IF(A73&lt;$F$9,-GiaDinh_K3!$D$11,IF(A73&lt;$F$10,-GiaDinh_K3!$D$11+GiaDinh_K3!$D$12*(A73-$F$9),0)))))))</f>
        <v>0</v>
      </c>
      <c r="D73" s="46" t="n">
        <f aca="false">MAX(0,D72+(C72+C73)/2*$B$5)</f>
        <v>0.12</v>
      </c>
      <c r="E73" s="46" t="n">
        <f aca="false">E72+(D72+D73)/2*$B$5</f>
        <v>0.039795</v>
      </c>
      <c r="F73" s="42" t="n">
        <f aca="false">IF(A73&gt;$F$10,0,IF((Params!$C$21+GiaDinh_K3!$D$8*Params!$C$5*C73)&gt;=0,(Params!$C$21+GiaDinh_K3!$D$8*Params!$C$5*C73)*'Tính chọn'!$D$23/Params!$C$16,(Params!$C$21+GiaDinh_K3!$D$8*Params!$C$5*C73)*'Tính chọn'!$D$23*Params!$C$16)+Catalogue!$F$15*C73/'Tính chọn'!$D$23)</f>
        <v>1.87402954808807</v>
      </c>
      <c r="G73" s="42" t="n">
        <f aca="false">IF(A73&gt;$F$10,0,IF(('Tính chọn'!$D$6+GiaDinh_K3!$D$8*Params!$C$6*C73)&gt;=0,('Tính chọn'!$D$6+GiaDinh_K3!$D$8*Params!$C$6*C73)*'Tính chọn'!$D$23/Params!$C$16,('Tính chọn'!$D$6+GiaDinh_K3!$D$8*Params!$C$6*C73)*'Tính chọn'!$D$23*Params!$C$16)+Catalogue!$F$15*C73/'Tính chọn'!$D$23)</f>
        <v>0.266026940903824</v>
      </c>
      <c r="H73" s="45" t="n">
        <f aca="false">F73*D73/'Tính chọn'!$D$23</f>
        <v>279.46728</v>
      </c>
    </row>
    <row r="74" customFormat="false" ht="14.25" hidden="false" customHeight="false" outlineLevel="0" collapsed="false">
      <c r="A74" s="41" t="n">
        <f aca="false">60*$B$5</f>
        <v>0.6</v>
      </c>
      <c r="B74" s="42" t="n">
        <f aca="false">IF(A74&lt;$F$4,GiaDinh_K3!$D$12,IF(A74&lt;$F$5,0,IF(A74&lt;$F$6,-GiaDinh_K3!$D$12,IF(A74&lt;$F$7,0,IF(A74&lt;$F$8,-GiaDinh_K3!$D$12,IF(A74&lt;$F$9,0,IF(A74&lt;$F$10,GiaDinh_K3!$D$12,0)))))))</f>
        <v>0</v>
      </c>
      <c r="C74" s="43" t="n">
        <f aca="false">IF(A74&lt;$F$4,GiaDinh_K3!$D$12*A74,IF(A74&lt;$F$5,GiaDinh_K3!$D$11,IF(A74&lt;$F$6,GiaDinh_K3!$D$11-GiaDinh_K3!$D$12*(A74-$F$5),IF(A74&lt;$F$7,0,IF(A74&lt;$F$8,-GiaDinh_K3!$D$12*(A74-$F$7),IF(A74&lt;$F$9,-GiaDinh_K3!$D$11,IF(A74&lt;$F$10,-GiaDinh_K3!$D$11+GiaDinh_K3!$D$12*(A74-$F$9),0)))))))</f>
        <v>0</v>
      </c>
      <c r="D74" s="46" t="n">
        <f aca="false">MAX(0,D73+(C73+C74)/2*$B$5)</f>
        <v>0.12</v>
      </c>
      <c r="E74" s="46" t="n">
        <f aca="false">E73+(D73+D74)/2*$B$5</f>
        <v>0.040995</v>
      </c>
      <c r="F74" s="42" t="n">
        <f aca="false">IF(A74&gt;$F$10,0,IF((Params!$C$21+GiaDinh_K3!$D$8*Params!$C$5*C74)&gt;=0,(Params!$C$21+GiaDinh_K3!$D$8*Params!$C$5*C74)*'Tính chọn'!$D$23/Params!$C$16,(Params!$C$21+GiaDinh_K3!$D$8*Params!$C$5*C74)*'Tính chọn'!$D$23*Params!$C$16)+Catalogue!$F$15*C74/'Tính chọn'!$D$23)</f>
        <v>1.87402954808807</v>
      </c>
      <c r="G74" s="42" t="n">
        <f aca="false">IF(A74&gt;$F$10,0,IF(('Tính chọn'!$D$6+GiaDinh_K3!$D$8*Params!$C$6*C74)&gt;=0,('Tính chọn'!$D$6+GiaDinh_K3!$D$8*Params!$C$6*C74)*'Tính chọn'!$D$23/Params!$C$16,('Tính chọn'!$D$6+GiaDinh_K3!$D$8*Params!$C$6*C74)*'Tính chọn'!$D$23*Params!$C$16)+Catalogue!$F$15*C74/'Tính chọn'!$D$23)</f>
        <v>0.266026940903824</v>
      </c>
      <c r="H74" s="45" t="n">
        <f aca="false">F74*D74/'Tính chọn'!$D$23</f>
        <v>279.46728</v>
      </c>
    </row>
    <row r="75" customFormat="false" ht="14.25" hidden="false" customHeight="false" outlineLevel="0" collapsed="false">
      <c r="A75" s="41" t="n">
        <f aca="false">61*$B$5</f>
        <v>0.61</v>
      </c>
      <c r="B75" s="42" t="n">
        <f aca="false">IF(A75&lt;$F$4,GiaDinh_K3!$D$12,IF(A75&lt;$F$5,0,IF(A75&lt;$F$6,-GiaDinh_K3!$D$12,IF(A75&lt;$F$7,0,IF(A75&lt;$F$8,-GiaDinh_K3!$D$12,IF(A75&lt;$F$9,0,IF(A75&lt;$F$10,GiaDinh_K3!$D$12,0)))))))</f>
        <v>0</v>
      </c>
      <c r="C75" s="43" t="n">
        <f aca="false">IF(A75&lt;$F$4,GiaDinh_K3!$D$12*A75,IF(A75&lt;$F$5,GiaDinh_K3!$D$11,IF(A75&lt;$F$6,GiaDinh_K3!$D$11-GiaDinh_K3!$D$12*(A75-$F$5),IF(A75&lt;$F$7,0,IF(A75&lt;$F$8,-GiaDinh_K3!$D$12*(A75-$F$7),IF(A75&lt;$F$9,-GiaDinh_K3!$D$11,IF(A75&lt;$F$10,-GiaDinh_K3!$D$11+GiaDinh_K3!$D$12*(A75-$F$9),0)))))))</f>
        <v>0</v>
      </c>
      <c r="D75" s="46" t="n">
        <f aca="false">MAX(0,D74+(C74+C75)/2*$B$5)</f>
        <v>0.12</v>
      </c>
      <c r="E75" s="46" t="n">
        <f aca="false">E74+(D74+D75)/2*$B$5</f>
        <v>0.042195</v>
      </c>
      <c r="F75" s="42" t="n">
        <f aca="false">IF(A75&gt;$F$10,0,IF((Params!$C$21+GiaDinh_K3!$D$8*Params!$C$5*C75)&gt;=0,(Params!$C$21+GiaDinh_K3!$D$8*Params!$C$5*C75)*'Tính chọn'!$D$23/Params!$C$16,(Params!$C$21+GiaDinh_K3!$D$8*Params!$C$5*C75)*'Tính chọn'!$D$23*Params!$C$16)+Catalogue!$F$15*C75/'Tính chọn'!$D$23)</f>
        <v>1.87402954808807</v>
      </c>
      <c r="G75" s="42" t="n">
        <f aca="false">IF(A75&gt;$F$10,0,IF(('Tính chọn'!$D$6+GiaDinh_K3!$D$8*Params!$C$6*C75)&gt;=0,('Tính chọn'!$D$6+GiaDinh_K3!$D$8*Params!$C$6*C75)*'Tính chọn'!$D$23/Params!$C$16,('Tính chọn'!$D$6+GiaDinh_K3!$D$8*Params!$C$6*C75)*'Tính chọn'!$D$23*Params!$C$16)+Catalogue!$F$15*C75/'Tính chọn'!$D$23)</f>
        <v>0.266026940903824</v>
      </c>
      <c r="H75" s="45" t="n">
        <f aca="false">F75*D75/'Tính chọn'!$D$23</f>
        <v>279.46728</v>
      </c>
    </row>
    <row r="76" customFormat="false" ht="14.25" hidden="false" customHeight="false" outlineLevel="0" collapsed="false">
      <c r="A76" s="41" t="n">
        <f aca="false">62*$B$5</f>
        <v>0.62</v>
      </c>
      <c r="B76" s="42" t="n">
        <f aca="false">IF(A76&lt;$F$4,GiaDinh_K3!$D$12,IF(A76&lt;$F$5,0,IF(A76&lt;$F$6,-GiaDinh_K3!$D$12,IF(A76&lt;$F$7,0,IF(A76&lt;$F$8,-GiaDinh_K3!$D$12,IF(A76&lt;$F$9,0,IF(A76&lt;$F$10,GiaDinh_K3!$D$12,0)))))))</f>
        <v>0</v>
      </c>
      <c r="C76" s="43" t="n">
        <f aca="false">IF(A76&lt;$F$4,GiaDinh_K3!$D$12*A76,IF(A76&lt;$F$5,GiaDinh_K3!$D$11,IF(A76&lt;$F$6,GiaDinh_K3!$D$11-GiaDinh_K3!$D$12*(A76-$F$5),IF(A76&lt;$F$7,0,IF(A76&lt;$F$8,-GiaDinh_K3!$D$12*(A76-$F$7),IF(A76&lt;$F$9,-GiaDinh_K3!$D$11,IF(A76&lt;$F$10,-GiaDinh_K3!$D$11+GiaDinh_K3!$D$12*(A76-$F$9),0)))))))</f>
        <v>0</v>
      </c>
      <c r="D76" s="46" t="n">
        <f aca="false">MAX(0,D75+(C75+C76)/2*$B$5)</f>
        <v>0.12</v>
      </c>
      <c r="E76" s="46" t="n">
        <f aca="false">E75+(D75+D76)/2*$B$5</f>
        <v>0.043395</v>
      </c>
      <c r="F76" s="42" t="n">
        <f aca="false">IF(A76&gt;$F$10,0,IF((Params!$C$21+GiaDinh_K3!$D$8*Params!$C$5*C76)&gt;=0,(Params!$C$21+GiaDinh_K3!$D$8*Params!$C$5*C76)*'Tính chọn'!$D$23/Params!$C$16,(Params!$C$21+GiaDinh_K3!$D$8*Params!$C$5*C76)*'Tính chọn'!$D$23*Params!$C$16)+Catalogue!$F$15*C76/'Tính chọn'!$D$23)</f>
        <v>1.87402954808807</v>
      </c>
      <c r="G76" s="42" t="n">
        <f aca="false">IF(A76&gt;$F$10,0,IF(('Tính chọn'!$D$6+GiaDinh_K3!$D$8*Params!$C$6*C76)&gt;=0,('Tính chọn'!$D$6+GiaDinh_K3!$D$8*Params!$C$6*C76)*'Tính chọn'!$D$23/Params!$C$16,('Tính chọn'!$D$6+GiaDinh_K3!$D$8*Params!$C$6*C76)*'Tính chọn'!$D$23*Params!$C$16)+Catalogue!$F$15*C76/'Tính chọn'!$D$23)</f>
        <v>0.266026940903824</v>
      </c>
      <c r="H76" s="45" t="n">
        <f aca="false">F76*D76/'Tính chọn'!$D$23</f>
        <v>279.46728</v>
      </c>
    </row>
    <row r="77" customFormat="false" ht="14.25" hidden="false" customHeight="false" outlineLevel="0" collapsed="false">
      <c r="A77" s="41" t="n">
        <f aca="false">63*$B$5</f>
        <v>0.63</v>
      </c>
      <c r="B77" s="42" t="n">
        <f aca="false">IF(A77&lt;$F$4,GiaDinh_K3!$D$12,IF(A77&lt;$F$5,0,IF(A77&lt;$F$6,-GiaDinh_K3!$D$12,IF(A77&lt;$F$7,0,IF(A77&lt;$F$8,-GiaDinh_K3!$D$12,IF(A77&lt;$F$9,0,IF(A77&lt;$F$10,GiaDinh_K3!$D$12,0)))))))</f>
        <v>0</v>
      </c>
      <c r="C77" s="43" t="n">
        <f aca="false">IF(A77&lt;$F$4,GiaDinh_K3!$D$12*A77,IF(A77&lt;$F$5,GiaDinh_K3!$D$11,IF(A77&lt;$F$6,GiaDinh_K3!$D$11-GiaDinh_K3!$D$12*(A77-$F$5),IF(A77&lt;$F$7,0,IF(A77&lt;$F$8,-GiaDinh_K3!$D$12*(A77-$F$7),IF(A77&lt;$F$9,-GiaDinh_K3!$D$11,IF(A77&lt;$F$10,-GiaDinh_K3!$D$11+GiaDinh_K3!$D$12*(A77-$F$9),0)))))))</f>
        <v>0</v>
      </c>
      <c r="D77" s="46" t="n">
        <f aca="false">MAX(0,D76+(C76+C77)/2*$B$5)</f>
        <v>0.12</v>
      </c>
      <c r="E77" s="46" t="n">
        <f aca="false">E76+(D76+D77)/2*$B$5</f>
        <v>0.044595</v>
      </c>
      <c r="F77" s="42" t="n">
        <f aca="false">IF(A77&gt;$F$10,0,IF((Params!$C$21+GiaDinh_K3!$D$8*Params!$C$5*C77)&gt;=0,(Params!$C$21+GiaDinh_K3!$D$8*Params!$C$5*C77)*'Tính chọn'!$D$23/Params!$C$16,(Params!$C$21+GiaDinh_K3!$D$8*Params!$C$5*C77)*'Tính chọn'!$D$23*Params!$C$16)+Catalogue!$F$15*C77/'Tính chọn'!$D$23)</f>
        <v>1.87402954808807</v>
      </c>
      <c r="G77" s="42" t="n">
        <f aca="false">IF(A77&gt;$F$10,0,IF(('Tính chọn'!$D$6+GiaDinh_K3!$D$8*Params!$C$6*C77)&gt;=0,('Tính chọn'!$D$6+GiaDinh_K3!$D$8*Params!$C$6*C77)*'Tính chọn'!$D$23/Params!$C$16,('Tính chọn'!$D$6+GiaDinh_K3!$D$8*Params!$C$6*C77)*'Tính chọn'!$D$23*Params!$C$16)+Catalogue!$F$15*C77/'Tính chọn'!$D$23)</f>
        <v>0.266026940903824</v>
      </c>
      <c r="H77" s="45" t="n">
        <f aca="false">F77*D77/'Tính chọn'!$D$23</f>
        <v>279.46728</v>
      </c>
    </row>
    <row r="78" customFormat="false" ht="14.25" hidden="false" customHeight="false" outlineLevel="0" collapsed="false">
      <c r="A78" s="41" t="n">
        <f aca="false">64*$B$5</f>
        <v>0.64</v>
      </c>
      <c r="B78" s="42" t="n">
        <f aca="false">IF(A78&lt;$F$4,GiaDinh_K3!$D$12,IF(A78&lt;$F$5,0,IF(A78&lt;$F$6,-GiaDinh_K3!$D$12,IF(A78&lt;$F$7,0,IF(A78&lt;$F$8,-GiaDinh_K3!$D$12,IF(A78&lt;$F$9,0,IF(A78&lt;$F$10,GiaDinh_K3!$D$12,0)))))))</f>
        <v>0</v>
      </c>
      <c r="C78" s="43" t="n">
        <f aca="false">IF(A78&lt;$F$4,GiaDinh_K3!$D$12*A78,IF(A78&lt;$F$5,GiaDinh_K3!$D$11,IF(A78&lt;$F$6,GiaDinh_K3!$D$11-GiaDinh_K3!$D$12*(A78-$F$5),IF(A78&lt;$F$7,0,IF(A78&lt;$F$8,-GiaDinh_K3!$D$12*(A78-$F$7),IF(A78&lt;$F$9,-GiaDinh_K3!$D$11,IF(A78&lt;$F$10,-GiaDinh_K3!$D$11+GiaDinh_K3!$D$12*(A78-$F$9),0)))))))</f>
        <v>0</v>
      </c>
      <c r="D78" s="46" t="n">
        <f aca="false">MAX(0,D77+(C77+C78)/2*$B$5)</f>
        <v>0.12</v>
      </c>
      <c r="E78" s="46" t="n">
        <f aca="false">E77+(D77+D78)/2*$B$5</f>
        <v>0.045795</v>
      </c>
      <c r="F78" s="42" t="n">
        <f aca="false">IF(A78&gt;$F$10,0,IF((Params!$C$21+GiaDinh_K3!$D$8*Params!$C$5*C78)&gt;=0,(Params!$C$21+GiaDinh_K3!$D$8*Params!$C$5*C78)*'Tính chọn'!$D$23/Params!$C$16,(Params!$C$21+GiaDinh_K3!$D$8*Params!$C$5*C78)*'Tính chọn'!$D$23*Params!$C$16)+Catalogue!$F$15*C78/'Tính chọn'!$D$23)</f>
        <v>1.87402954808807</v>
      </c>
      <c r="G78" s="42" t="n">
        <f aca="false">IF(A78&gt;$F$10,0,IF(('Tính chọn'!$D$6+GiaDinh_K3!$D$8*Params!$C$6*C78)&gt;=0,('Tính chọn'!$D$6+GiaDinh_K3!$D$8*Params!$C$6*C78)*'Tính chọn'!$D$23/Params!$C$16,('Tính chọn'!$D$6+GiaDinh_K3!$D$8*Params!$C$6*C78)*'Tính chọn'!$D$23*Params!$C$16)+Catalogue!$F$15*C78/'Tính chọn'!$D$23)</f>
        <v>0.266026940903824</v>
      </c>
      <c r="H78" s="45" t="n">
        <f aca="false">F78*D78/'Tính chọn'!$D$23</f>
        <v>279.46728</v>
      </c>
    </row>
    <row r="79" customFormat="false" ht="14.25" hidden="false" customHeight="false" outlineLevel="0" collapsed="false">
      <c r="A79" s="41" t="n">
        <f aca="false">65*$B$5</f>
        <v>0.65</v>
      </c>
      <c r="B79" s="42" t="n">
        <f aca="false">IF(A79&lt;$F$4,GiaDinh_K3!$D$12,IF(A79&lt;$F$5,0,IF(A79&lt;$F$6,-GiaDinh_K3!$D$12,IF(A79&lt;$F$7,0,IF(A79&lt;$F$8,-GiaDinh_K3!$D$12,IF(A79&lt;$F$9,0,IF(A79&lt;$F$10,GiaDinh_K3!$D$12,0)))))))</f>
        <v>0</v>
      </c>
      <c r="C79" s="43" t="n">
        <f aca="false">IF(A79&lt;$F$4,GiaDinh_K3!$D$12*A79,IF(A79&lt;$F$5,GiaDinh_K3!$D$11,IF(A79&lt;$F$6,GiaDinh_K3!$D$11-GiaDinh_K3!$D$12*(A79-$F$5),IF(A79&lt;$F$7,0,IF(A79&lt;$F$8,-GiaDinh_K3!$D$12*(A79-$F$7),IF(A79&lt;$F$9,-GiaDinh_K3!$D$11,IF(A79&lt;$F$10,-GiaDinh_K3!$D$11+GiaDinh_K3!$D$12*(A79-$F$9),0)))))))</f>
        <v>0</v>
      </c>
      <c r="D79" s="46" t="n">
        <f aca="false">MAX(0,D78+(C78+C79)/2*$B$5)</f>
        <v>0.12</v>
      </c>
      <c r="E79" s="46" t="n">
        <f aca="false">E78+(D78+D79)/2*$B$5</f>
        <v>0.046995</v>
      </c>
      <c r="F79" s="42" t="n">
        <f aca="false">IF(A79&gt;$F$10,0,IF((Params!$C$21+GiaDinh_K3!$D$8*Params!$C$5*C79)&gt;=0,(Params!$C$21+GiaDinh_K3!$D$8*Params!$C$5*C79)*'Tính chọn'!$D$23/Params!$C$16,(Params!$C$21+GiaDinh_K3!$D$8*Params!$C$5*C79)*'Tính chọn'!$D$23*Params!$C$16)+Catalogue!$F$15*C79/'Tính chọn'!$D$23)</f>
        <v>1.87402954808807</v>
      </c>
      <c r="G79" s="42" t="n">
        <f aca="false">IF(A79&gt;$F$10,0,IF(('Tính chọn'!$D$6+GiaDinh_K3!$D$8*Params!$C$6*C79)&gt;=0,('Tính chọn'!$D$6+GiaDinh_K3!$D$8*Params!$C$6*C79)*'Tính chọn'!$D$23/Params!$C$16,('Tính chọn'!$D$6+GiaDinh_K3!$D$8*Params!$C$6*C79)*'Tính chọn'!$D$23*Params!$C$16)+Catalogue!$F$15*C79/'Tính chọn'!$D$23)</f>
        <v>0.266026940903824</v>
      </c>
      <c r="H79" s="45" t="n">
        <f aca="false">F79*D79/'Tính chọn'!$D$23</f>
        <v>279.46728</v>
      </c>
    </row>
    <row r="80" customFormat="false" ht="14.25" hidden="false" customHeight="false" outlineLevel="0" collapsed="false">
      <c r="A80" s="41" t="n">
        <f aca="false">66*$B$5</f>
        <v>0.66</v>
      </c>
      <c r="B80" s="42" t="n">
        <f aca="false">IF(A80&lt;$F$4,GiaDinh_K3!$D$12,IF(A80&lt;$F$5,0,IF(A80&lt;$F$6,-GiaDinh_K3!$D$12,IF(A80&lt;$F$7,0,IF(A80&lt;$F$8,-GiaDinh_K3!$D$12,IF(A80&lt;$F$9,0,IF(A80&lt;$F$10,GiaDinh_K3!$D$12,0)))))))</f>
        <v>0</v>
      </c>
      <c r="C80" s="43" t="n">
        <f aca="false">IF(A80&lt;$F$4,GiaDinh_K3!$D$12*A80,IF(A80&lt;$F$5,GiaDinh_K3!$D$11,IF(A80&lt;$F$6,GiaDinh_K3!$D$11-GiaDinh_K3!$D$12*(A80-$F$5),IF(A80&lt;$F$7,0,IF(A80&lt;$F$8,-GiaDinh_K3!$D$12*(A80-$F$7),IF(A80&lt;$F$9,-GiaDinh_K3!$D$11,IF(A80&lt;$F$10,-GiaDinh_K3!$D$11+GiaDinh_K3!$D$12*(A80-$F$9),0)))))))</f>
        <v>0</v>
      </c>
      <c r="D80" s="46" t="n">
        <f aca="false">MAX(0,D79+(C79+C80)/2*$B$5)</f>
        <v>0.12</v>
      </c>
      <c r="E80" s="46" t="n">
        <f aca="false">E79+(D79+D80)/2*$B$5</f>
        <v>0.048195</v>
      </c>
      <c r="F80" s="42" t="n">
        <f aca="false">IF(A80&gt;$F$10,0,IF((Params!$C$21+GiaDinh_K3!$D$8*Params!$C$5*C80)&gt;=0,(Params!$C$21+GiaDinh_K3!$D$8*Params!$C$5*C80)*'Tính chọn'!$D$23/Params!$C$16,(Params!$C$21+GiaDinh_K3!$D$8*Params!$C$5*C80)*'Tính chọn'!$D$23*Params!$C$16)+Catalogue!$F$15*C80/'Tính chọn'!$D$23)</f>
        <v>1.87402954808807</v>
      </c>
      <c r="G80" s="42" t="n">
        <f aca="false">IF(A80&gt;$F$10,0,IF(('Tính chọn'!$D$6+GiaDinh_K3!$D$8*Params!$C$6*C80)&gt;=0,('Tính chọn'!$D$6+GiaDinh_K3!$D$8*Params!$C$6*C80)*'Tính chọn'!$D$23/Params!$C$16,('Tính chọn'!$D$6+GiaDinh_K3!$D$8*Params!$C$6*C80)*'Tính chọn'!$D$23*Params!$C$16)+Catalogue!$F$15*C80/'Tính chọn'!$D$23)</f>
        <v>0.266026940903824</v>
      </c>
      <c r="H80" s="45" t="n">
        <f aca="false">F80*D80/'Tính chọn'!$D$23</f>
        <v>279.46728</v>
      </c>
    </row>
    <row r="81" customFormat="false" ht="14.25" hidden="false" customHeight="false" outlineLevel="0" collapsed="false">
      <c r="A81" s="41" t="n">
        <f aca="false">67*$B$5</f>
        <v>0.67</v>
      </c>
      <c r="B81" s="42" t="n">
        <f aca="false">IF(A81&lt;$F$4,GiaDinh_K3!$D$12,IF(A81&lt;$F$5,0,IF(A81&lt;$F$6,-GiaDinh_K3!$D$12,IF(A81&lt;$F$7,0,IF(A81&lt;$F$8,-GiaDinh_K3!$D$12,IF(A81&lt;$F$9,0,IF(A81&lt;$F$10,GiaDinh_K3!$D$12,0)))))))</f>
        <v>0</v>
      </c>
      <c r="C81" s="43" t="n">
        <f aca="false">IF(A81&lt;$F$4,GiaDinh_K3!$D$12*A81,IF(A81&lt;$F$5,GiaDinh_K3!$D$11,IF(A81&lt;$F$6,GiaDinh_K3!$D$11-GiaDinh_K3!$D$12*(A81-$F$5),IF(A81&lt;$F$7,0,IF(A81&lt;$F$8,-GiaDinh_K3!$D$12*(A81-$F$7),IF(A81&lt;$F$9,-GiaDinh_K3!$D$11,IF(A81&lt;$F$10,-GiaDinh_K3!$D$11+GiaDinh_K3!$D$12*(A81-$F$9),0)))))))</f>
        <v>0</v>
      </c>
      <c r="D81" s="46" t="n">
        <f aca="false">MAX(0,D80+(C80+C81)/2*$B$5)</f>
        <v>0.12</v>
      </c>
      <c r="E81" s="46" t="n">
        <f aca="false">E80+(D80+D81)/2*$B$5</f>
        <v>0.049395</v>
      </c>
      <c r="F81" s="42" t="n">
        <f aca="false">IF(A81&gt;$F$10,0,IF((Params!$C$21+GiaDinh_K3!$D$8*Params!$C$5*C81)&gt;=0,(Params!$C$21+GiaDinh_K3!$D$8*Params!$C$5*C81)*'Tính chọn'!$D$23/Params!$C$16,(Params!$C$21+GiaDinh_K3!$D$8*Params!$C$5*C81)*'Tính chọn'!$D$23*Params!$C$16)+Catalogue!$F$15*C81/'Tính chọn'!$D$23)</f>
        <v>1.87402954808807</v>
      </c>
      <c r="G81" s="42" t="n">
        <f aca="false">IF(A81&gt;$F$10,0,IF(('Tính chọn'!$D$6+GiaDinh_K3!$D$8*Params!$C$6*C81)&gt;=0,('Tính chọn'!$D$6+GiaDinh_K3!$D$8*Params!$C$6*C81)*'Tính chọn'!$D$23/Params!$C$16,('Tính chọn'!$D$6+GiaDinh_K3!$D$8*Params!$C$6*C81)*'Tính chọn'!$D$23*Params!$C$16)+Catalogue!$F$15*C81/'Tính chọn'!$D$23)</f>
        <v>0.266026940903824</v>
      </c>
      <c r="H81" s="45" t="n">
        <f aca="false">F81*D81/'Tính chọn'!$D$23</f>
        <v>279.46728</v>
      </c>
    </row>
    <row r="82" customFormat="false" ht="14.25" hidden="false" customHeight="false" outlineLevel="0" collapsed="false">
      <c r="A82" s="41" t="n">
        <f aca="false">68*$B$5</f>
        <v>0.68</v>
      </c>
      <c r="B82" s="42" t="n">
        <f aca="false">IF(A82&lt;$F$4,GiaDinh_K3!$D$12,IF(A82&lt;$F$5,0,IF(A82&lt;$F$6,-GiaDinh_K3!$D$12,IF(A82&lt;$F$7,0,IF(A82&lt;$F$8,-GiaDinh_K3!$D$12,IF(A82&lt;$F$9,0,IF(A82&lt;$F$10,GiaDinh_K3!$D$12,0)))))))</f>
        <v>0</v>
      </c>
      <c r="C82" s="43" t="n">
        <f aca="false">IF(A82&lt;$F$4,GiaDinh_K3!$D$12*A82,IF(A82&lt;$F$5,GiaDinh_K3!$D$11,IF(A82&lt;$F$6,GiaDinh_K3!$D$11-GiaDinh_K3!$D$12*(A82-$F$5),IF(A82&lt;$F$7,0,IF(A82&lt;$F$8,-GiaDinh_K3!$D$12*(A82-$F$7),IF(A82&lt;$F$9,-GiaDinh_K3!$D$11,IF(A82&lt;$F$10,-GiaDinh_K3!$D$11+GiaDinh_K3!$D$12*(A82-$F$9),0)))))))</f>
        <v>0</v>
      </c>
      <c r="D82" s="46" t="n">
        <f aca="false">MAX(0,D81+(C81+C82)/2*$B$5)</f>
        <v>0.12</v>
      </c>
      <c r="E82" s="46" t="n">
        <f aca="false">E81+(D81+D82)/2*$B$5</f>
        <v>0.050595</v>
      </c>
      <c r="F82" s="42" t="n">
        <f aca="false">IF(A82&gt;$F$10,0,IF((Params!$C$21+GiaDinh_K3!$D$8*Params!$C$5*C82)&gt;=0,(Params!$C$21+GiaDinh_K3!$D$8*Params!$C$5*C82)*'Tính chọn'!$D$23/Params!$C$16,(Params!$C$21+GiaDinh_K3!$D$8*Params!$C$5*C82)*'Tính chọn'!$D$23*Params!$C$16)+Catalogue!$F$15*C82/'Tính chọn'!$D$23)</f>
        <v>1.87402954808807</v>
      </c>
      <c r="G82" s="42" t="n">
        <f aca="false">IF(A82&gt;$F$10,0,IF(('Tính chọn'!$D$6+GiaDinh_K3!$D$8*Params!$C$6*C82)&gt;=0,('Tính chọn'!$D$6+GiaDinh_K3!$D$8*Params!$C$6*C82)*'Tính chọn'!$D$23/Params!$C$16,('Tính chọn'!$D$6+GiaDinh_K3!$D$8*Params!$C$6*C82)*'Tính chọn'!$D$23*Params!$C$16)+Catalogue!$F$15*C82/'Tính chọn'!$D$23)</f>
        <v>0.266026940903824</v>
      </c>
      <c r="H82" s="45" t="n">
        <f aca="false">F82*D82/'Tính chọn'!$D$23</f>
        <v>279.46728</v>
      </c>
    </row>
    <row r="83" customFormat="false" ht="14.25" hidden="false" customHeight="false" outlineLevel="0" collapsed="false">
      <c r="A83" s="41" t="n">
        <f aca="false">69*$B$5</f>
        <v>0.69</v>
      </c>
      <c r="B83" s="42" t="n">
        <f aca="false">IF(A83&lt;$F$4,GiaDinh_K3!$D$12,IF(A83&lt;$F$5,0,IF(A83&lt;$F$6,-GiaDinh_K3!$D$12,IF(A83&lt;$F$7,0,IF(A83&lt;$F$8,-GiaDinh_K3!$D$12,IF(A83&lt;$F$9,0,IF(A83&lt;$F$10,GiaDinh_K3!$D$12,0)))))))</f>
        <v>0</v>
      </c>
      <c r="C83" s="43" t="n">
        <f aca="false">IF(A83&lt;$F$4,GiaDinh_K3!$D$12*A83,IF(A83&lt;$F$5,GiaDinh_K3!$D$11,IF(A83&lt;$F$6,GiaDinh_K3!$D$11-GiaDinh_K3!$D$12*(A83-$F$5),IF(A83&lt;$F$7,0,IF(A83&lt;$F$8,-GiaDinh_K3!$D$12*(A83-$F$7),IF(A83&lt;$F$9,-GiaDinh_K3!$D$11,IF(A83&lt;$F$10,-GiaDinh_K3!$D$11+GiaDinh_K3!$D$12*(A83-$F$9),0)))))))</f>
        <v>0</v>
      </c>
      <c r="D83" s="46" t="n">
        <f aca="false">MAX(0,D82+(C82+C83)/2*$B$5)</f>
        <v>0.12</v>
      </c>
      <c r="E83" s="46" t="n">
        <f aca="false">E82+(D82+D83)/2*$B$5</f>
        <v>0.051795</v>
      </c>
      <c r="F83" s="42" t="n">
        <f aca="false">IF(A83&gt;$F$10,0,IF((Params!$C$21+GiaDinh_K3!$D$8*Params!$C$5*C83)&gt;=0,(Params!$C$21+GiaDinh_K3!$D$8*Params!$C$5*C83)*'Tính chọn'!$D$23/Params!$C$16,(Params!$C$21+GiaDinh_K3!$D$8*Params!$C$5*C83)*'Tính chọn'!$D$23*Params!$C$16)+Catalogue!$F$15*C83/'Tính chọn'!$D$23)</f>
        <v>1.87402954808807</v>
      </c>
      <c r="G83" s="42" t="n">
        <f aca="false">IF(A83&gt;$F$10,0,IF(('Tính chọn'!$D$6+GiaDinh_K3!$D$8*Params!$C$6*C83)&gt;=0,('Tính chọn'!$D$6+GiaDinh_K3!$D$8*Params!$C$6*C83)*'Tính chọn'!$D$23/Params!$C$16,('Tính chọn'!$D$6+GiaDinh_K3!$D$8*Params!$C$6*C83)*'Tính chọn'!$D$23*Params!$C$16)+Catalogue!$F$15*C83/'Tính chọn'!$D$23)</f>
        <v>0.266026940903824</v>
      </c>
      <c r="H83" s="45" t="n">
        <f aca="false">F83*D83/'Tính chọn'!$D$23</f>
        <v>279.46728</v>
      </c>
    </row>
    <row r="84" customFormat="false" ht="14.25" hidden="false" customHeight="false" outlineLevel="0" collapsed="false">
      <c r="A84" s="41" t="n">
        <f aca="false">70*$B$5</f>
        <v>0.7</v>
      </c>
      <c r="B84" s="42" t="n">
        <f aca="false">IF(A84&lt;$F$4,GiaDinh_K3!$D$12,IF(A84&lt;$F$5,0,IF(A84&lt;$F$6,-GiaDinh_K3!$D$12,IF(A84&lt;$F$7,0,IF(A84&lt;$F$8,-GiaDinh_K3!$D$12,IF(A84&lt;$F$9,0,IF(A84&lt;$F$10,GiaDinh_K3!$D$12,0)))))))</f>
        <v>0</v>
      </c>
      <c r="C84" s="43" t="n">
        <f aca="false">IF(A84&lt;$F$4,GiaDinh_K3!$D$12*A84,IF(A84&lt;$F$5,GiaDinh_K3!$D$11,IF(A84&lt;$F$6,GiaDinh_K3!$D$11-GiaDinh_K3!$D$12*(A84-$F$5),IF(A84&lt;$F$7,0,IF(A84&lt;$F$8,-GiaDinh_K3!$D$12*(A84-$F$7),IF(A84&lt;$F$9,-GiaDinh_K3!$D$11,IF(A84&lt;$F$10,-GiaDinh_K3!$D$11+GiaDinh_K3!$D$12*(A84-$F$9),0)))))))</f>
        <v>0</v>
      </c>
      <c r="D84" s="46" t="n">
        <f aca="false">MAX(0,D83+(C83+C84)/2*$B$5)</f>
        <v>0.12</v>
      </c>
      <c r="E84" s="46" t="n">
        <f aca="false">E83+(D83+D84)/2*$B$5</f>
        <v>0.052995</v>
      </c>
      <c r="F84" s="42" t="n">
        <f aca="false">IF(A84&gt;$F$10,0,IF((Params!$C$21+GiaDinh_K3!$D$8*Params!$C$5*C84)&gt;=0,(Params!$C$21+GiaDinh_K3!$D$8*Params!$C$5*C84)*'Tính chọn'!$D$23/Params!$C$16,(Params!$C$21+GiaDinh_K3!$D$8*Params!$C$5*C84)*'Tính chọn'!$D$23*Params!$C$16)+Catalogue!$F$15*C84/'Tính chọn'!$D$23)</f>
        <v>1.87402954808807</v>
      </c>
      <c r="G84" s="42" t="n">
        <f aca="false">IF(A84&gt;$F$10,0,IF(('Tính chọn'!$D$6+GiaDinh_K3!$D$8*Params!$C$6*C84)&gt;=0,('Tính chọn'!$D$6+GiaDinh_K3!$D$8*Params!$C$6*C84)*'Tính chọn'!$D$23/Params!$C$16,('Tính chọn'!$D$6+GiaDinh_K3!$D$8*Params!$C$6*C84)*'Tính chọn'!$D$23*Params!$C$16)+Catalogue!$F$15*C84/'Tính chọn'!$D$23)</f>
        <v>0.266026940903824</v>
      </c>
      <c r="H84" s="45" t="n">
        <f aca="false">F84*D84/'Tính chọn'!$D$23</f>
        <v>279.46728</v>
      </c>
    </row>
    <row r="85" customFormat="false" ht="14.25" hidden="false" customHeight="false" outlineLevel="0" collapsed="false">
      <c r="A85" s="41" t="n">
        <f aca="false">71*$B$5</f>
        <v>0.71</v>
      </c>
      <c r="B85" s="42" t="n">
        <f aca="false">IF(A85&lt;$F$4,GiaDinh_K3!$D$12,IF(A85&lt;$F$5,0,IF(A85&lt;$F$6,-GiaDinh_K3!$D$12,IF(A85&lt;$F$7,0,IF(A85&lt;$F$8,-GiaDinh_K3!$D$12,IF(A85&lt;$F$9,0,IF(A85&lt;$F$10,GiaDinh_K3!$D$12,0)))))))</f>
        <v>0</v>
      </c>
      <c r="C85" s="43" t="n">
        <f aca="false">IF(A85&lt;$F$4,GiaDinh_K3!$D$12*A85,IF(A85&lt;$F$5,GiaDinh_K3!$D$11,IF(A85&lt;$F$6,GiaDinh_K3!$D$11-GiaDinh_K3!$D$12*(A85-$F$5),IF(A85&lt;$F$7,0,IF(A85&lt;$F$8,-GiaDinh_K3!$D$12*(A85-$F$7),IF(A85&lt;$F$9,-GiaDinh_K3!$D$11,IF(A85&lt;$F$10,-GiaDinh_K3!$D$11+GiaDinh_K3!$D$12*(A85-$F$9),0)))))))</f>
        <v>0</v>
      </c>
      <c r="D85" s="46" t="n">
        <f aca="false">MAX(0,D84+(C84+C85)/2*$B$5)</f>
        <v>0.12</v>
      </c>
      <c r="E85" s="46" t="n">
        <f aca="false">E84+(D84+D85)/2*$B$5</f>
        <v>0.054195</v>
      </c>
      <c r="F85" s="42" t="n">
        <f aca="false">IF(A85&gt;$F$10,0,IF((Params!$C$21+GiaDinh_K3!$D$8*Params!$C$5*C85)&gt;=0,(Params!$C$21+GiaDinh_K3!$D$8*Params!$C$5*C85)*'Tính chọn'!$D$23/Params!$C$16,(Params!$C$21+GiaDinh_K3!$D$8*Params!$C$5*C85)*'Tính chọn'!$D$23*Params!$C$16)+Catalogue!$F$15*C85/'Tính chọn'!$D$23)</f>
        <v>1.87402954808807</v>
      </c>
      <c r="G85" s="42" t="n">
        <f aca="false">IF(A85&gt;$F$10,0,IF(('Tính chọn'!$D$6+GiaDinh_K3!$D$8*Params!$C$6*C85)&gt;=0,('Tính chọn'!$D$6+GiaDinh_K3!$D$8*Params!$C$6*C85)*'Tính chọn'!$D$23/Params!$C$16,('Tính chọn'!$D$6+GiaDinh_K3!$D$8*Params!$C$6*C85)*'Tính chọn'!$D$23*Params!$C$16)+Catalogue!$F$15*C85/'Tính chọn'!$D$23)</f>
        <v>0.266026940903824</v>
      </c>
      <c r="H85" s="45" t="n">
        <f aca="false">F85*D85/'Tính chọn'!$D$23</f>
        <v>279.46728</v>
      </c>
    </row>
    <row r="86" customFormat="false" ht="14.25" hidden="false" customHeight="false" outlineLevel="0" collapsed="false">
      <c r="A86" s="41" t="n">
        <f aca="false">72*$B$5</f>
        <v>0.72</v>
      </c>
      <c r="B86" s="42" t="n">
        <f aca="false">IF(A86&lt;$F$4,GiaDinh_K3!$D$12,IF(A86&lt;$F$5,0,IF(A86&lt;$F$6,-GiaDinh_K3!$D$12,IF(A86&lt;$F$7,0,IF(A86&lt;$F$8,-GiaDinh_K3!$D$12,IF(A86&lt;$F$9,0,IF(A86&lt;$F$10,GiaDinh_K3!$D$12,0)))))))</f>
        <v>0</v>
      </c>
      <c r="C86" s="43" t="n">
        <f aca="false">IF(A86&lt;$F$4,GiaDinh_K3!$D$12*A86,IF(A86&lt;$F$5,GiaDinh_K3!$D$11,IF(A86&lt;$F$6,GiaDinh_K3!$D$11-GiaDinh_K3!$D$12*(A86-$F$5),IF(A86&lt;$F$7,0,IF(A86&lt;$F$8,-GiaDinh_K3!$D$12*(A86-$F$7),IF(A86&lt;$F$9,-GiaDinh_K3!$D$11,IF(A86&lt;$F$10,-GiaDinh_K3!$D$11+GiaDinh_K3!$D$12*(A86-$F$9),0)))))))</f>
        <v>0</v>
      </c>
      <c r="D86" s="46" t="n">
        <f aca="false">MAX(0,D85+(C85+C86)/2*$B$5)</f>
        <v>0.12</v>
      </c>
      <c r="E86" s="46" t="n">
        <f aca="false">E85+(D85+D86)/2*$B$5</f>
        <v>0.055395</v>
      </c>
      <c r="F86" s="42" t="n">
        <f aca="false">IF(A86&gt;$F$10,0,IF((Params!$C$21+GiaDinh_K3!$D$8*Params!$C$5*C86)&gt;=0,(Params!$C$21+GiaDinh_K3!$D$8*Params!$C$5*C86)*'Tính chọn'!$D$23/Params!$C$16,(Params!$C$21+GiaDinh_K3!$D$8*Params!$C$5*C86)*'Tính chọn'!$D$23*Params!$C$16)+Catalogue!$F$15*C86/'Tính chọn'!$D$23)</f>
        <v>1.87402954808807</v>
      </c>
      <c r="G86" s="42" t="n">
        <f aca="false">IF(A86&gt;$F$10,0,IF(('Tính chọn'!$D$6+GiaDinh_K3!$D$8*Params!$C$6*C86)&gt;=0,('Tính chọn'!$D$6+GiaDinh_K3!$D$8*Params!$C$6*C86)*'Tính chọn'!$D$23/Params!$C$16,('Tính chọn'!$D$6+GiaDinh_K3!$D$8*Params!$C$6*C86)*'Tính chọn'!$D$23*Params!$C$16)+Catalogue!$F$15*C86/'Tính chọn'!$D$23)</f>
        <v>0.266026940903824</v>
      </c>
      <c r="H86" s="45" t="n">
        <f aca="false">F86*D86/'Tính chọn'!$D$23</f>
        <v>279.46728</v>
      </c>
    </row>
    <row r="87" customFormat="false" ht="14.25" hidden="false" customHeight="false" outlineLevel="0" collapsed="false">
      <c r="A87" s="41" t="n">
        <f aca="false">73*$B$5</f>
        <v>0.73</v>
      </c>
      <c r="B87" s="42" t="n">
        <f aca="false">IF(A87&lt;$F$4,GiaDinh_K3!$D$12,IF(A87&lt;$F$5,0,IF(A87&lt;$F$6,-GiaDinh_K3!$D$12,IF(A87&lt;$F$7,0,IF(A87&lt;$F$8,-GiaDinh_K3!$D$12,IF(A87&lt;$F$9,0,IF(A87&lt;$F$10,GiaDinh_K3!$D$12,0)))))))</f>
        <v>0</v>
      </c>
      <c r="C87" s="43" t="n">
        <f aca="false">IF(A87&lt;$F$4,GiaDinh_K3!$D$12*A87,IF(A87&lt;$F$5,GiaDinh_K3!$D$11,IF(A87&lt;$F$6,GiaDinh_K3!$D$11-GiaDinh_K3!$D$12*(A87-$F$5),IF(A87&lt;$F$7,0,IF(A87&lt;$F$8,-GiaDinh_K3!$D$12*(A87-$F$7),IF(A87&lt;$F$9,-GiaDinh_K3!$D$11,IF(A87&lt;$F$10,-GiaDinh_K3!$D$11+GiaDinh_K3!$D$12*(A87-$F$9),0)))))))</f>
        <v>0</v>
      </c>
      <c r="D87" s="46" t="n">
        <f aca="false">MAX(0,D86+(C86+C87)/2*$B$5)</f>
        <v>0.12</v>
      </c>
      <c r="E87" s="46" t="n">
        <f aca="false">E86+(D86+D87)/2*$B$5</f>
        <v>0.056595</v>
      </c>
      <c r="F87" s="42" t="n">
        <f aca="false">IF(A87&gt;$F$10,0,IF((Params!$C$21+GiaDinh_K3!$D$8*Params!$C$5*C87)&gt;=0,(Params!$C$21+GiaDinh_K3!$D$8*Params!$C$5*C87)*'Tính chọn'!$D$23/Params!$C$16,(Params!$C$21+GiaDinh_K3!$D$8*Params!$C$5*C87)*'Tính chọn'!$D$23*Params!$C$16)+Catalogue!$F$15*C87/'Tính chọn'!$D$23)</f>
        <v>1.87402954808807</v>
      </c>
      <c r="G87" s="42" t="n">
        <f aca="false">IF(A87&gt;$F$10,0,IF(('Tính chọn'!$D$6+GiaDinh_K3!$D$8*Params!$C$6*C87)&gt;=0,('Tính chọn'!$D$6+GiaDinh_K3!$D$8*Params!$C$6*C87)*'Tính chọn'!$D$23/Params!$C$16,('Tính chọn'!$D$6+GiaDinh_K3!$D$8*Params!$C$6*C87)*'Tính chọn'!$D$23*Params!$C$16)+Catalogue!$F$15*C87/'Tính chọn'!$D$23)</f>
        <v>0.266026940903824</v>
      </c>
      <c r="H87" s="45" t="n">
        <f aca="false">F87*D87/'Tính chọn'!$D$23</f>
        <v>279.46728</v>
      </c>
    </row>
    <row r="88" customFormat="false" ht="14.25" hidden="false" customHeight="false" outlineLevel="0" collapsed="false">
      <c r="A88" s="41" t="n">
        <f aca="false">74*$B$5</f>
        <v>0.74</v>
      </c>
      <c r="B88" s="42" t="n">
        <f aca="false">IF(A88&lt;$F$4,GiaDinh_K3!$D$12,IF(A88&lt;$F$5,0,IF(A88&lt;$F$6,-GiaDinh_K3!$D$12,IF(A88&lt;$F$7,0,IF(A88&lt;$F$8,-GiaDinh_K3!$D$12,IF(A88&lt;$F$9,0,IF(A88&lt;$F$10,GiaDinh_K3!$D$12,0)))))))</f>
        <v>0</v>
      </c>
      <c r="C88" s="43" t="n">
        <f aca="false">IF(A88&lt;$F$4,GiaDinh_K3!$D$12*A88,IF(A88&lt;$F$5,GiaDinh_K3!$D$11,IF(A88&lt;$F$6,GiaDinh_K3!$D$11-GiaDinh_K3!$D$12*(A88-$F$5),IF(A88&lt;$F$7,0,IF(A88&lt;$F$8,-GiaDinh_K3!$D$12*(A88-$F$7),IF(A88&lt;$F$9,-GiaDinh_K3!$D$11,IF(A88&lt;$F$10,-GiaDinh_K3!$D$11+GiaDinh_K3!$D$12*(A88-$F$9),0)))))))</f>
        <v>0</v>
      </c>
      <c r="D88" s="46" t="n">
        <f aca="false">MAX(0,D87+(C87+C88)/2*$B$5)</f>
        <v>0.12</v>
      </c>
      <c r="E88" s="46" t="n">
        <f aca="false">E87+(D87+D88)/2*$B$5</f>
        <v>0.057795</v>
      </c>
      <c r="F88" s="42" t="n">
        <f aca="false">IF(A88&gt;$F$10,0,IF((Params!$C$21+GiaDinh_K3!$D$8*Params!$C$5*C88)&gt;=0,(Params!$C$21+GiaDinh_K3!$D$8*Params!$C$5*C88)*'Tính chọn'!$D$23/Params!$C$16,(Params!$C$21+GiaDinh_K3!$D$8*Params!$C$5*C88)*'Tính chọn'!$D$23*Params!$C$16)+Catalogue!$F$15*C88/'Tính chọn'!$D$23)</f>
        <v>1.87402954808807</v>
      </c>
      <c r="G88" s="42" t="n">
        <f aca="false">IF(A88&gt;$F$10,0,IF(('Tính chọn'!$D$6+GiaDinh_K3!$D$8*Params!$C$6*C88)&gt;=0,('Tính chọn'!$D$6+GiaDinh_K3!$D$8*Params!$C$6*C88)*'Tính chọn'!$D$23/Params!$C$16,('Tính chọn'!$D$6+GiaDinh_K3!$D$8*Params!$C$6*C88)*'Tính chọn'!$D$23*Params!$C$16)+Catalogue!$F$15*C88/'Tính chọn'!$D$23)</f>
        <v>0.266026940903824</v>
      </c>
      <c r="H88" s="45" t="n">
        <f aca="false">F88*D88/'Tính chọn'!$D$23</f>
        <v>279.46728</v>
      </c>
    </row>
    <row r="89" customFormat="false" ht="14.25" hidden="false" customHeight="false" outlineLevel="0" collapsed="false">
      <c r="A89" s="41" t="n">
        <f aca="false">75*$B$5</f>
        <v>0.75</v>
      </c>
      <c r="B89" s="42" t="n">
        <f aca="false">IF(A89&lt;$F$4,GiaDinh_K3!$D$12,IF(A89&lt;$F$5,0,IF(A89&lt;$F$6,-GiaDinh_K3!$D$12,IF(A89&lt;$F$7,0,IF(A89&lt;$F$8,-GiaDinh_K3!$D$12,IF(A89&lt;$F$9,0,IF(A89&lt;$F$10,GiaDinh_K3!$D$12,0)))))))</f>
        <v>0</v>
      </c>
      <c r="C89" s="43" t="n">
        <f aca="false">IF(A89&lt;$F$4,GiaDinh_K3!$D$12*A89,IF(A89&lt;$F$5,GiaDinh_K3!$D$11,IF(A89&lt;$F$6,GiaDinh_K3!$D$11-GiaDinh_K3!$D$12*(A89-$F$5),IF(A89&lt;$F$7,0,IF(A89&lt;$F$8,-GiaDinh_K3!$D$12*(A89-$F$7),IF(A89&lt;$F$9,-GiaDinh_K3!$D$11,IF(A89&lt;$F$10,-GiaDinh_K3!$D$11+GiaDinh_K3!$D$12*(A89-$F$9),0)))))))</f>
        <v>0</v>
      </c>
      <c r="D89" s="46" t="n">
        <f aca="false">MAX(0,D88+(C88+C89)/2*$B$5)</f>
        <v>0.12</v>
      </c>
      <c r="E89" s="46" t="n">
        <f aca="false">E88+(D88+D89)/2*$B$5</f>
        <v>0.058995</v>
      </c>
      <c r="F89" s="42" t="n">
        <f aca="false">IF(A89&gt;$F$10,0,IF((Params!$C$21+GiaDinh_K3!$D$8*Params!$C$5*C89)&gt;=0,(Params!$C$21+GiaDinh_K3!$D$8*Params!$C$5*C89)*'Tính chọn'!$D$23/Params!$C$16,(Params!$C$21+GiaDinh_K3!$D$8*Params!$C$5*C89)*'Tính chọn'!$D$23*Params!$C$16)+Catalogue!$F$15*C89/'Tính chọn'!$D$23)</f>
        <v>1.87402954808807</v>
      </c>
      <c r="G89" s="42" t="n">
        <f aca="false">IF(A89&gt;$F$10,0,IF(('Tính chọn'!$D$6+GiaDinh_K3!$D$8*Params!$C$6*C89)&gt;=0,('Tính chọn'!$D$6+GiaDinh_K3!$D$8*Params!$C$6*C89)*'Tính chọn'!$D$23/Params!$C$16,('Tính chọn'!$D$6+GiaDinh_K3!$D$8*Params!$C$6*C89)*'Tính chọn'!$D$23*Params!$C$16)+Catalogue!$F$15*C89/'Tính chọn'!$D$23)</f>
        <v>0.266026940903824</v>
      </c>
      <c r="H89" s="45" t="n">
        <f aca="false">F89*D89/'Tính chọn'!$D$23</f>
        <v>279.46728</v>
      </c>
    </row>
    <row r="90" customFormat="false" ht="14.25" hidden="false" customHeight="false" outlineLevel="0" collapsed="false">
      <c r="A90" s="41" t="n">
        <f aca="false">76*$B$5</f>
        <v>0.76</v>
      </c>
      <c r="B90" s="42" t="n">
        <f aca="false">IF(A90&lt;$F$4,GiaDinh_K3!$D$12,IF(A90&lt;$F$5,0,IF(A90&lt;$F$6,-GiaDinh_K3!$D$12,IF(A90&lt;$F$7,0,IF(A90&lt;$F$8,-GiaDinh_K3!$D$12,IF(A90&lt;$F$9,0,IF(A90&lt;$F$10,GiaDinh_K3!$D$12,0)))))))</f>
        <v>0</v>
      </c>
      <c r="C90" s="43" t="n">
        <f aca="false">IF(A90&lt;$F$4,GiaDinh_K3!$D$12*A90,IF(A90&lt;$F$5,GiaDinh_K3!$D$11,IF(A90&lt;$F$6,GiaDinh_K3!$D$11-GiaDinh_K3!$D$12*(A90-$F$5),IF(A90&lt;$F$7,0,IF(A90&lt;$F$8,-GiaDinh_K3!$D$12*(A90-$F$7),IF(A90&lt;$F$9,-GiaDinh_K3!$D$11,IF(A90&lt;$F$10,-GiaDinh_K3!$D$11+GiaDinh_K3!$D$12*(A90-$F$9),0)))))))</f>
        <v>0</v>
      </c>
      <c r="D90" s="46" t="n">
        <f aca="false">MAX(0,D89+(C89+C90)/2*$B$5)</f>
        <v>0.12</v>
      </c>
      <c r="E90" s="46" t="n">
        <f aca="false">E89+(D89+D90)/2*$B$5</f>
        <v>0.060195</v>
      </c>
      <c r="F90" s="42" t="n">
        <f aca="false">IF(A90&gt;$F$10,0,IF((Params!$C$21+GiaDinh_K3!$D$8*Params!$C$5*C90)&gt;=0,(Params!$C$21+GiaDinh_K3!$D$8*Params!$C$5*C90)*'Tính chọn'!$D$23/Params!$C$16,(Params!$C$21+GiaDinh_K3!$D$8*Params!$C$5*C90)*'Tính chọn'!$D$23*Params!$C$16)+Catalogue!$F$15*C90/'Tính chọn'!$D$23)</f>
        <v>1.87402954808807</v>
      </c>
      <c r="G90" s="42" t="n">
        <f aca="false">IF(A90&gt;$F$10,0,IF(('Tính chọn'!$D$6+GiaDinh_K3!$D$8*Params!$C$6*C90)&gt;=0,('Tính chọn'!$D$6+GiaDinh_K3!$D$8*Params!$C$6*C90)*'Tính chọn'!$D$23/Params!$C$16,('Tính chọn'!$D$6+GiaDinh_K3!$D$8*Params!$C$6*C90)*'Tính chọn'!$D$23*Params!$C$16)+Catalogue!$F$15*C90/'Tính chọn'!$D$23)</f>
        <v>0.266026940903824</v>
      </c>
      <c r="H90" s="45" t="n">
        <f aca="false">F90*D90/'Tính chọn'!$D$23</f>
        <v>279.46728</v>
      </c>
    </row>
    <row r="91" customFormat="false" ht="14.25" hidden="false" customHeight="false" outlineLevel="0" collapsed="false">
      <c r="A91" s="41" t="n">
        <f aca="false">77*$B$5</f>
        <v>0.77</v>
      </c>
      <c r="B91" s="42" t="n">
        <f aca="false">IF(A91&lt;$F$4,GiaDinh_K3!$D$12,IF(A91&lt;$F$5,0,IF(A91&lt;$F$6,-GiaDinh_K3!$D$12,IF(A91&lt;$F$7,0,IF(A91&lt;$F$8,-GiaDinh_K3!$D$12,IF(A91&lt;$F$9,0,IF(A91&lt;$F$10,GiaDinh_K3!$D$12,0)))))))</f>
        <v>0</v>
      </c>
      <c r="C91" s="43" t="n">
        <f aca="false">IF(A91&lt;$F$4,GiaDinh_K3!$D$12*A91,IF(A91&lt;$F$5,GiaDinh_K3!$D$11,IF(A91&lt;$F$6,GiaDinh_K3!$D$11-GiaDinh_K3!$D$12*(A91-$F$5),IF(A91&lt;$F$7,0,IF(A91&lt;$F$8,-GiaDinh_K3!$D$12*(A91-$F$7),IF(A91&lt;$F$9,-GiaDinh_K3!$D$11,IF(A91&lt;$F$10,-GiaDinh_K3!$D$11+GiaDinh_K3!$D$12*(A91-$F$9),0)))))))</f>
        <v>0</v>
      </c>
      <c r="D91" s="46" t="n">
        <f aca="false">MAX(0,D90+(C90+C91)/2*$B$5)</f>
        <v>0.12</v>
      </c>
      <c r="E91" s="46" t="n">
        <f aca="false">E90+(D90+D91)/2*$B$5</f>
        <v>0.061395</v>
      </c>
      <c r="F91" s="42" t="n">
        <f aca="false">IF(A91&gt;$F$10,0,IF((Params!$C$21+GiaDinh_K3!$D$8*Params!$C$5*C91)&gt;=0,(Params!$C$21+GiaDinh_K3!$D$8*Params!$C$5*C91)*'Tính chọn'!$D$23/Params!$C$16,(Params!$C$21+GiaDinh_K3!$D$8*Params!$C$5*C91)*'Tính chọn'!$D$23*Params!$C$16)+Catalogue!$F$15*C91/'Tính chọn'!$D$23)</f>
        <v>1.87402954808807</v>
      </c>
      <c r="G91" s="42" t="n">
        <f aca="false">IF(A91&gt;$F$10,0,IF(('Tính chọn'!$D$6+GiaDinh_K3!$D$8*Params!$C$6*C91)&gt;=0,('Tính chọn'!$D$6+GiaDinh_K3!$D$8*Params!$C$6*C91)*'Tính chọn'!$D$23/Params!$C$16,('Tính chọn'!$D$6+GiaDinh_K3!$D$8*Params!$C$6*C91)*'Tính chọn'!$D$23*Params!$C$16)+Catalogue!$F$15*C91/'Tính chọn'!$D$23)</f>
        <v>0.266026940903824</v>
      </c>
      <c r="H91" s="45" t="n">
        <f aca="false">F91*D91/'Tính chọn'!$D$23</f>
        <v>279.46728</v>
      </c>
    </row>
    <row r="92" customFormat="false" ht="14.25" hidden="false" customHeight="false" outlineLevel="0" collapsed="false">
      <c r="A92" s="41" t="n">
        <f aca="false">78*$B$5</f>
        <v>0.78</v>
      </c>
      <c r="B92" s="42" t="n">
        <f aca="false">IF(A92&lt;$F$4,GiaDinh_K3!$D$12,IF(A92&lt;$F$5,0,IF(A92&lt;$F$6,-GiaDinh_K3!$D$12,IF(A92&lt;$F$7,0,IF(A92&lt;$F$8,-GiaDinh_K3!$D$12,IF(A92&lt;$F$9,0,IF(A92&lt;$F$10,GiaDinh_K3!$D$12,0)))))))</f>
        <v>0</v>
      </c>
      <c r="C92" s="43" t="n">
        <f aca="false">IF(A92&lt;$F$4,GiaDinh_K3!$D$12*A92,IF(A92&lt;$F$5,GiaDinh_K3!$D$11,IF(A92&lt;$F$6,GiaDinh_K3!$D$11-GiaDinh_K3!$D$12*(A92-$F$5),IF(A92&lt;$F$7,0,IF(A92&lt;$F$8,-GiaDinh_K3!$D$12*(A92-$F$7),IF(A92&lt;$F$9,-GiaDinh_K3!$D$11,IF(A92&lt;$F$10,-GiaDinh_K3!$D$11+GiaDinh_K3!$D$12*(A92-$F$9),0)))))))</f>
        <v>0</v>
      </c>
      <c r="D92" s="46" t="n">
        <f aca="false">MAX(0,D91+(C91+C92)/2*$B$5)</f>
        <v>0.12</v>
      </c>
      <c r="E92" s="46" t="n">
        <f aca="false">E91+(D91+D92)/2*$B$5</f>
        <v>0.062595</v>
      </c>
      <c r="F92" s="42" t="n">
        <f aca="false">IF(A92&gt;$F$10,0,IF((Params!$C$21+GiaDinh_K3!$D$8*Params!$C$5*C92)&gt;=0,(Params!$C$21+GiaDinh_K3!$D$8*Params!$C$5*C92)*'Tính chọn'!$D$23/Params!$C$16,(Params!$C$21+GiaDinh_K3!$D$8*Params!$C$5*C92)*'Tính chọn'!$D$23*Params!$C$16)+Catalogue!$F$15*C92/'Tính chọn'!$D$23)</f>
        <v>1.87402954808807</v>
      </c>
      <c r="G92" s="42" t="n">
        <f aca="false">IF(A92&gt;$F$10,0,IF(('Tính chọn'!$D$6+GiaDinh_K3!$D$8*Params!$C$6*C92)&gt;=0,('Tính chọn'!$D$6+GiaDinh_K3!$D$8*Params!$C$6*C92)*'Tính chọn'!$D$23/Params!$C$16,('Tính chọn'!$D$6+GiaDinh_K3!$D$8*Params!$C$6*C92)*'Tính chọn'!$D$23*Params!$C$16)+Catalogue!$F$15*C92/'Tính chọn'!$D$23)</f>
        <v>0.266026940903824</v>
      </c>
      <c r="H92" s="45" t="n">
        <f aca="false">F92*D92/'Tính chọn'!$D$23</f>
        <v>279.46728</v>
      </c>
    </row>
    <row r="93" customFormat="false" ht="14.25" hidden="false" customHeight="false" outlineLevel="0" collapsed="false">
      <c r="A93" s="41" t="n">
        <f aca="false">79*$B$5</f>
        <v>0.79</v>
      </c>
      <c r="B93" s="42" t="n">
        <f aca="false">IF(A93&lt;$F$4,GiaDinh_K3!$D$12,IF(A93&lt;$F$5,0,IF(A93&lt;$F$6,-GiaDinh_K3!$D$12,IF(A93&lt;$F$7,0,IF(A93&lt;$F$8,-GiaDinh_K3!$D$12,IF(A93&lt;$F$9,0,IF(A93&lt;$F$10,GiaDinh_K3!$D$12,0)))))))</f>
        <v>0</v>
      </c>
      <c r="C93" s="43" t="n">
        <f aca="false">IF(A93&lt;$F$4,GiaDinh_K3!$D$12*A93,IF(A93&lt;$F$5,GiaDinh_K3!$D$11,IF(A93&lt;$F$6,GiaDinh_K3!$D$11-GiaDinh_K3!$D$12*(A93-$F$5),IF(A93&lt;$F$7,0,IF(A93&lt;$F$8,-GiaDinh_K3!$D$12*(A93-$F$7),IF(A93&lt;$F$9,-GiaDinh_K3!$D$11,IF(A93&lt;$F$10,-GiaDinh_K3!$D$11+GiaDinh_K3!$D$12*(A93-$F$9),0)))))))</f>
        <v>0</v>
      </c>
      <c r="D93" s="46" t="n">
        <f aca="false">MAX(0,D92+(C92+C93)/2*$B$5)</f>
        <v>0.12</v>
      </c>
      <c r="E93" s="46" t="n">
        <f aca="false">E92+(D92+D93)/2*$B$5</f>
        <v>0.063795</v>
      </c>
      <c r="F93" s="42" t="n">
        <f aca="false">IF(A93&gt;$F$10,0,IF((Params!$C$21+GiaDinh_K3!$D$8*Params!$C$5*C93)&gt;=0,(Params!$C$21+GiaDinh_K3!$D$8*Params!$C$5*C93)*'Tính chọn'!$D$23/Params!$C$16,(Params!$C$21+GiaDinh_K3!$D$8*Params!$C$5*C93)*'Tính chọn'!$D$23*Params!$C$16)+Catalogue!$F$15*C93/'Tính chọn'!$D$23)</f>
        <v>1.87402954808807</v>
      </c>
      <c r="G93" s="42" t="n">
        <f aca="false">IF(A93&gt;$F$10,0,IF(('Tính chọn'!$D$6+GiaDinh_K3!$D$8*Params!$C$6*C93)&gt;=0,('Tính chọn'!$D$6+GiaDinh_K3!$D$8*Params!$C$6*C93)*'Tính chọn'!$D$23/Params!$C$16,('Tính chọn'!$D$6+GiaDinh_K3!$D$8*Params!$C$6*C93)*'Tính chọn'!$D$23*Params!$C$16)+Catalogue!$F$15*C93/'Tính chọn'!$D$23)</f>
        <v>0.266026940903824</v>
      </c>
      <c r="H93" s="45" t="n">
        <f aca="false">F93*D93/'Tính chọn'!$D$23</f>
        <v>279.46728</v>
      </c>
    </row>
    <row r="94" customFormat="false" ht="14.25" hidden="false" customHeight="false" outlineLevel="0" collapsed="false">
      <c r="A94" s="41" t="n">
        <f aca="false">80*$B$5</f>
        <v>0.8</v>
      </c>
      <c r="B94" s="42" t="n">
        <f aca="false">IF(A94&lt;$F$4,GiaDinh_K3!$D$12,IF(A94&lt;$F$5,0,IF(A94&lt;$F$6,-GiaDinh_K3!$D$12,IF(A94&lt;$F$7,0,IF(A94&lt;$F$8,-GiaDinh_K3!$D$12,IF(A94&lt;$F$9,0,IF(A94&lt;$F$10,GiaDinh_K3!$D$12,0)))))))</f>
        <v>0</v>
      </c>
      <c r="C94" s="43" t="n">
        <f aca="false">IF(A94&lt;$F$4,GiaDinh_K3!$D$12*A94,IF(A94&lt;$F$5,GiaDinh_K3!$D$11,IF(A94&lt;$F$6,GiaDinh_K3!$D$11-GiaDinh_K3!$D$12*(A94-$F$5),IF(A94&lt;$F$7,0,IF(A94&lt;$F$8,-GiaDinh_K3!$D$12*(A94-$F$7),IF(A94&lt;$F$9,-GiaDinh_K3!$D$11,IF(A94&lt;$F$10,-GiaDinh_K3!$D$11+GiaDinh_K3!$D$12*(A94-$F$9),0)))))))</f>
        <v>0</v>
      </c>
      <c r="D94" s="46" t="n">
        <f aca="false">MAX(0,D93+(C93+C94)/2*$B$5)</f>
        <v>0.12</v>
      </c>
      <c r="E94" s="46" t="n">
        <f aca="false">E93+(D93+D94)/2*$B$5</f>
        <v>0.064995</v>
      </c>
      <c r="F94" s="42" t="n">
        <f aca="false">IF(A94&gt;$F$10,0,IF((Params!$C$21+GiaDinh_K3!$D$8*Params!$C$5*C94)&gt;=0,(Params!$C$21+GiaDinh_K3!$D$8*Params!$C$5*C94)*'Tính chọn'!$D$23/Params!$C$16,(Params!$C$21+GiaDinh_K3!$D$8*Params!$C$5*C94)*'Tính chọn'!$D$23*Params!$C$16)+Catalogue!$F$15*C94/'Tính chọn'!$D$23)</f>
        <v>1.87402954808807</v>
      </c>
      <c r="G94" s="42" t="n">
        <f aca="false">IF(A94&gt;$F$10,0,IF(('Tính chọn'!$D$6+GiaDinh_K3!$D$8*Params!$C$6*C94)&gt;=0,('Tính chọn'!$D$6+GiaDinh_K3!$D$8*Params!$C$6*C94)*'Tính chọn'!$D$23/Params!$C$16,('Tính chọn'!$D$6+GiaDinh_K3!$D$8*Params!$C$6*C94)*'Tính chọn'!$D$23*Params!$C$16)+Catalogue!$F$15*C94/'Tính chọn'!$D$23)</f>
        <v>0.266026940903824</v>
      </c>
      <c r="H94" s="45" t="n">
        <f aca="false">F94*D94/'Tính chọn'!$D$23</f>
        <v>279.46728</v>
      </c>
    </row>
    <row r="95" customFormat="false" ht="14.25" hidden="false" customHeight="false" outlineLevel="0" collapsed="false">
      <c r="A95" s="41" t="n">
        <f aca="false">81*$B$5</f>
        <v>0.81</v>
      </c>
      <c r="B95" s="42" t="n">
        <f aca="false">IF(A95&lt;$F$4,GiaDinh_K3!$D$12,IF(A95&lt;$F$5,0,IF(A95&lt;$F$6,-GiaDinh_K3!$D$12,IF(A95&lt;$F$7,0,IF(A95&lt;$F$8,-GiaDinh_K3!$D$12,IF(A95&lt;$F$9,0,IF(A95&lt;$F$10,GiaDinh_K3!$D$12,0)))))))</f>
        <v>0</v>
      </c>
      <c r="C95" s="43" t="n">
        <f aca="false">IF(A95&lt;$F$4,GiaDinh_K3!$D$12*A95,IF(A95&lt;$F$5,GiaDinh_K3!$D$11,IF(A95&lt;$F$6,GiaDinh_K3!$D$11-GiaDinh_K3!$D$12*(A95-$F$5),IF(A95&lt;$F$7,0,IF(A95&lt;$F$8,-GiaDinh_K3!$D$12*(A95-$F$7),IF(A95&lt;$F$9,-GiaDinh_K3!$D$11,IF(A95&lt;$F$10,-GiaDinh_K3!$D$11+GiaDinh_K3!$D$12*(A95-$F$9),0)))))))</f>
        <v>0</v>
      </c>
      <c r="D95" s="46" t="n">
        <f aca="false">MAX(0,D94+(C94+C95)/2*$B$5)</f>
        <v>0.12</v>
      </c>
      <c r="E95" s="46" t="n">
        <f aca="false">E94+(D94+D95)/2*$B$5</f>
        <v>0.066195</v>
      </c>
      <c r="F95" s="42" t="n">
        <f aca="false">IF(A95&gt;$F$10,0,IF((Params!$C$21+GiaDinh_K3!$D$8*Params!$C$5*C95)&gt;=0,(Params!$C$21+GiaDinh_K3!$D$8*Params!$C$5*C95)*'Tính chọn'!$D$23/Params!$C$16,(Params!$C$21+GiaDinh_K3!$D$8*Params!$C$5*C95)*'Tính chọn'!$D$23*Params!$C$16)+Catalogue!$F$15*C95/'Tính chọn'!$D$23)</f>
        <v>1.87402954808807</v>
      </c>
      <c r="G95" s="42" t="n">
        <f aca="false">IF(A95&gt;$F$10,0,IF(('Tính chọn'!$D$6+GiaDinh_K3!$D$8*Params!$C$6*C95)&gt;=0,('Tính chọn'!$D$6+GiaDinh_K3!$D$8*Params!$C$6*C95)*'Tính chọn'!$D$23/Params!$C$16,('Tính chọn'!$D$6+GiaDinh_K3!$D$8*Params!$C$6*C95)*'Tính chọn'!$D$23*Params!$C$16)+Catalogue!$F$15*C95/'Tính chọn'!$D$23)</f>
        <v>0.266026940903824</v>
      </c>
      <c r="H95" s="45" t="n">
        <f aca="false">F95*D95/'Tính chọn'!$D$23</f>
        <v>279.46728</v>
      </c>
    </row>
    <row r="96" customFormat="false" ht="14.25" hidden="false" customHeight="false" outlineLevel="0" collapsed="false">
      <c r="A96" s="41" t="n">
        <f aca="false">82*$B$5</f>
        <v>0.82</v>
      </c>
      <c r="B96" s="42" t="n">
        <f aca="false">IF(A96&lt;$F$4,GiaDinh_K3!$D$12,IF(A96&lt;$F$5,0,IF(A96&lt;$F$6,-GiaDinh_K3!$D$12,IF(A96&lt;$F$7,0,IF(A96&lt;$F$8,-GiaDinh_K3!$D$12,IF(A96&lt;$F$9,0,IF(A96&lt;$F$10,GiaDinh_K3!$D$12,0)))))))</f>
        <v>0</v>
      </c>
      <c r="C96" s="43" t="n">
        <f aca="false">IF(A96&lt;$F$4,GiaDinh_K3!$D$12*A96,IF(A96&lt;$F$5,GiaDinh_K3!$D$11,IF(A96&lt;$F$6,GiaDinh_K3!$D$11-GiaDinh_K3!$D$12*(A96-$F$5),IF(A96&lt;$F$7,0,IF(A96&lt;$F$8,-GiaDinh_K3!$D$12*(A96-$F$7),IF(A96&lt;$F$9,-GiaDinh_K3!$D$11,IF(A96&lt;$F$10,-GiaDinh_K3!$D$11+GiaDinh_K3!$D$12*(A96-$F$9),0)))))))</f>
        <v>0</v>
      </c>
      <c r="D96" s="46" t="n">
        <f aca="false">MAX(0,D95+(C95+C96)/2*$B$5)</f>
        <v>0.12</v>
      </c>
      <c r="E96" s="46" t="n">
        <f aca="false">E95+(D95+D96)/2*$B$5</f>
        <v>0.067395</v>
      </c>
      <c r="F96" s="42" t="n">
        <f aca="false">IF(A96&gt;$F$10,0,IF((Params!$C$21+GiaDinh_K3!$D$8*Params!$C$5*C96)&gt;=0,(Params!$C$21+GiaDinh_K3!$D$8*Params!$C$5*C96)*'Tính chọn'!$D$23/Params!$C$16,(Params!$C$21+GiaDinh_K3!$D$8*Params!$C$5*C96)*'Tính chọn'!$D$23*Params!$C$16)+Catalogue!$F$15*C96/'Tính chọn'!$D$23)</f>
        <v>1.87402954808807</v>
      </c>
      <c r="G96" s="42" t="n">
        <f aca="false">IF(A96&gt;$F$10,0,IF(('Tính chọn'!$D$6+GiaDinh_K3!$D$8*Params!$C$6*C96)&gt;=0,('Tính chọn'!$D$6+GiaDinh_K3!$D$8*Params!$C$6*C96)*'Tính chọn'!$D$23/Params!$C$16,('Tính chọn'!$D$6+GiaDinh_K3!$D$8*Params!$C$6*C96)*'Tính chọn'!$D$23*Params!$C$16)+Catalogue!$F$15*C96/'Tính chọn'!$D$23)</f>
        <v>0.266026940903824</v>
      </c>
      <c r="H96" s="45" t="n">
        <f aca="false">F96*D96/'Tính chọn'!$D$23</f>
        <v>279.46728</v>
      </c>
    </row>
    <row r="97" customFormat="false" ht="14.25" hidden="false" customHeight="false" outlineLevel="0" collapsed="false">
      <c r="A97" s="41" t="n">
        <f aca="false">83*$B$5</f>
        <v>0.83</v>
      </c>
      <c r="B97" s="42" t="n">
        <f aca="false">IF(A97&lt;$F$4,GiaDinh_K3!$D$12,IF(A97&lt;$F$5,0,IF(A97&lt;$F$6,-GiaDinh_K3!$D$12,IF(A97&lt;$F$7,0,IF(A97&lt;$F$8,-GiaDinh_K3!$D$12,IF(A97&lt;$F$9,0,IF(A97&lt;$F$10,GiaDinh_K3!$D$12,0)))))))</f>
        <v>0</v>
      </c>
      <c r="C97" s="43" t="n">
        <f aca="false">IF(A97&lt;$F$4,GiaDinh_K3!$D$12*A97,IF(A97&lt;$F$5,GiaDinh_K3!$D$11,IF(A97&lt;$F$6,GiaDinh_K3!$D$11-GiaDinh_K3!$D$12*(A97-$F$5),IF(A97&lt;$F$7,0,IF(A97&lt;$F$8,-GiaDinh_K3!$D$12*(A97-$F$7),IF(A97&lt;$F$9,-GiaDinh_K3!$D$11,IF(A97&lt;$F$10,-GiaDinh_K3!$D$11+GiaDinh_K3!$D$12*(A97-$F$9),0)))))))</f>
        <v>0</v>
      </c>
      <c r="D97" s="46" t="n">
        <f aca="false">MAX(0,D96+(C96+C97)/2*$B$5)</f>
        <v>0.12</v>
      </c>
      <c r="E97" s="46" t="n">
        <f aca="false">E96+(D96+D97)/2*$B$5</f>
        <v>0.068595</v>
      </c>
      <c r="F97" s="42" t="n">
        <f aca="false">IF(A97&gt;$F$10,0,IF((Params!$C$21+GiaDinh_K3!$D$8*Params!$C$5*C97)&gt;=0,(Params!$C$21+GiaDinh_K3!$D$8*Params!$C$5*C97)*'Tính chọn'!$D$23/Params!$C$16,(Params!$C$21+GiaDinh_K3!$D$8*Params!$C$5*C97)*'Tính chọn'!$D$23*Params!$C$16)+Catalogue!$F$15*C97/'Tính chọn'!$D$23)</f>
        <v>1.87402954808807</v>
      </c>
      <c r="G97" s="42" t="n">
        <f aca="false">IF(A97&gt;$F$10,0,IF(('Tính chọn'!$D$6+GiaDinh_K3!$D$8*Params!$C$6*C97)&gt;=0,('Tính chọn'!$D$6+GiaDinh_K3!$D$8*Params!$C$6*C97)*'Tính chọn'!$D$23/Params!$C$16,('Tính chọn'!$D$6+GiaDinh_K3!$D$8*Params!$C$6*C97)*'Tính chọn'!$D$23*Params!$C$16)+Catalogue!$F$15*C97/'Tính chọn'!$D$23)</f>
        <v>0.266026940903824</v>
      </c>
      <c r="H97" s="45" t="n">
        <f aca="false">F97*D97/'Tính chọn'!$D$23</f>
        <v>279.46728</v>
      </c>
    </row>
    <row r="98" customFormat="false" ht="14.25" hidden="false" customHeight="false" outlineLevel="0" collapsed="false">
      <c r="A98" s="41" t="n">
        <f aca="false">84*$B$5</f>
        <v>0.84</v>
      </c>
      <c r="B98" s="42" t="n">
        <f aca="false">IF(A98&lt;$F$4,GiaDinh_K3!$D$12,IF(A98&lt;$F$5,0,IF(A98&lt;$F$6,-GiaDinh_K3!$D$12,IF(A98&lt;$F$7,0,IF(A98&lt;$F$8,-GiaDinh_K3!$D$12,IF(A98&lt;$F$9,0,IF(A98&lt;$F$10,GiaDinh_K3!$D$12,0)))))))</f>
        <v>0</v>
      </c>
      <c r="C98" s="43" t="n">
        <f aca="false">IF(A98&lt;$F$4,GiaDinh_K3!$D$12*A98,IF(A98&lt;$F$5,GiaDinh_K3!$D$11,IF(A98&lt;$F$6,GiaDinh_K3!$D$11-GiaDinh_K3!$D$12*(A98-$F$5),IF(A98&lt;$F$7,0,IF(A98&lt;$F$8,-GiaDinh_K3!$D$12*(A98-$F$7),IF(A98&lt;$F$9,-GiaDinh_K3!$D$11,IF(A98&lt;$F$10,-GiaDinh_K3!$D$11+GiaDinh_K3!$D$12*(A98-$F$9),0)))))))</f>
        <v>0</v>
      </c>
      <c r="D98" s="46" t="n">
        <f aca="false">MAX(0,D97+(C97+C98)/2*$B$5)</f>
        <v>0.12</v>
      </c>
      <c r="E98" s="46" t="n">
        <f aca="false">E97+(D97+D98)/2*$B$5</f>
        <v>0.0697949999999999</v>
      </c>
      <c r="F98" s="42" t="n">
        <f aca="false">IF(A98&gt;$F$10,0,IF((Params!$C$21+GiaDinh_K3!$D$8*Params!$C$5*C98)&gt;=0,(Params!$C$21+GiaDinh_K3!$D$8*Params!$C$5*C98)*'Tính chọn'!$D$23/Params!$C$16,(Params!$C$21+GiaDinh_K3!$D$8*Params!$C$5*C98)*'Tính chọn'!$D$23*Params!$C$16)+Catalogue!$F$15*C98/'Tính chọn'!$D$23)</f>
        <v>1.87402954808807</v>
      </c>
      <c r="G98" s="42" t="n">
        <f aca="false">IF(A98&gt;$F$10,0,IF(('Tính chọn'!$D$6+GiaDinh_K3!$D$8*Params!$C$6*C98)&gt;=0,('Tính chọn'!$D$6+GiaDinh_K3!$D$8*Params!$C$6*C98)*'Tính chọn'!$D$23/Params!$C$16,('Tính chọn'!$D$6+GiaDinh_K3!$D$8*Params!$C$6*C98)*'Tính chọn'!$D$23*Params!$C$16)+Catalogue!$F$15*C98/'Tính chọn'!$D$23)</f>
        <v>0.266026940903824</v>
      </c>
      <c r="H98" s="45" t="n">
        <f aca="false">F98*D98/'Tính chọn'!$D$23</f>
        <v>279.46728</v>
      </c>
    </row>
    <row r="99" customFormat="false" ht="14.25" hidden="false" customHeight="false" outlineLevel="0" collapsed="false">
      <c r="A99" s="41" t="n">
        <f aca="false">85*$B$5</f>
        <v>0.85</v>
      </c>
      <c r="B99" s="42" t="n">
        <f aca="false">IF(A99&lt;$F$4,GiaDinh_K3!$D$12,IF(A99&lt;$F$5,0,IF(A99&lt;$F$6,-GiaDinh_K3!$D$12,IF(A99&lt;$F$7,0,IF(A99&lt;$F$8,-GiaDinh_K3!$D$12,IF(A99&lt;$F$9,0,IF(A99&lt;$F$10,GiaDinh_K3!$D$12,0)))))))</f>
        <v>0</v>
      </c>
      <c r="C99" s="43" t="n">
        <f aca="false">IF(A99&lt;$F$4,GiaDinh_K3!$D$12*A99,IF(A99&lt;$F$5,GiaDinh_K3!$D$11,IF(A99&lt;$F$6,GiaDinh_K3!$D$11-GiaDinh_K3!$D$12*(A99-$F$5),IF(A99&lt;$F$7,0,IF(A99&lt;$F$8,-GiaDinh_K3!$D$12*(A99-$F$7),IF(A99&lt;$F$9,-GiaDinh_K3!$D$11,IF(A99&lt;$F$10,-GiaDinh_K3!$D$11+GiaDinh_K3!$D$12*(A99-$F$9),0)))))))</f>
        <v>0</v>
      </c>
      <c r="D99" s="46" t="n">
        <f aca="false">MAX(0,D98+(C98+C99)/2*$B$5)</f>
        <v>0.12</v>
      </c>
      <c r="E99" s="46" t="n">
        <f aca="false">E98+(D98+D99)/2*$B$5</f>
        <v>0.0709949999999999</v>
      </c>
      <c r="F99" s="42" t="n">
        <f aca="false">IF(A99&gt;$F$10,0,IF((Params!$C$21+GiaDinh_K3!$D$8*Params!$C$5*C99)&gt;=0,(Params!$C$21+GiaDinh_K3!$D$8*Params!$C$5*C99)*'Tính chọn'!$D$23/Params!$C$16,(Params!$C$21+GiaDinh_K3!$D$8*Params!$C$5*C99)*'Tính chọn'!$D$23*Params!$C$16)+Catalogue!$F$15*C99/'Tính chọn'!$D$23)</f>
        <v>1.87402954808807</v>
      </c>
      <c r="G99" s="42" t="n">
        <f aca="false">IF(A99&gt;$F$10,0,IF(('Tính chọn'!$D$6+GiaDinh_K3!$D$8*Params!$C$6*C99)&gt;=0,('Tính chọn'!$D$6+GiaDinh_K3!$D$8*Params!$C$6*C99)*'Tính chọn'!$D$23/Params!$C$16,('Tính chọn'!$D$6+GiaDinh_K3!$D$8*Params!$C$6*C99)*'Tính chọn'!$D$23*Params!$C$16)+Catalogue!$F$15*C99/'Tính chọn'!$D$23)</f>
        <v>0.266026940903824</v>
      </c>
      <c r="H99" s="45" t="n">
        <f aca="false">F99*D99/'Tính chọn'!$D$23</f>
        <v>279.46728</v>
      </c>
    </row>
    <row r="100" customFormat="false" ht="14.25" hidden="false" customHeight="false" outlineLevel="0" collapsed="false">
      <c r="A100" s="41" t="n">
        <f aca="false">86*$B$5</f>
        <v>0.86</v>
      </c>
      <c r="B100" s="42" t="n">
        <f aca="false">IF(A100&lt;$F$4,GiaDinh_K3!$D$12,IF(A100&lt;$F$5,0,IF(A100&lt;$F$6,-GiaDinh_K3!$D$12,IF(A100&lt;$F$7,0,IF(A100&lt;$F$8,-GiaDinh_K3!$D$12,IF(A100&lt;$F$9,0,IF(A100&lt;$F$10,GiaDinh_K3!$D$12,0)))))))</f>
        <v>0</v>
      </c>
      <c r="C100" s="43" t="n">
        <f aca="false">IF(A100&lt;$F$4,GiaDinh_K3!$D$12*A100,IF(A100&lt;$F$5,GiaDinh_K3!$D$11,IF(A100&lt;$F$6,GiaDinh_K3!$D$11-GiaDinh_K3!$D$12*(A100-$F$5),IF(A100&lt;$F$7,0,IF(A100&lt;$F$8,-GiaDinh_K3!$D$12*(A100-$F$7),IF(A100&lt;$F$9,-GiaDinh_K3!$D$11,IF(A100&lt;$F$10,-GiaDinh_K3!$D$11+GiaDinh_K3!$D$12*(A100-$F$9),0)))))))</f>
        <v>0</v>
      </c>
      <c r="D100" s="46" t="n">
        <f aca="false">MAX(0,D99+(C99+C100)/2*$B$5)</f>
        <v>0.12</v>
      </c>
      <c r="E100" s="46" t="n">
        <f aca="false">E99+(D99+D100)/2*$B$5</f>
        <v>0.0721949999999999</v>
      </c>
      <c r="F100" s="42" t="n">
        <f aca="false">IF(A100&gt;$F$10,0,IF((Params!$C$21+GiaDinh_K3!$D$8*Params!$C$5*C100)&gt;=0,(Params!$C$21+GiaDinh_K3!$D$8*Params!$C$5*C100)*'Tính chọn'!$D$23/Params!$C$16,(Params!$C$21+GiaDinh_K3!$D$8*Params!$C$5*C100)*'Tính chọn'!$D$23*Params!$C$16)+Catalogue!$F$15*C100/'Tính chọn'!$D$23)</f>
        <v>1.87402954808807</v>
      </c>
      <c r="G100" s="42" t="n">
        <f aca="false">IF(A100&gt;$F$10,0,IF(('Tính chọn'!$D$6+GiaDinh_K3!$D$8*Params!$C$6*C100)&gt;=0,('Tính chọn'!$D$6+GiaDinh_K3!$D$8*Params!$C$6*C100)*'Tính chọn'!$D$23/Params!$C$16,('Tính chọn'!$D$6+GiaDinh_K3!$D$8*Params!$C$6*C100)*'Tính chọn'!$D$23*Params!$C$16)+Catalogue!$F$15*C100/'Tính chọn'!$D$23)</f>
        <v>0.266026940903824</v>
      </c>
      <c r="H100" s="45" t="n">
        <f aca="false">F100*D100/'Tính chọn'!$D$23</f>
        <v>279.46728</v>
      </c>
    </row>
    <row r="101" customFormat="false" ht="14.25" hidden="false" customHeight="false" outlineLevel="0" collapsed="false">
      <c r="A101" s="41" t="n">
        <f aca="false">87*$B$5</f>
        <v>0.87</v>
      </c>
      <c r="B101" s="42" t="n">
        <f aca="false">IF(A101&lt;$F$4,GiaDinh_K3!$D$12,IF(A101&lt;$F$5,0,IF(A101&lt;$F$6,-GiaDinh_K3!$D$12,IF(A101&lt;$F$7,0,IF(A101&lt;$F$8,-GiaDinh_K3!$D$12,IF(A101&lt;$F$9,0,IF(A101&lt;$F$10,GiaDinh_K3!$D$12,0)))))))</f>
        <v>0</v>
      </c>
      <c r="C101" s="43" t="n">
        <f aca="false">IF(A101&lt;$F$4,GiaDinh_K3!$D$12*A101,IF(A101&lt;$F$5,GiaDinh_K3!$D$11,IF(A101&lt;$F$6,GiaDinh_K3!$D$11-GiaDinh_K3!$D$12*(A101-$F$5),IF(A101&lt;$F$7,0,IF(A101&lt;$F$8,-GiaDinh_K3!$D$12*(A101-$F$7),IF(A101&lt;$F$9,-GiaDinh_K3!$D$11,IF(A101&lt;$F$10,-GiaDinh_K3!$D$11+GiaDinh_K3!$D$12*(A101-$F$9),0)))))))</f>
        <v>0</v>
      </c>
      <c r="D101" s="46" t="n">
        <f aca="false">MAX(0,D100+(C100+C101)/2*$B$5)</f>
        <v>0.12</v>
      </c>
      <c r="E101" s="46" t="n">
        <f aca="false">E100+(D100+D101)/2*$B$5</f>
        <v>0.0733949999999999</v>
      </c>
      <c r="F101" s="42" t="n">
        <f aca="false">IF(A101&gt;$F$10,0,IF((Params!$C$21+GiaDinh_K3!$D$8*Params!$C$5*C101)&gt;=0,(Params!$C$21+GiaDinh_K3!$D$8*Params!$C$5*C101)*'Tính chọn'!$D$23/Params!$C$16,(Params!$C$21+GiaDinh_K3!$D$8*Params!$C$5*C101)*'Tính chọn'!$D$23*Params!$C$16)+Catalogue!$F$15*C101/'Tính chọn'!$D$23)</f>
        <v>1.87402954808807</v>
      </c>
      <c r="G101" s="42" t="n">
        <f aca="false">IF(A101&gt;$F$10,0,IF(('Tính chọn'!$D$6+GiaDinh_K3!$D$8*Params!$C$6*C101)&gt;=0,('Tính chọn'!$D$6+GiaDinh_K3!$D$8*Params!$C$6*C101)*'Tính chọn'!$D$23/Params!$C$16,('Tính chọn'!$D$6+GiaDinh_K3!$D$8*Params!$C$6*C101)*'Tính chọn'!$D$23*Params!$C$16)+Catalogue!$F$15*C101/'Tính chọn'!$D$23)</f>
        <v>0.266026940903824</v>
      </c>
      <c r="H101" s="45" t="n">
        <f aca="false">F101*D101/'Tính chọn'!$D$23</f>
        <v>279.46728</v>
      </c>
    </row>
    <row r="102" customFormat="false" ht="14.25" hidden="false" customHeight="false" outlineLevel="0" collapsed="false">
      <c r="A102" s="41" t="n">
        <f aca="false">88*$B$5</f>
        <v>0.88</v>
      </c>
      <c r="B102" s="42" t="n">
        <f aca="false">IF(A102&lt;$F$4,GiaDinh_K3!$D$12,IF(A102&lt;$F$5,0,IF(A102&lt;$F$6,-GiaDinh_K3!$D$12,IF(A102&lt;$F$7,0,IF(A102&lt;$F$8,-GiaDinh_K3!$D$12,IF(A102&lt;$F$9,0,IF(A102&lt;$F$10,GiaDinh_K3!$D$12,0)))))))</f>
        <v>0</v>
      </c>
      <c r="C102" s="43" t="n">
        <f aca="false">IF(A102&lt;$F$4,GiaDinh_K3!$D$12*A102,IF(A102&lt;$F$5,GiaDinh_K3!$D$11,IF(A102&lt;$F$6,GiaDinh_K3!$D$11-GiaDinh_K3!$D$12*(A102-$F$5),IF(A102&lt;$F$7,0,IF(A102&lt;$F$8,-GiaDinh_K3!$D$12*(A102-$F$7),IF(A102&lt;$F$9,-GiaDinh_K3!$D$11,IF(A102&lt;$F$10,-GiaDinh_K3!$D$11+GiaDinh_K3!$D$12*(A102-$F$9),0)))))))</f>
        <v>0</v>
      </c>
      <c r="D102" s="46" t="n">
        <f aca="false">MAX(0,D101+(C101+C102)/2*$B$5)</f>
        <v>0.12</v>
      </c>
      <c r="E102" s="46" t="n">
        <f aca="false">E101+(D101+D102)/2*$B$5</f>
        <v>0.0745949999999999</v>
      </c>
      <c r="F102" s="42" t="n">
        <f aca="false">IF(A102&gt;$F$10,0,IF((Params!$C$21+GiaDinh_K3!$D$8*Params!$C$5*C102)&gt;=0,(Params!$C$21+GiaDinh_K3!$D$8*Params!$C$5*C102)*'Tính chọn'!$D$23/Params!$C$16,(Params!$C$21+GiaDinh_K3!$D$8*Params!$C$5*C102)*'Tính chọn'!$D$23*Params!$C$16)+Catalogue!$F$15*C102/'Tính chọn'!$D$23)</f>
        <v>1.87402954808807</v>
      </c>
      <c r="G102" s="42" t="n">
        <f aca="false">IF(A102&gt;$F$10,0,IF(('Tính chọn'!$D$6+GiaDinh_K3!$D$8*Params!$C$6*C102)&gt;=0,('Tính chọn'!$D$6+GiaDinh_K3!$D$8*Params!$C$6*C102)*'Tính chọn'!$D$23/Params!$C$16,('Tính chọn'!$D$6+GiaDinh_K3!$D$8*Params!$C$6*C102)*'Tính chọn'!$D$23*Params!$C$16)+Catalogue!$F$15*C102/'Tính chọn'!$D$23)</f>
        <v>0.266026940903824</v>
      </c>
      <c r="H102" s="45" t="n">
        <f aca="false">F102*D102/'Tính chọn'!$D$23</f>
        <v>279.46728</v>
      </c>
    </row>
    <row r="103" customFormat="false" ht="14.25" hidden="false" customHeight="false" outlineLevel="0" collapsed="false">
      <c r="A103" s="41" t="n">
        <f aca="false">89*$B$5</f>
        <v>0.89</v>
      </c>
      <c r="B103" s="42" t="n">
        <f aca="false">IF(A103&lt;$F$4,GiaDinh_K3!$D$12,IF(A103&lt;$F$5,0,IF(A103&lt;$F$6,-GiaDinh_K3!$D$12,IF(A103&lt;$F$7,0,IF(A103&lt;$F$8,-GiaDinh_K3!$D$12,IF(A103&lt;$F$9,0,IF(A103&lt;$F$10,GiaDinh_K3!$D$12,0)))))))</f>
        <v>0</v>
      </c>
      <c r="C103" s="43" t="n">
        <f aca="false">IF(A103&lt;$F$4,GiaDinh_K3!$D$12*A103,IF(A103&lt;$F$5,GiaDinh_K3!$D$11,IF(A103&lt;$F$6,GiaDinh_K3!$D$11-GiaDinh_K3!$D$12*(A103-$F$5),IF(A103&lt;$F$7,0,IF(A103&lt;$F$8,-GiaDinh_K3!$D$12*(A103-$F$7),IF(A103&lt;$F$9,-GiaDinh_K3!$D$11,IF(A103&lt;$F$10,-GiaDinh_K3!$D$11+GiaDinh_K3!$D$12*(A103-$F$9),0)))))))</f>
        <v>0</v>
      </c>
      <c r="D103" s="46" t="n">
        <f aca="false">MAX(0,D102+(C102+C103)/2*$B$5)</f>
        <v>0.12</v>
      </c>
      <c r="E103" s="46" t="n">
        <f aca="false">E102+(D102+D103)/2*$B$5</f>
        <v>0.0757949999999999</v>
      </c>
      <c r="F103" s="42" t="n">
        <f aca="false">IF(A103&gt;$F$10,0,IF((Params!$C$21+GiaDinh_K3!$D$8*Params!$C$5*C103)&gt;=0,(Params!$C$21+GiaDinh_K3!$D$8*Params!$C$5*C103)*'Tính chọn'!$D$23/Params!$C$16,(Params!$C$21+GiaDinh_K3!$D$8*Params!$C$5*C103)*'Tính chọn'!$D$23*Params!$C$16)+Catalogue!$F$15*C103/'Tính chọn'!$D$23)</f>
        <v>1.87402954808807</v>
      </c>
      <c r="G103" s="42" t="n">
        <f aca="false">IF(A103&gt;$F$10,0,IF(('Tính chọn'!$D$6+GiaDinh_K3!$D$8*Params!$C$6*C103)&gt;=0,('Tính chọn'!$D$6+GiaDinh_K3!$D$8*Params!$C$6*C103)*'Tính chọn'!$D$23/Params!$C$16,('Tính chọn'!$D$6+GiaDinh_K3!$D$8*Params!$C$6*C103)*'Tính chọn'!$D$23*Params!$C$16)+Catalogue!$F$15*C103/'Tính chọn'!$D$23)</f>
        <v>0.266026940903824</v>
      </c>
      <c r="H103" s="45" t="n">
        <f aca="false">F103*D103/'Tính chọn'!$D$23</f>
        <v>279.46728</v>
      </c>
    </row>
    <row r="104" customFormat="false" ht="14.25" hidden="false" customHeight="false" outlineLevel="0" collapsed="false">
      <c r="A104" s="41" t="n">
        <f aca="false">90*$B$5</f>
        <v>0.9</v>
      </c>
      <c r="B104" s="42" t="n">
        <f aca="false">IF(A104&lt;$F$4,GiaDinh_K3!$D$12,IF(A104&lt;$F$5,0,IF(A104&lt;$F$6,-GiaDinh_K3!$D$12,IF(A104&lt;$F$7,0,IF(A104&lt;$F$8,-GiaDinh_K3!$D$12,IF(A104&lt;$F$9,0,IF(A104&lt;$F$10,GiaDinh_K3!$D$12,0)))))))</f>
        <v>0</v>
      </c>
      <c r="C104" s="43" t="n">
        <f aca="false">IF(A104&lt;$F$4,GiaDinh_K3!$D$12*A104,IF(A104&lt;$F$5,GiaDinh_K3!$D$11,IF(A104&lt;$F$6,GiaDinh_K3!$D$11-GiaDinh_K3!$D$12*(A104-$F$5),IF(A104&lt;$F$7,0,IF(A104&lt;$F$8,-GiaDinh_K3!$D$12*(A104-$F$7),IF(A104&lt;$F$9,-GiaDinh_K3!$D$11,IF(A104&lt;$F$10,-GiaDinh_K3!$D$11+GiaDinh_K3!$D$12*(A104-$F$9),0)))))))</f>
        <v>0</v>
      </c>
      <c r="D104" s="46" t="n">
        <f aca="false">MAX(0,D103+(C103+C104)/2*$B$5)</f>
        <v>0.12</v>
      </c>
      <c r="E104" s="46" t="n">
        <f aca="false">E103+(D103+D104)/2*$B$5</f>
        <v>0.0769949999999999</v>
      </c>
      <c r="F104" s="42" t="n">
        <f aca="false">IF(A104&gt;$F$10,0,IF((Params!$C$21+GiaDinh_K3!$D$8*Params!$C$5*C104)&gt;=0,(Params!$C$21+GiaDinh_K3!$D$8*Params!$C$5*C104)*'Tính chọn'!$D$23/Params!$C$16,(Params!$C$21+GiaDinh_K3!$D$8*Params!$C$5*C104)*'Tính chọn'!$D$23*Params!$C$16)+Catalogue!$F$15*C104/'Tính chọn'!$D$23)</f>
        <v>1.87402954808807</v>
      </c>
      <c r="G104" s="42" t="n">
        <f aca="false">IF(A104&gt;$F$10,0,IF(('Tính chọn'!$D$6+GiaDinh_K3!$D$8*Params!$C$6*C104)&gt;=0,('Tính chọn'!$D$6+GiaDinh_K3!$D$8*Params!$C$6*C104)*'Tính chọn'!$D$23/Params!$C$16,('Tính chọn'!$D$6+GiaDinh_K3!$D$8*Params!$C$6*C104)*'Tính chọn'!$D$23*Params!$C$16)+Catalogue!$F$15*C104/'Tính chọn'!$D$23)</f>
        <v>0.266026940903824</v>
      </c>
      <c r="H104" s="45" t="n">
        <f aca="false">F104*D104/'Tính chọn'!$D$23</f>
        <v>279.46728</v>
      </c>
    </row>
    <row r="105" customFormat="false" ht="14.25" hidden="false" customHeight="false" outlineLevel="0" collapsed="false">
      <c r="A105" s="41" t="n">
        <f aca="false">91*$B$5</f>
        <v>0.91</v>
      </c>
      <c r="B105" s="42" t="n">
        <f aca="false">IF(A105&lt;$F$4,GiaDinh_K3!$D$12,IF(A105&lt;$F$5,0,IF(A105&lt;$F$6,-GiaDinh_K3!$D$12,IF(A105&lt;$F$7,0,IF(A105&lt;$F$8,-GiaDinh_K3!$D$12,IF(A105&lt;$F$9,0,IF(A105&lt;$F$10,GiaDinh_K3!$D$12,0)))))))</f>
        <v>0</v>
      </c>
      <c r="C105" s="43" t="n">
        <f aca="false">IF(A105&lt;$F$4,GiaDinh_K3!$D$12*A105,IF(A105&lt;$F$5,GiaDinh_K3!$D$11,IF(A105&lt;$F$6,GiaDinh_K3!$D$11-GiaDinh_K3!$D$12*(A105-$F$5),IF(A105&lt;$F$7,0,IF(A105&lt;$F$8,-GiaDinh_K3!$D$12*(A105-$F$7),IF(A105&lt;$F$9,-GiaDinh_K3!$D$11,IF(A105&lt;$F$10,-GiaDinh_K3!$D$11+GiaDinh_K3!$D$12*(A105-$F$9),0)))))))</f>
        <v>0</v>
      </c>
      <c r="D105" s="46" t="n">
        <f aca="false">MAX(0,D104+(C104+C105)/2*$B$5)</f>
        <v>0.12</v>
      </c>
      <c r="E105" s="46" t="n">
        <f aca="false">E104+(D104+D105)/2*$B$5</f>
        <v>0.0781949999999999</v>
      </c>
      <c r="F105" s="42" t="n">
        <f aca="false">IF(A105&gt;$F$10,0,IF((Params!$C$21+GiaDinh_K3!$D$8*Params!$C$5*C105)&gt;=0,(Params!$C$21+GiaDinh_K3!$D$8*Params!$C$5*C105)*'Tính chọn'!$D$23/Params!$C$16,(Params!$C$21+GiaDinh_K3!$D$8*Params!$C$5*C105)*'Tính chọn'!$D$23*Params!$C$16)+Catalogue!$F$15*C105/'Tính chọn'!$D$23)</f>
        <v>1.87402954808807</v>
      </c>
      <c r="G105" s="42" t="n">
        <f aca="false">IF(A105&gt;$F$10,0,IF(('Tính chọn'!$D$6+GiaDinh_K3!$D$8*Params!$C$6*C105)&gt;=0,('Tính chọn'!$D$6+GiaDinh_K3!$D$8*Params!$C$6*C105)*'Tính chọn'!$D$23/Params!$C$16,('Tính chọn'!$D$6+GiaDinh_K3!$D$8*Params!$C$6*C105)*'Tính chọn'!$D$23*Params!$C$16)+Catalogue!$F$15*C105/'Tính chọn'!$D$23)</f>
        <v>0.266026940903824</v>
      </c>
      <c r="H105" s="45" t="n">
        <f aca="false">F105*D105/'Tính chọn'!$D$23</f>
        <v>279.46728</v>
      </c>
    </row>
    <row r="106" customFormat="false" ht="14.25" hidden="false" customHeight="false" outlineLevel="0" collapsed="false">
      <c r="A106" s="41" t="n">
        <f aca="false">92*$B$5</f>
        <v>0.92</v>
      </c>
      <c r="B106" s="42" t="n">
        <f aca="false">IF(A106&lt;$F$4,GiaDinh_K3!$D$12,IF(A106&lt;$F$5,0,IF(A106&lt;$F$6,-GiaDinh_K3!$D$12,IF(A106&lt;$F$7,0,IF(A106&lt;$F$8,-GiaDinh_K3!$D$12,IF(A106&lt;$F$9,0,IF(A106&lt;$F$10,GiaDinh_K3!$D$12,0)))))))</f>
        <v>0</v>
      </c>
      <c r="C106" s="43" t="n">
        <f aca="false">IF(A106&lt;$F$4,GiaDinh_K3!$D$12*A106,IF(A106&lt;$F$5,GiaDinh_K3!$D$11,IF(A106&lt;$F$6,GiaDinh_K3!$D$11-GiaDinh_K3!$D$12*(A106-$F$5),IF(A106&lt;$F$7,0,IF(A106&lt;$F$8,-GiaDinh_K3!$D$12*(A106-$F$7),IF(A106&lt;$F$9,-GiaDinh_K3!$D$11,IF(A106&lt;$F$10,-GiaDinh_K3!$D$11+GiaDinh_K3!$D$12*(A106-$F$9),0)))))))</f>
        <v>0</v>
      </c>
      <c r="D106" s="46" t="n">
        <f aca="false">MAX(0,D105+(C105+C106)/2*$B$5)</f>
        <v>0.12</v>
      </c>
      <c r="E106" s="46" t="n">
        <f aca="false">E105+(D105+D106)/2*$B$5</f>
        <v>0.0793949999999999</v>
      </c>
      <c r="F106" s="42" t="n">
        <f aca="false">IF(A106&gt;$F$10,0,IF((Params!$C$21+GiaDinh_K3!$D$8*Params!$C$5*C106)&gt;=0,(Params!$C$21+GiaDinh_K3!$D$8*Params!$C$5*C106)*'Tính chọn'!$D$23/Params!$C$16,(Params!$C$21+GiaDinh_K3!$D$8*Params!$C$5*C106)*'Tính chọn'!$D$23*Params!$C$16)+Catalogue!$F$15*C106/'Tính chọn'!$D$23)</f>
        <v>1.87402954808807</v>
      </c>
      <c r="G106" s="42" t="n">
        <f aca="false">IF(A106&gt;$F$10,0,IF(('Tính chọn'!$D$6+GiaDinh_K3!$D$8*Params!$C$6*C106)&gt;=0,('Tính chọn'!$D$6+GiaDinh_K3!$D$8*Params!$C$6*C106)*'Tính chọn'!$D$23/Params!$C$16,('Tính chọn'!$D$6+GiaDinh_K3!$D$8*Params!$C$6*C106)*'Tính chọn'!$D$23*Params!$C$16)+Catalogue!$F$15*C106/'Tính chọn'!$D$23)</f>
        <v>0.266026940903824</v>
      </c>
      <c r="H106" s="45" t="n">
        <f aca="false">F106*D106/'Tính chọn'!$D$23</f>
        <v>279.46728</v>
      </c>
    </row>
    <row r="107" customFormat="false" ht="14.25" hidden="false" customHeight="false" outlineLevel="0" collapsed="false">
      <c r="A107" s="41" t="n">
        <f aca="false">93*$B$5</f>
        <v>0.93</v>
      </c>
      <c r="B107" s="42" t="n">
        <f aca="false">IF(A107&lt;$F$4,GiaDinh_K3!$D$12,IF(A107&lt;$F$5,0,IF(A107&lt;$F$6,-GiaDinh_K3!$D$12,IF(A107&lt;$F$7,0,IF(A107&lt;$F$8,-GiaDinh_K3!$D$12,IF(A107&lt;$F$9,0,IF(A107&lt;$F$10,GiaDinh_K3!$D$12,0)))))))</f>
        <v>0</v>
      </c>
      <c r="C107" s="43" t="n">
        <f aca="false">IF(A107&lt;$F$4,GiaDinh_K3!$D$12*A107,IF(A107&lt;$F$5,GiaDinh_K3!$D$11,IF(A107&lt;$F$6,GiaDinh_K3!$D$11-GiaDinh_K3!$D$12*(A107-$F$5),IF(A107&lt;$F$7,0,IF(A107&lt;$F$8,-GiaDinh_K3!$D$12*(A107-$F$7),IF(A107&lt;$F$9,-GiaDinh_K3!$D$11,IF(A107&lt;$F$10,-GiaDinh_K3!$D$11+GiaDinh_K3!$D$12*(A107-$F$9),0)))))))</f>
        <v>0</v>
      </c>
      <c r="D107" s="46" t="n">
        <f aca="false">MAX(0,D106+(C106+C107)/2*$B$5)</f>
        <v>0.12</v>
      </c>
      <c r="E107" s="46" t="n">
        <f aca="false">E106+(D106+D107)/2*$B$5</f>
        <v>0.0805949999999999</v>
      </c>
      <c r="F107" s="42" t="n">
        <f aca="false">IF(A107&gt;$F$10,0,IF((Params!$C$21+GiaDinh_K3!$D$8*Params!$C$5*C107)&gt;=0,(Params!$C$21+GiaDinh_K3!$D$8*Params!$C$5*C107)*'Tính chọn'!$D$23/Params!$C$16,(Params!$C$21+GiaDinh_K3!$D$8*Params!$C$5*C107)*'Tính chọn'!$D$23*Params!$C$16)+Catalogue!$F$15*C107/'Tính chọn'!$D$23)</f>
        <v>1.87402954808807</v>
      </c>
      <c r="G107" s="42" t="n">
        <f aca="false">IF(A107&gt;$F$10,0,IF(('Tính chọn'!$D$6+GiaDinh_K3!$D$8*Params!$C$6*C107)&gt;=0,('Tính chọn'!$D$6+GiaDinh_K3!$D$8*Params!$C$6*C107)*'Tính chọn'!$D$23/Params!$C$16,('Tính chọn'!$D$6+GiaDinh_K3!$D$8*Params!$C$6*C107)*'Tính chọn'!$D$23*Params!$C$16)+Catalogue!$F$15*C107/'Tính chọn'!$D$23)</f>
        <v>0.266026940903824</v>
      </c>
      <c r="H107" s="45" t="n">
        <f aca="false">F107*D107/'Tính chọn'!$D$23</f>
        <v>279.46728</v>
      </c>
    </row>
    <row r="108" customFormat="false" ht="14.25" hidden="false" customHeight="false" outlineLevel="0" collapsed="false">
      <c r="A108" s="41" t="n">
        <f aca="false">94*$B$5</f>
        <v>0.94</v>
      </c>
      <c r="B108" s="42" t="n">
        <f aca="false">IF(A108&lt;$F$4,GiaDinh_K3!$D$12,IF(A108&lt;$F$5,0,IF(A108&lt;$F$6,-GiaDinh_K3!$D$12,IF(A108&lt;$F$7,0,IF(A108&lt;$F$8,-GiaDinh_K3!$D$12,IF(A108&lt;$F$9,0,IF(A108&lt;$F$10,GiaDinh_K3!$D$12,0)))))))</f>
        <v>0</v>
      </c>
      <c r="C108" s="43" t="n">
        <f aca="false">IF(A108&lt;$F$4,GiaDinh_K3!$D$12*A108,IF(A108&lt;$F$5,GiaDinh_K3!$D$11,IF(A108&lt;$F$6,GiaDinh_K3!$D$11-GiaDinh_K3!$D$12*(A108-$F$5),IF(A108&lt;$F$7,0,IF(A108&lt;$F$8,-GiaDinh_K3!$D$12*(A108-$F$7),IF(A108&lt;$F$9,-GiaDinh_K3!$D$11,IF(A108&lt;$F$10,-GiaDinh_K3!$D$11+GiaDinh_K3!$D$12*(A108-$F$9),0)))))))</f>
        <v>0</v>
      </c>
      <c r="D108" s="46" t="n">
        <f aca="false">MAX(0,D107+(C107+C108)/2*$B$5)</f>
        <v>0.12</v>
      </c>
      <c r="E108" s="46" t="n">
        <f aca="false">E107+(D107+D108)/2*$B$5</f>
        <v>0.0817949999999999</v>
      </c>
      <c r="F108" s="42" t="n">
        <f aca="false">IF(A108&gt;$F$10,0,IF((Params!$C$21+GiaDinh_K3!$D$8*Params!$C$5*C108)&gt;=0,(Params!$C$21+GiaDinh_K3!$D$8*Params!$C$5*C108)*'Tính chọn'!$D$23/Params!$C$16,(Params!$C$21+GiaDinh_K3!$D$8*Params!$C$5*C108)*'Tính chọn'!$D$23*Params!$C$16)+Catalogue!$F$15*C108/'Tính chọn'!$D$23)</f>
        <v>1.87402954808807</v>
      </c>
      <c r="G108" s="42" t="n">
        <f aca="false">IF(A108&gt;$F$10,0,IF(('Tính chọn'!$D$6+GiaDinh_K3!$D$8*Params!$C$6*C108)&gt;=0,('Tính chọn'!$D$6+GiaDinh_K3!$D$8*Params!$C$6*C108)*'Tính chọn'!$D$23/Params!$C$16,('Tính chọn'!$D$6+GiaDinh_K3!$D$8*Params!$C$6*C108)*'Tính chọn'!$D$23*Params!$C$16)+Catalogue!$F$15*C108/'Tính chọn'!$D$23)</f>
        <v>0.266026940903824</v>
      </c>
      <c r="H108" s="45" t="n">
        <f aca="false">F108*D108/'Tính chọn'!$D$23</f>
        <v>279.46728</v>
      </c>
    </row>
    <row r="109" customFormat="false" ht="14.25" hidden="false" customHeight="false" outlineLevel="0" collapsed="false">
      <c r="A109" s="41" t="n">
        <f aca="false">95*$B$5</f>
        <v>0.95</v>
      </c>
      <c r="B109" s="42" t="n">
        <f aca="false">IF(A109&lt;$F$4,GiaDinh_K3!$D$12,IF(A109&lt;$F$5,0,IF(A109&lt;$F$6,-GiaDinh_K3!$D$12,IF(A109&lt;$F$7,0,IF(A109&lt;$F$8,-GiaDinh_K3!$D$12,IF(A109&lt;$F$9,0,IF(A109&lt;$F$10,GiaDinh_K3!$D$12,0)))))))</f>
        <v>0</v>
      </c>
      <c r="C109" s="43" t="n">
        <f aca="false">IF(A109&lt;$F$4,GiaDinh_K3!$D$12*A109,IF(A109&lt;$F$5,GiaDinh_K3!$D$11,IF(A109&lt;$F$6,GiaDinh_K3!$D$11-GiaDinh_K3!$D$12*(A109-$F$5),IF(A109&lt;$F$7,0,IF(A109&lt;$F$8,-GiaDinh_K3!$D$12*(A109-$F$7),IF(A109&lt;$F$9,-GiaDinh_K3!$D$11,IF(A109&lt;$F$10,-GiaDinh_K3!$D$11+GiaDinh_K3!$D$12*(A109-$F$9),0)))))))</f>
        <v>0</v>
      </c>
      <c r="D109" s="46" t="n">
        <f aca="false">MAX(0,D108+(C108+C109)/2*$B$5)</f>
        <v>0.12</v>
      </c>
      <c r="E109" s="46" t="n">
        <f aca="false">E108+(D108+D109)/2*$B$5</f>
        <v>0.0829949999999999</v>
      </c>
      <c r="F109" s="42" t="n">
        <f aca="false">IF(A109&gt;$F$10,0,IF((Params!$C$21+GiaDinh_K3!$D$8*Params!$C$5*C109)&gt;=0,(Params!$C$21+GiaDinh_K3!$D$8*Params!$C$5*C109)*'Tính chọn'!$D$23/Params!$C$16,(Params!$C$21+GiaDinh_K3!$D$8*Params!$C$5*C109)*'Tính chọn'!$D$23*Params!$C$16)+Catalogue!$F$15*C109/'Tính chọn'!$D$23)</f>
        <v>1.87402954808807</v>
      </c>
      <c r="G109" s="42" t="n">
        <f aca="false">IF(A109&gt;$F$10,0,IF(('Tính chọn'!$D$6+GiaDinh_K3!$D$8*Params!$C$6*C109)&gt;=0,('Tính chọn'!$D$6+GiaDinh_K3!$D$8*Params!$C$6*C109)*'Tính chọn'!$D$23/Params!$C$16,('Tính chọn'!$D$6+GiaDinh_K3!$D$8*Params!$C$6*C109)*'Tính chọn'!$D$23*Params!$C$16)+Catalogue!$F$15*C109/'Tính chọn'!$D$23)</f>
        <v>0.266026940903824</v>
      </c>
      <c r="H109" s="45" t="n">
        <f aca="false">F109*D109/'Tính chọn'!$D$23</f>
        <v>279.46728</v>
      </c>
    </row>
    <row r="110" customFormat="false" ht="14.25" hidden="false" customHeight="false" outlineLevel="0" collapsed="false">
      <c r="A110" s="41" t="n">
        <f aca="false">96*$B$5</f>
        <v>0.96</v>
      </c>
      <c r="B110" s="42" t="n">
        <f aca="false">IF(A110&lt;$F$4,GiaDinh_K3!$D$12,IF(A110&lt;$F$5,0,IF(A110&lt;$F$6,-GiaDinh_K3!$D$12,IF(A110&lt;$F$7,0,IF(A110&lt;$F$8,-GiaDinh_K3!$D$12,IF(A110&lt;$F$9,0,IF(A110&lt;$F$10,GiaDinh_K3!$D$12,0)))))))</f>
        <v>0</v>
      </c>
      <c r="C110" s="43" t="n">
        <f aca="false">IF(A110&lt;$F$4,GiaDinh_K3!$D$12*A110,IF(A110&lt;$F$5,GiaDinh_K3!$D$11,IF(A110&lt;$F$6,GiaDinh_K3!$D$11-GiaDinh_K3!$D$12*(A110-$F$5),IF(A110&lt;$F$7,0,IF(A110&lt;$F$8,-GiaDinh_K3!$D$12*(A110-$F$7),IF(A110&lt;$F$9,-GiaDinh_K3!$D$11,IF(A110&lt;$F$10,-GiaDinh_K3!$D$11+GiaDinh_K3!$D$12*(A110-$F$9),0)))))))</f>
        <v>0</v>
      </c>
      <c r="D110" s="46" t="n">
        <f aca="false">MAX(0,D109+(C109+C110)/2*$B$5)</f>
        <v>0.12</v>
      </c>
      <c r="E110" s="46" t="n">
        <f aca="false">E109+(D109+D110)/2*$B$5</f>
        <v>0.0841949999999999</v>
      </c>
      <c r="F110" s="42" t="n">
        <f aca="false">IF(A110&gt;$F$10,0,IF((Params!$C$21+GiaDinh_K3!$D$8*Params!$C$5*C110)&gt;=0,(Params!$C$21+GiaDinh_K3!$D$8*Params!$C$5*C110)*'Tính chọn'!$D$23/Params!$C$16,(Params!$C$21+GiaDinh_K3!$D$8*Params!$C$5*C110)*'Tính chọn'!$D$23*Params!$C$16)+Catalogue!$F$15*C110/'Tính chọn'!$D$23)</f>
        <v>1.87402954808807</v>
      </c>
      <c r="G110" s="42" t="n">
        <f aca="false">IF(A110&gt;$F$10,0,IF(('Tính chọn'!$D$6+GiaDinh_K3!$D$8*Params!$C$6*C110)&gt;=0,('Tính chọn'!$D$6+GiaDinh_K3!$D$8*Params!$C$6*C110)*'Tính chọn'!$D$23/Params!$C$16,('Tính chọn'!$D$6+GiaDinh_K3!$D$8*Params!$C$6*C110)*'Tính chọn'!$D$23*Params!$C$16)+Catalogue!$F$15*C110/'Tính chọn'!$D$23)</f>
        <v>0.266026940903824</v>
      </c>
      <c r="H110" s="45" t="n">
        <f aca="false">F110*D110/'Tính chọn'!$D$23</f>
        <v>279.46728</v>
      </c>
    </row>
    <row r="111" customFormat="false" ht="14.25" hidden="false" customHeight="false" outlineLevel="0" collapsed="false">
      <c r="A111" s="41" t="n">
        <f aca="false">97*$B$5</f>
        <v>0.97</v>
      </c>
      <c r="B111" s="42" t="n">
        <f aca="false">IF(A111&lt;$F$4,GiaDinh_K3!$D$12,IF(A111&lt;$F$5,0,IF(A111&lt;$F$6,-GiaDinh_K3!$D$12,IF(A111&lt;$F$7,0,IF(A111&lt;$F$8,-GiaDinh_K3!$D$12,IF(A111&lt;$F$9,0,IF(A111&lt;$F$10,GiaDinh_K3!$D$12,0)))))))</f>
        <v>0</v>
      </c>
      <c r="C111" s="43" t="n">
        <f aca="false">IF(A111&lt;$F$4,GiaDinh_K3!$D$12*A111,IF(A111&lt;$F$5,GiaDinh_K3!$D$11,IF(A111&lt;$F$6,GiaDinh_K3!$D$11-GiaDinh_K3!$D$12*(A111-$F$5),IF(A111&lt;$F$7,0,IF(A111&lt;$F$8,-GiaDinh_K3!$D$12*(A111-$F$7),IF(A111&lt;$F$9,-GiaDinh_K3!$D$11,IF(A111&lt;$F$10,-GiaDinh_K3!$D$11+GiaDinh_K3!$D$12*(A111-$F$9),0)))))))</f>
        <v>0</v>
      </c>
      <c r="D111" s="46" t="n">
        <f aca="false">MAX(0,D110+(C110+C111)/2*$B$5)</f>
        <v>0.12</v>
      </c>
      <c r="E111" s="46" t="n">
        <f aca="false">E110+(D110+D111)/2*$B$5</f>
        <v>0.0853949999999999</v>
      </c>
      <c r="F111" s="42" t="n">
        <f aca="false">IF(A111&gt;$F$10,0,IF((Params!$C$21+GiaDinh_K3!$D$8*Params!$C$5*C111)&gt;=0,(Params!$C$21+GiaDinh_K3!$D$8*Params!$C$5*C111)*'Tính chọn'!$D$23/Params!$C$16,(Params!$C$21+GiaDinh_K3!$D$8*Params!$C$5*C111)*'Tính chọn'!$D$23*Params!$C$16)+Catalogue!$F$15*C111/'Tính chọn'!$D$23)</f>
        <v>1.87402954808807</v>
      </c>
      <c r="G111" s="42" t="n">
        <f aca="false">IF(A111&gt;$F$10,0,IF(('Tính chọn'!$D$6+GiaDinh_K3!$D$8*Params!$C$6*C111)&gt;=0,('Tính chọn'!$D$6+GiaDinh_K3!$D$8*Params!$C$6*C111)*'Tính chọn'!$D$23/Params!$C$16,('Tính chọn'!$D$6+GiaDinh_K3!$D$8*Params!$C$6*C111)*'Tính chọn'!$D$23*Params!$C$16)+Catalogue!$F$15*C111/'Tính chọn'!$D$23)</f>
        <v>0.266026940903824</v>
      </c>
      <c r="H111" s="45" t="n">
        <f aca="false">F111*D111/'Tính chọn'!$D$23</f>
        <v>279.46728</v>
      </c>
    </row>
    <row r="112" customFormat="false" ht="14.25" hidden="false" customHeight="false" outlineLevel="0" collapsed="false">
      <c r="A112" s="41" t="n">
        <f aca="false">98*$B$5</f>
        <v>0.98</v>
      </c>
      <c r="B112" s="42" t="n">
        <f aca="false">IF(A112&lt;$F$4,GiaDinh_K3!$D$12,IF(A112&lt;$F$5,0,IF(A112&lt;$F$6,-GiaDinh_K3!$D$12,IF(A112&lt;$F$7,0,IF(A112&lt;$F$8,-GiaDinh_K3!$D$12,IF(A112&lt;$F$9,0,IF(A112&lt;$F$10,GiaDinh_K3!$D$12,0)))))))</f>
        <v>0</v>
      </c>
      <c r="C112" s="43" t="n">
        <f aca="false">IF(A112&lt;$F$4,GiaDinh_K3!$D$12*A112,IF(A112&lt;$F$5,GiaDinh_K3!$D$11,IF(A112&lt;$F$6,GiaDinh_K3!$D$11-GiaDinh_K3!$D$12*(A112-$F$5),IF(A112&lt;$F$7,0,IF(A112&lt;$F$8,-GiaDinh_K3!$D$12*(A112-$F$7),IF(A112&lt;$F$9,-GiaDinh_K3!$D$11,IF(A112&lt;$F$10,-GiaDinh_K3!$D$11+GiaDinh_K3!$D$12*(A112-$F$9),0)))))))</f>
        <v>0</v>
      </c>
      <c r="D112" s="46" t="n">
        <f aca="false">MAX(0,D111+(C111+C112)/2*$B$5)</f>
        <v>0.12</v>
      </c>
      <c r="E112" s="46" t="n">
        <f aca="false">E111+(D111+D112)/2*$B$5</f>
        <v>0.0865949999999998</v>
      </c>
      <c r="F112" s="42" t="n">
        <f aca="false">IF(A112&gt;$F$10,0,IF((Params!$C$21+GiaDinh_K3!$D$8*Params!$C$5*C112)&gt;=0,(Params!$C$21+GiaDinh_K3!$D$8*Params!$C$5*C112)*'Tính chọn'!$D$23/Params!$C$16,(Params!$C$21+GiaDinh_K3!$D$8*Params!$C$5*C112)*'Tính chọn'!$D$23*Params!$C$16)+Catalogue!$F$15*C112/'Tính chọn'!$D$23)</f>
        <v>1.87402954808807</v>
      </c>
      <c r="G112" s="42" t="n">
        <f aca="false">IF(A112&gt;$F$10,0,IF(('Tính chọn'!$D$6+GiaDinh_K3!$D$8*Params!$C$6*C112)&gt;=0,('Tính chọn'!$D$6+GiaDinh_K3!$D$8*Params!$C$6*C112)*'Tính chọn'!$D$23/Params!$C$16,('Tính chọn'!$D$6+GiaDinh_K3!$D$8*Params!$C$6*C112)*'Tính chọn'!$D$23*Params!$C$16)+Catalogue!$F$15*C112/'Tính chọn'!$D$23)</f>
        <v>0.266026940903824</v>
      </c>
      <c r="H112" s="45" t="n">
        <f aca="false">F112*D112/'Tính chọn'!$D$23</f>
        <v>279.46728</v>
      </c>
    </row>
    <row r="113" customFormat="false" ht="14.25" hidden="false" customHeight="false" outlineLevel="0" collapsed="false">
      <c r="A113" s="41" t="n">
        <f aca="false">99*$B$5</f>
        <v>0.99</v>
      </c>
      <c r="B113" s="42" t="n">
        <f aca="false">IF(A113&lt;$F$4,GiaDinh_K3!$D$12,IF(A113&lt;$F$5,0,IF(A113&lt;$F$6,-GiaDinh_K3!$D$12,IF(A113&lt;$F$7,0,IF(A113&lt;$F$8,-GiaDinh_K3!$D$12,IF(A113&lt;$F$9,0,IF(A113&lt;$F$10,GiaDinh_K3!$D$12,0)))))))</f>
        <v>0</v>
      </c>
      <c r="C113" s="43" t="n">
        <f aca="false">IF(A113&lt;$F$4,GiaDinh_K3!$D$12*A113,IF(A113&lt;$F$5,GiaDinh_K3!$D$11,IF(A113&lt;$F$6,GiaDinh_K3!$D$11-GiaDinh_K3!$D$12*(A113-$F$5),IF(A113&lt;$F$7,0,IF(A113&lt;$F$8,-GiaDinh_K3!$D$12*(A113-$F$7),IF(A113&lt;$F$9,-GiaDinh_K3!$D$11,IF(A113&lt;$F$10,-GiaDinh_K3!$D$11+GiaDinh_K3!$D$12*(A113-$F$9),0)))))))</f>
        <v>0</v>
      </c>
      <c r="D113" s="46" t="n">
        <f aca="false">MAX(0,D112+(C112+C113)/2*$B$5)</f>
        <v>0.12</v>
      </c>
      <c r="E113" s="46" t="n">
        <f aca="false">E112+(D112+D113)/2*$B$5</f>
        <v>0.0877949999999998</v>
      </c>
      <c r="F113" s="42" t="n">
        <f aca="false">IF(A113&gt;$F$10,0,IF((Params!$C$21+GiaDinh_K3!$D$8*Params!$C$5*C113)&gt;=0,(Params!$C$21+GiaDinh_K3!$D$8*Params!$C$5*C113)*'Tính chọn'!$D$23/Params!$C$16,(Params!$C$21+GiaDinh_K3!$D$8*Params!$C$5*C113)*'Tính chọn'!$D$23*Params!$C$16)+Catalogue!$F$15*C113/'Tính chọn'!$D$23)</f>
        <v>1.87402954808807</v>
      </c>
      <c r="G113" s="42" t="n">
        <f aca="false">IF(A113&gt;$F$10,0,IF(('Tính chọn'!$D$6+GiaDinh_K3!$D$8*Params!$C$6*C113)&gt;=0,('Tính chọn'!$D$6+GiaDinh_K3!$D$8*Params!$C$6*C113)*'Tính chọn'!$D$23/Params!$C$16,('Tính chọn'!$D$6+GiaDinh_K3!$D$8*Params!$C$6*C113)*'Tính chọn'!$D$23*Params!$C$16)+Catalogue!$F$15*C113/'Tính chọn'!$D$23)</f>
        <v>0.266026940903824</v>
      </c>
      <c r="H113" s="45" t="n">
        <f aca="false">F113*D113/'Tính chọn'!$D$23</f>
        <v>279.46728</v>
      </c>
    </row>
    <row r="114" customFormat="false" ht="14.25" hidden="false" customHeight="false" outlineLevel="0" collapsed="false">
      <c r="A114" s="41" t="n">
        <f aca="false">100*$B$5</f>
        <v>1</v>
      </c>
      <c r="B114" s="42" t="n">
        <f aca="false">IF(A114&lt;$F$4,GiaDinh_K3!$D$12,IF(A114&lt;$F$5,0,IF(A114&lt;$F$6,-GiaDinh_K3!$D$12,IF(A114&lt;$F$7,0,IF(A114&lt;$F$8,-GiaDinh_K3!$D$12,IF(A114&lt;$F$9,0,IF(A114&lt;$F$10,GiaDinh_K3!$D$12,0)))))))</f>
        <v>0</v>
      </c>
      <c r="C114" s="43" t="n">
        <f aca="false">IF(A114&lt;$F$4,GiaDinh_K3!$D$12*A114,IF(A114&lt;$F$5,GiaDinh_K3!$D$11,IF(A114&lt;$F$6,GiaDinh_K3!$D$11-GiaDinh_K3!$D$12*(A114-$F$5),IF(A114&lt;$F$7,0,IF(A114&lt;$F$8,-GiaDinh_K3!$D$12*(A114-$F$7),IF(A114&lt;$F$9,-GiaDinh_K3!$D$11,IF(A114&lt;$F$10,-GiaDinh_K3!$D$11+GiaDinh_K3!$D$12*(A114-$F$9),0)))))))</f>
        <v>0</v>
      </c>
      <c r="D114" s="46" t="n">
        <f aca="false">MAX(0,D113+(C113+C114)/2*$B$5)</f>
        <v>0.12</v>
      </c>
      <c r="E114" s="46" t="n">
        <f aca="false">E113+(D113+D114)/2*$B$5</f>
        <v>0.0889949999999998</v>
      </c>
      <c r="F114" s="42" t="n">
        <f aca="false">IF(A114&gt;$F$10,0,IF((Params!$C$21+GiaDinh_K3!$D$8*Params!$C$5*C114)&gt;=0,(Params!$C$21+GiaDinh_K3!$D$8*Params!$C$5*C114)*'Tính chọn'!$D$23/Params!$C$16,(Params!$C$21+GiaDinh_K3!$D$8*Params!$C$5*C114)*'Tính chọn'!$D$23*Params!$C$16)+Catalogue!$F$15*C114/'Tính chọn'!$D$23)</f>
        <v>1.87402954808807</v>
      </c>
      <c r="G114" s="42" t="n">
        <f aca="false">IF(A114&gt;$F$10,0,IF(('Tính chọn'!$D$6+GiaDinh_K3!$D$8*Params!$C$6*C114)&gt;=0,('Tính chọn'!$D$6+GiaDinh_K3!$D$8*Params!$C$6*C114)*'Tính chọn'!$D$23/Params!$C$16,('Tính chọn'!$D$6+GiaDinh_K3!$D$8*Params!$C$6*C114)*'Tính chọn'!$D$23*Params!$C$16)+Catalogue!$F$15*C114/'Tính chọn'!$D$23)</f>
        <v>0.266026940903824</v>
      </c>
      <c r="H114" s="45" t="n">
        <f aca="false">F114*D114/'Tính chọn'!$D$23</f>
        <v>279.46728</v>
      </c>
    </row>
    <row r="115" customFormat="false" ht="14.25" hidden="false" customHeight="false" outlineLevel="0" collapsed="false">
      <c r="A115" s="41" t="n">
        <f aca="false">101*$B$5</f>
        <v>1.01</v>
      </c>
      <c r="B115" s="42" t="n">
        <f aca="false">IF(A115&lt;$F$4,GiaDinh_K3!$D$12,IF(A115&lt;$F$5,0,IF(A115&lt;$F$6,-GiaDinh_K3!$D$12,IF(A115&lt;$F$7,0,IF(A115&lt;$F$8,-GiaDinh_K3!$D$12,IF(A115&lt;$F$9,0,IF(A115&lt;$F$10,GiaDinh_K3!$D$12,0)))))))</f>
        <v>0</v>
      </c>
      <c r="C115" s="43" t="n">
        <f aca="false">IF(A115&lt;$F$4,GiaDinh_K3!$D$12*A115,IF(A115&lt;$F$5,GiaDinh_K3!$D$11,IF(A115&lt;$F$6,GiaDinh_K3!$D$11-GiaDinh_K3!$D$12*(A115-$F$5),IF(A115&lt;$F$7,0,IF(A115&lt;$F$8,-GiaDinh_K3!$D$12*(A115-$F$7),IF(A115&lt;$F$9,-GiaDinh_K3!$D$11,IF(A115&lt;$F$10,-GiaDinh_K3!$D$11+GiaDinh_K3!$D$12*(A115-$F$9),0)))))))</f>
        <v>0</v>
      </c>
      <c r="D115" s="46" t="n">
        <f aca="false">MAX(0,D114+(C114+C115)/2*$B$5)</f>
        <v>0.12</v>
      </c>
      <c r="E115" s="46" t="n">
        <f aca="false">E114+(D114+D115)/2*$B$5</f>
        <v>0.0901949999999998</v>
      </c>
      <c r="F115" s="42" t="n">
        <f aca="false">IF(A115&gt;$F$10,0,IF((Params!$C$21+GiaDinh_K3!$D$8*Params!$C$5*C115)&gt;=0,(Params!$C$21+GiaDinh_K3!$D$8*Params!$C$5*C115)*'Tính chọn'!$D$23/Params!$C$16,(Params!$C$21+GiaDinh_K3!$D$8*Params!$C$5*C115)*'Tính chọn'!$D$23*Params!$C$16)+Catalogue!$F$15*C115/'Tính chọn'!$D$23)</f>
        <v>1.87402954808807</v>
      </c>
      <c r="G115" s="42" t="n">
        <f aca="false">IF(A115&gt;$F$10,0,IF(('Tính chọn'!$D$6+GiaDinh_K3!$D$8*Params!$C$6*C115)&gt;=0,('Tính chọn'!$D$6+GiaDinh_K3!$D$8*Params!$C$6*C115)*'Tính chọn'!$D$23/Params!$C$16,('Tính chọn'!$D$6+GiaDinh_K3!$D$8*Params!$C$6*C115)*'Tính chọn'!$D$23*Params!$C$16)+Catalogue!$F$15*C115/'Tính chọn'!$D$23)</f>
        <v>0.266026940903824</v>
      </c>
      <c r="H115" s="45" t="n">
        <f aca="false">F115*D115/'Tính chọn'!$D$23</f>
        <v>279.46728</v>
      </c>
    </row>
    <row r="116" customFormat="false" ht="14.25" hidden="false" customHeight="false" outlineLevel="0" collapsed="false">
      <c r="A116" s="41" t="n">
        <f aca="false">102*$B$5</f>
        <v>1.02</v>
      </c>
      <c r="B116" s="42" t="n">
        <f aca="false">IF(A116&lt;$F$4,GiaDinh_K3!$D$12,IF(A116&lt;$F$5,0,IF(A116&lt;$F$6,-GiaDinh_K3!$D$12,IF(A116&lt;$F$7,0,IF(A116&lt;$F$8,-GiaDinh_K3!$D$12,IF(A116&lt;$F$9,0,IF(A116&lt;$F$10,GiaDinh_K3!$D$12,0)))))))</f>
        <v>0</v>
      </c>
      <c r="C116" s="43" t="n">
        <f aca="false">IF(A116&lt;$F$4,GiaDinh_K3!$D$12*A116,IF(A116&lt;$F$5,GiaDinh_K3!$D$11,IF(A116&lt;$F$6,GiaDinh_K3!$D$11-GiaDinh_K3!$D$12*(A116-$F$5),IF(A116&lt;$F$7,0,IF(A116&lt;$F$8,-GiaDinh_K3!$D$12*(A116-$F$7),IF(A116&lt;$F$9,-GiaDinh_K3!$D$11,IF(A116&lt;$F$10,-GiaDinh_K3!$D$11+GiaDinh_K3!$D$12*(A116-$F$9),0)))))))</f>
        <v>0</v>
      </c>
      <c r="D116" s="46" t="n">
        <f aca="false">MAX(0,D115+(C115+C116)/2*$B$5)</f>
        <v>0.12</v>
      </c>
      <c r="E116" s="46" t="n">
        <f aca="false">E115+(D115+D116)/2*$B$5</f>
        <v>0.0913949999999998</v>
      </c>
      <c r="F116" s="42" t="n">
        <f aca="false">IF(A116&gt;$F$10,0,IF((Params!$C$21+GiaDinh_K3!$D$8*Params!$C$5*C116)&gt;=0,(Params!$C$21+GiaDinh_K3!$D$8*Params!$C$5*C116)*'Tính chọn'!$D$23/Params!$C$16,(Params!$C$21+GiaDinh_K3!$D$8*Params!$C$5*C116)*'Tính chọn'!$D$23*Params!$C$16)+Catalogue!$F$15*C116/'Tính chọn'!$D$23)</f>
        <v>1.87402954808807</v>
      </c>
      <c r="G116" s="42" t="n">
        <f aca="false">IF(A116&gt;$F$10,0,IF(('Tính chọn'!$D$6+GiaDinh_K3!$D$8*Params!$C$6*C116)&gt;=0,('Tính chọn'!$D$6+GiaDinh_K3!$D$8*Params!$C$6*C116)*'Tính chọn'!$D$23/Params!$C$16,('Tính chọn'!$D$6+GiaDinh_K3!$D$8*Params!$C$6*C116)*'Tính chọn'!$D$23*Params!$C$16)+Catalogue!$F$15*C116/'Tính chọn'!$D$23)</f>
        <v>0.266026940903824</v>
      </c>
      <c r="H116" s="45" t="n">
        <f aca="false">F116*D116/'Tính chọn'!$D$23</f>
        <v>279.46728</v>
      </c>
    </row>
    <row r="117" customFormat="false" ht="14.25" hidden="false" customHeight="false" outlineLevel="0" collapsed="false">
      <c r="A117" s="41" t="n">
        <f aca="false">103*$B$5</f>
        <v>1.03</v>
      </c>
      <c r="B117" s="42" t="n">
        <f aca="false">IF(A117&lt;$F$4,GiaDinh_K3!$D$12,IF(A117&lt;$F$5,0,IF(A117&lt;$F$6,-GiaDinh_K3!$D$12,IF(A117&lt;$F$7,0,IF(A117&lt;$F$8,-GiaDinh_K3!$D$12,IF(A117&lt;$F$9,0,IF(A117&lt;$F$10,GiaDinh_K3!$D$12,0)))))))</f>
        <v>0</v>
      </c>
      <c r="C117" s="43" t="n">
        <f aca="false">IF(A117&lt;$F$4,GiaDinh_K3!$D$12*A117,IF(A117&lt;$F$5,GiaDinh_K3!$D$11,IF(A117&lt;$F$6,GiaDinh_K3!$D$11-GiaDinh_K3!$D$12*(A117-$F$5),IF(A117&lt;$F$7,0,IF(A117&lt;$F$8,-GiaDinh_K3!$D$12*(A117-$F$7),IF(A117&lt;$F$9,-GiaDinh_K3!$D$11,IF(A117&lt;$F$10,-GiaDinh_K3!$D$11+GiaDinh_K3!$D$12*(A117-$F$9),0)))))))</f>
        <v>0</v>
      </c>
      <c r="D117" s="46" t="n">
        <f aca="false">MAX(0,D116+(C116+C117)/2*$B$5)</f>
        <v>0.12</v>
      </c>
      <c r="E117" s="46" t="n">
        <f aca="false">E116+(D116+D117)/2*$B$5</f>
        <v>0.0925949999999998</v>
      </c>
      <c r="F117" s="42" t="n">
        <f aca="false">IF(A117&gt;$F$10,0,IF((Params!$C$21+GiaDinh_K3!$D$8*Params!$C$5*C117)&gt;=0,(Params!$C$21+GiaDinh_K3!$D$8*Params!$C$5*C117)*'Tính chọn'!$D$23/Params!$C$16,(Params!$C$21+GiaDinh_K3!$D$8*Params!$C$5*C117)*'Tính chọn'!$D$23*Params!$C$16)+Catalogue!$F$15*C117/'Tính chọn'!$D$23)</f>
        <v>1.87402954808807</v>
      </c>
      <c r="G117" s="42" t="n">
        <f aca="false">IF(A117&gt;$F$10,0,IF(('Tính chọn'!$D$6+GiaDinh_K3!$D$8*Params!$C$6*C117)&gt;=0,('Tính chọn'!$D$6+GiaDinh_K3!$D$8*Params!$C$6*C117)*'Tính chọn'!$D$23/Params!$C$16,('Tính chọn'!$D$6+GiaDinh_K3!$D$8*Params!$C$6*C117)*'Tính chọn'!$D$23*Params!$C$16)+Catalogue!$F$15*C117/'Tính chọn'!$D$23)</f>
        <v>0.266026940903824</v>
      </c>
      <c r="H117" s="45" t="n">
        <f aca="false">F117*D117/'Tính chọn'!$D$23</f>
        <v>279.46728</v>
      </c>
    </row>
    <row r="118" customFormat="false" ht="14.25" hidden="false" customHeight="false" outlineLevel="0" collapsed="false">
      <c r="A118" s="41" t="n">
        <f aca="false">104*$B$5</f>
        <v>1.04</v>
      </c>
      <c r="B118" s="42" t="n">
        <f aca="false">IF(A118&lt;$F$4,GiaDinh_K3!$D$12,IF(A118&lt;$F$5,0,IF(A118&lt;$F$6,-GiaDinh_K3!$D$12,IF(A118&lt;$F$7,0,IF(A118&lt;$F$8,-GiaDinh_K3!$D$12,IF(A118&lt;$F$9,0,IF(A118&lt;$F$10,GiaDinh_K3!$D$12,0)))))))</f>
        <v>0</v>
      </c>
      <c r="C118" s="43" t="n">
        <f aca="false">IF(A118&lt;$F$4,GiaDinh_K3!$D$12*A118,IF(A118&lt;$F$5,GiaDinh_K3!$D$11,IF(A118&lt;$F$6,GiaDinh_K3!$D$11-GiaDinh_K3!$D$12*(A118-$F$5),IF(A118&lt;$F$7,0,IF(A118&lt;$F$8,-GiaDinh_K3!$D$12*(A118-$F$7),IF(A118&lt;$F$9,-GiaDinh_K3!$D$11,IF(A118&lt;$F$10,-GiaDinh_K3!$D$11+GiaDinh_K3!$D$12*(A118-$F$9),0)))))))</f>
        <v>0</v>
      </c>
      <c r="D118" s="46" t="n">
        <f aca="false">MAX(0,D117+(C117+C118)/2*$B$5)</f>
        <v>0.12</v>
      </c>
      <c r="E118" s="46" t="n">
        <f aca="false">E117+(D117+D118)/2*$B$5</f>
        <v>0.0937949999999998</v>
      </c>
      <c r="F118" s="42" t="n">
        <f aca="false">IF(A118&gt;$F$10,0,IF((Params!$C$21+GiaDinh_K3!$D$8*Params!$C$5*C118)&gt;=0,(Params!$C$21+GiaDinh_K3!$D$8*Params!$C$5*C118)*'Tính chọn'!$D$23/Params!$C$16,(Params!$C$21+GiaDinh_K3!$D$8*Params!$C$5*C118)*'Tính chọn'!$D$23*Params!$C$16)+Catalogue!$F$15*C118/'Tính chọn'!$D$23)</f>
        <v>1.87402954808807</v>
      </c>
      <c r="G118" s="42" t="n">
        <f aca="false">IF(A118&gt;$F$10,0,IF(('Tính chọn'!$D$6+GiaDinh_K3!$D$8*Params!$C$6*C118)&gt;=0,('Tính chọn'!$D$6+GiaDinh_K3!$D$8*Params!$C$6*C118)*'Tính chọn'!$D$23/Params!$C$16,('Tính chọn'!$D$6+GiaDinh_K3!$D$8*Params!$C$6*C118)*'Tính chọn'!$D$23*Params!$C$16)+Catalogue!$F$15*C118/'Tính chọn'!$D$23)</f>
        <v>0.266026940903824</v>
      </c>
      <c r="H118" s="45" t="n">
        <f aca="false">F118*D118/'Tính chọn'!$D$23</f>
        <v>279.46728</v>
      </c>
    </row>
    <row r="119" customFormat="false" ht="14.25" hidden="false" customHeight="false" outlineLevel="0" collapsed="false">
      <c r="A119" s="41" t="n">
        <f aca="false">105*$B$5</f>
        <v>1.05</v>
      </c>
      <c r="B119" s="42" t="n">
        <f aca="false">IF(A119&lt;$F$4,GiaDinh_K3!$D$12,IF(A119&lt;$F$5,0,IF(A119&lt;$F$6,-GiaDinh_K3!$D$12,IF(A119&lt;$F$7,0,IF(A119&lt;$F$8,-GiaDinh_K3!$D$12,IF(A119&lt;$F$9,0,IF(A119&lt;$F$10,GiaDinh_K3!$D$12,0)))))))</f>
        <v>0</v>
      </c>
      <c r="C119" s="43" t="n">
        <f aca="false">IF(A119&lt;$F$4,GiaDinh_K3!$D$12*A119,IF(A119&lt;$F$5,GiaDinh_K3!$D$11,IF(A119&lt;$F$6,GiaDinh_K3!$D$11-GiaDinh_K3!$D$12*(A119-$F$5),IF(A119&lt;$F$7,0,IF(A119&lt;$F$8,-GiaDinh_K3!$D$12*(A119-$F$7),IF(A119&lt;$F$9,-GiaDinh_K3!$D$11,IF(A119&lt;$F$10,-GiaDinh_K3!$D$11+GiaDinh_K3!$D$12*(A119-$F$9),0)))))))</f>
        <v>0</v>
      </c>
      <c r="D119" s="46" t="n">
        <f aca="false">MAX(0,D118+(C118+C119)/2*$B$5)</f>
        <v>0.12</v>
      </c>
      <c r="E119" s="46" t="n">
        <f aca="false">E118+(D118+D119)/2*$B$5</f>
        <v>0.0949949999999998</v>
      </c>
      <c r="F119" s="42" t="n">
        <f aca="false">IF(A119&gt;$F$10,0,IF((Params!$C$21+GiaDinh_K3!$D$8*Params!$C$5*C119)&gt;=0,(Params!$C$21+GiaDinh_K3!$D$8*Params!$C$5*C119)*'Tính chọn'!$D$23/Params!$C$16,(Params!$C$21+GiaDinh_K3!$D$8*Params!$C$5*C119)*'Tính chọn'!$D$23*Params!$C$16)+Catalogue!$F$15*C119/'Tính chọn'!$D$23)</f>
        <v>1.87402954808807</v>
      </c>
      <c r="G119" s="42" t="n">
        <f aca="false">IF(A119&gt;$F$10,0,IF(('Tính chọn'!$D$6+GiaDinh_K3!$D$8*Params!$C$6*C119)&gt;=0,('Tính chọn'!$D$6+GiaDinh_K3!$D$8*Params!$C$6*C119)*'Tính chọn'!$D$23/Params!$C$16,('Tính chọn'!$D$6+GiaDinh_K3!$D$8*Params!$C$6*C119)*'Tính chọn'!$D$23*Params!$C$16)+Catalogue!$F$15*C119/'Tính chọn'!$D$23)</f>
        <v>0.266026940903824</v>
      </c>
      <c r="H119" s="45" t="n">
        <f aca="false">F119*D119/'Tính chọn'!$D$23</f>
        <v>279.46728</v>
      </c>
    </row>
    <row r="120" customFormat="false" ht="14.25" hidden="false" customHeight="false" outlineLevel="0" collapsed="false">
      <c r="A120" s="41" t="n">
        <f aca="false">106*$B$5</f>
        <v>1.06</v>
      </c>
      <c r="B120" s="42" t="n">
        <f aca="false">IF(A120&lt;$F$4,GiaDinh_K3!$D$12,IF(A120&lt;$F$5,0,IF(A120&lt;$F$6,-GiaDinh_K3!$D$12,IF(A120&lt;$F$7,0,IF(A120&lt;$F$8,-GiaDinh_K3!$D$12,IF(A120&lt;$F$9,0,IF(A120&lt;$F$10,GiaDinh_K3!$D$12,0)))))))</f>
        <v>0</v>
      </c>
      <c r="C120" s="43" t="n">
        <f aca="false">IF(A120&lt;$F$4,GiaDinh_K3!$D$12*A120,IF(A120&lt;$F$5,GiaDinh_K3!$D$11,IF(A120&lt;$F$6,GiaDinh_K3!$D$11-GiaDinh_K3!$D$12*(A120-$F$5),IF(A120&lt;$F$7,0,IF(A120&lt;$F$8,-GiaDinh_K3!$D$12*(A120-$F$7),IF(A120&lt;$F$9,-GiaDinh_K3!$D$11,IF(A120&lt;$F$10,-GiaDinh_K3!$D$11+GiaDinh_K3!$D$12*(A120-$F$9),0)))))))</f>
        <v>0</v>
      </c>
      <c r="D120" s="46" t="n">
        <f aca="false">MAX(0,D119+(C119+C120)/2*$B$5)</f>
        <v>0.12</v>
      </c>
      <c r="E120" s="46" t="n">
        <f aca="false">E119+(D119+D120)/2*$B$5</f>
        <v>0.0961949999999998</v>
      </c>
      <c r="F120" s="42" t="n">
        <f aca="false">IF(A120&gt;$F$10,0,IF((Params!$C$21+GiaDinh_K3!$D$8*Params!$C$5*C120)&gt;=0,(Params!$C$21+GiaDinh_K3!$D$8*Params!$C$5*C120)*'Tính chọn'!$D$23/Params!$C$16,(Params!$C$21+GiaDinh_K3!$D$8*Params!$C$5*C120)*'Tính chọn'!$D$23*Params!$C$16)+Catalogue!$F$15*C120/'Tính chọn'!$D$23)</f>
        <v>1.87402954808807</v>
      </c>
      <c r="G120" s="42" t="n">
        <f aca="false">IF(A120&gt;$F$10,0,IF(('Tính chọn'!$D$6+GiaDinh_K3!$D$8*Params!$C$6*C120)&gt;=0,('Tính chọn'!$D$6+GiaDinh_K3!$D$8*Params!$C$6*C120)*'Tính chọn'!$D$23/Params!$C$16,('Tính chọn'!$D$6+GiaDinh_K3!$D$8*Params!$C$6*C120)*'Tính chọn'!$D$23*Params!$C$16)+Catalogue!$F$15*C120/'Tính chọn'!$D$23)</f>
        <v>0.266026940903824</v>
      </c>
      <c r="H120" s="45" t="n">
        <f aca="false">F120*D120/'Tính chọn'!$D$23</f>
        <v>279.46728</v>
      </c>
    </row>
    <row r="121" customFormat="false" ht="14.25" hidden="false" customHeight="false" outlineLevel="0" collapsed="false">
      <c r="A121" s="41" t="n">
        <f aca="false">107*$B$5</f>
        <v>1.07</v>
      </c>
      <c r="B121" s="42" t="n">
        <f aca="false">IF(A121&lt;$F$4,GiaDinh_K3!$D$12,IF(A121&lt;$F$5,0,IF(A121&lt;$F$6,-GiaDinh_K3!$D$12,IF(A121&lt;$F$7,0,IF(A121&lt;$F$8,-GiaDinh_K3!$D$12,IF(A121&lt;$F$9,0,IF(A121&lt;$F$10,GiaDinh_K3!$D$12,0)))))))</f>
        <v>0</v>
      </c>
      <c r="C121" s="43" t="n">
        <f aca="false">IF(A121&lt;$F$4,GiaDinh_K3!$D$12*A121,IF(A121&lt;$F$5,GiaDinh_K3!$D$11,IF(A121&lt;$F$6,GiaDinh_K3!$D$11-GiaDinh_K3!$D$12*(A121-$F$5),IF(A121&lt;$F$7,0,IF(A121&lt;$F$8,-GiaDinh_K3!$D$12*(A121-$F$7),IF(A121&lt;$F$9,-GiaDinh_K3!$D$11,IF(A121&lt;$F$10,-GiaDinh_K3!$D$11+GiaDinh_K3!$D$12*(A121-$F$9),0)))))))</f>
        <v>0</v>
      </c>
      <c r="D121" s="46" t="n">
        <f aca="false">MAX(0,D120+(C120+C121)/2*$B$5)</f>
        <v>0.12</v>
      </c>
      <c r="E121" s="46" t="n">
        <f aca="false">E120+(D120+D121)/2*$B$5</f>
        <v>0.0973949999999998</v>
      </c>
      <c r="F121" s="42" t="n">
        <f aca="false">IF(A121&gt;$F$10,0,IF((Params!$C$21+GiaDinh_K3!$D$8*Params!$C$5*C121)&gt;=0,(Params!$C$21+GiaDinh_K3!$D$8*Params!$C$5*C121)*'Tính chọn'!$D$23/Params!$C$16,(Params!$C$21+GiaDinh_K3!$D$8*Params!$C$5*C121)*'Tính chọn'!$D$23*Params!$C$16)+Catalogue!$F$15*C121/'Tính chọn'!$D$23)</f>
        <v>1.87402954808807</v>
      </c>
      <c r="G121" s="42" t="n">
        <f aca="false">IF(A121&gt;$F$10,0,IF(('Tính chọn'!$D$6+GiaDinh_K3!$D$8*Params!$C$6*C121)&gt;=0,('Tính chọn'!$D$6+GiaDinh_K3!$D$8*Params!$C$6*C121)*'Tính chọn'!$D$23/Params!$C$16,('Tính chọn'!$D$6+GiaDinh_K3!$D$8*Params!$C$6*C121)*'Tính chọn'!$D$23*Params!$C$16)+Catalogue!$F$15*C121/'Tính chọn'!$D$23)</f>
        <v>0.266026940903824</v>
      </c>
      <c r="H121" s="45" t="n">
        <f aca="false">F121*D121/'Tính chọn'!$D$23</f>
        <v>279.46728</v>
      </c>
    </row>
    <row r="122" customFormat="false" ht="14.25" hidden="false" customHeight="false" outlineLevel="0" collapsed="false">
      <c r="A122" s="41" t="n">
        <f aca="false">108*$B$5</f>
        <v>1.08</v>
      </c>
      <c r="B122" s="42" t="n">
        <f aca="false">IF(A122&lt;$F$4,GiaDinh_K3!$D$12,IF(A122&lt;$F$5,0,IF(A122&lt;$F$6,-GiaDinh_K3!$D$12,IF(A122&lt;$F$7,0,IF(A122&lt;$F$8,-GiaDinh_K3!$D$12,IF(A122&lt;$F$9,0,IF(A122&lt;$F$10,GiaDinh_K3!$D$12,0)))))))</f>
        <v>0</v>
      </c>
      <c r="C122" s="43" t="n">
        <f aca="false">IF(A122&lt;$F$4,GiaDinh_K3!$D$12*A122,IF(A122&lt;$F$5,GiaDinh_K3!$D$11,IF(A122&lt;$F$6,GiaDinh_K3!$D$11-GiaDinh_K3!$D$12*(A122-$F$5),IF(A122&lt;$F$7,0,IF(A122&lt;$F$8,-GiaDinh_K3!$D$12*(A122-$F$7),IF(A122&lt;$F$9,-GiaDinh_K3!$D$11,IF(A122&lt;$F$10,-GiaDinh_K3!$D$11+GiaDinh_K3!$D$12*(A122-$F$9),0)))))))</f>
        <v>0</v>
      </c>
      <c r="D122" s="46" t="n">
        <f aca="false">MAX(0,D121+(C121+C122)/2*$B$5)</f>
        <v>0.12</v>
      </c>
      <c r="E122" s="46" t="n">
        <f aca="false">E121+(D121+D122)/2*$B$5</f>
        <v>0.0985949999999998</v>
      </c>
      <c r="F122" s="42" t="n">
        <f aca="false">IF(A122&gt;$F$10,0,IF((Params!$C$21+GiaDinh_K3!$D$8*Params!$C$5*C122)&gt;=0,(Params!$C$21+GiaDinh_K3!$D$8*Params!$C$5*C122)*'Tính chọn'!$D$23/Params!$C$16,(Params!$C$21+GiaDinh_K3!$D$8*Params!$C$5*C122)*'Tính chọn'!$D$23*Params!$C$16)+Catalogue!$F$15*C122/'Tính chọn'!$D$23)</f>
        <v>1.87402954808807</v>
      </c>
      <c r="G122" s="42" t="n">
        <f aca="false">IF(A122&gt;$F$10,0,IF(('Tính chọn'!$D$6+GiaDinh_K3!$D$8*Params!$C$6*C122)&gt;=0,('Tính chọn'!$D$6+GiaDinh_K3!$D$8*Params!$C$6*C122)*'Tính chọn'!$D$23/Params!$C$16,('Tính chọn'!$D$6+GiaDinh_K3!$D$8*Params!$C$6*C122)*'Tính chọn'!$D$23*Params!$C$16)+Catalogue!$F$15*C122/'Tính chọn'!$D$23)</f>
        <v>0.266026940903824</v>
      </c>
      <c r="H122" s="45" t="n">
        <f aca="false">F122*D122/'Tính chọn'!$D$23</f>
        <v>279.46728</v>
      </c>
    </row>
    <row r="123" customFormat="false" ht="14.25" hidden="false" customHeight="false" outlineLevel="0" collapsed="false">
      <c r="A123" s="41" t="n">
        <f aca="false">109*$B$5</f>
        <v>1.09</v>
      </c>
      <c r="B123" s="42" t="n">
        <f aca="false">IF(A123&lt;$F$4,GiaDinh_K3!$D$12,IF(A123&lt;$F$5,0,IF(A123&lt;$F$6,-GiaDinh_K3!$D$12,IF(A123&lt;$F$7,0,IF(A123&lt;$F$8,-GiaDinh_K3!$D$12,IF(A123&lt;$F$9,0,IF(A123&lt;$F$10,GiaDinh_K3!$D$12,0)))))))</f>
        <v>0</v>
      </c>
      <c r="C123" s="43" t="n">
        <f aca="false">IF(A123&lt;$F$4,GiaDinh_K3!$D$12*A123,IF(A123&lt;$F$5,GiaDinh_K3!$D$11,IF(A123&lt;$F$6,GiaDinh_K3!$D$11-GiaDinh_K3!$D$12*(A123-$F$5),IF(A123&lt;$F$7,0,IF(A123&lt;$F$8,-GiaDinh_K3!$D$12*(A123-$F$7),IF(A123&lt;$F$9,-GiaDinh_K3!$D$11,IF(A123&lt;$F$10,-GiaDinh_K3!$D$11+GiaDinh_K3!$D$12*(A123-$F$9),0)))))))</f>
        <v>0</v>
      </c>
      <c r="D123" s="46" t="n">
        <f aca="false">MAX(0,D122+(C122+C123)/2*$B$5)</f>
        <v>0.12</v>
      </c>
      <c r="E123" s="46" t="n">
        <f aca="false">E122+(D122+D123)/2*$B$5</f>
        <v>0.0997949999999998</v>
      </c>
      <c r="F123" s="42" t="n">
        <f aca="false">IF(A123&gt;$F$10,0,IF((Params!$C$21+GiaDinh_K3!$D$8*Params!$C$5*C123)&gt;=0,(Params!$C$21+GiaDinh_K3!$D$8*Params!$C$5*C123)*'Tính chọn'!$D$23/Params!$C$16,(Params!$C$21+GiaDinh_K3!$D$8*Params!$C$5*C123)*'Tính chọn'!$D$23*Params!$C$16)+Catalogue!$F$15*C123/'Tính chọn'!$D$23)</f>
        <v>1.87402954808807</v>
      </c>
      <c r="G123" s="42" t="n">
        <f aca="false">IF(A123&gt;$F$10,0,IF(('Tính chọn'!$D$6+GiaDinh_K3!$D$8*Params!$C$6*C123)&gt;=0,('Tính chọn'!$D$6+GiaDinh_K3!$D$8*Params!$C$6*C123)*'Tính chọn'!$D$23/Params!$C$16,('Tính chọn'!$D$6+GiaDinh_K3!$D$8*Params!$C$6*C123)*'Tính chọn'!$D$23*Params!$C$16)+Catalogue!$F$15*C123/'Tính chọn'!$D$23)</f>
        <v>0.266026940903824</v>
      </c>
      <c r="H123" s="45" t="n">
        <f aca="false">F123*D123/'Tính chọn'!$D$23</f>
        <v>279.46728</v>
      </c>
    </row>
    <row r="124" customFormat="false" ht="14.25" hidden="false" customHeight="false" outlineLevel="0" collapsed="false">
      <c r="A124" s="41" t="n">
        <f aca="false">110*$B$5</f>
        <v>1.1</v>
      </c>
      <c r="B124" s="42" t="n">
        <f aca="false">IF(A124&lt;$F$4,GiaDinh_K3!$D$12,IF(A124&lt;$F$5,0,IF(A124&lt;$F$6,-GiaDinh_K3!$D$12,IF(A124&lt;$F$7,0,IF(A124&lt;$F$8,-GiaDinh_K3!$D$12,IF(A124&lt;$F$9,0,IF(A124&lt;$F$10,GiaDinh_K3!$D$12,0)))))))</f>
        <v>0</v>
      </c>
      <c r="C124" s="43" t="n">
        <f aca="false">IF(A124&lt;$F$4,GiaDinh_K3!$D$12*A124,IF(A124&lt;$F$5,GiaDinh_K3!$D$11,IF(A124&lt;$F$6,GiaDinh_K3!$D$11-GiaDinh_K3!$D$12*(A124-$F$5),IF(A124&lt;$F$7,0,IF(A124&lt;$F$8,-GiaDinh_K3!$D$12*(A124-$F$7),IF(A124&lt;$F$9,-GiaDinh_K3!$D$11,IF(A124&lt;$F$10,-GiaDinh_K3!$D$11+GiaDinh_K3!$D$12*(A124-$F$9),0)))))))</f>
        <v>0</v>
      </c>
      <c r="D124" s="46" t="n">
        <f aca="false">MAX(0,D123+(C123+C124)/2*$B$5)</f>
        <v>0.12</v>
      </c>
      <c r="E124" s="46" t="n">
        <f aca="false">E123+(D123+D124)/2*$B$5</f>
        <v>0.100995</v>
      </c>
      <c r="F124" s="42" t="n">
        <f aca="false">IF(A124&gt;$F$10,0,IF((Params!$C$21+GiaDinh_K3!$D$8*Params!$C$5*C124)&gt;=0,(Params!$C$21+GiaDinh_K3!$D$8*Params!$C$5*C124)*'Tính chọn'!$D$23/Params!$C$16,(Params!$C$21+GiaDinh_K3!$D$8*Params!$C$5*C124)*'Tính chọn'!$D$23*Params!$C$16)+Catalogue!$F$15*C124/'Tính chọn'!$D$23)</f>
        <v>1.87402954808807</v>
      </c>
      <c r="G124" s="42" t="n">
        <f aca="false">IF(A124&gt;$F$10,0,IF(('Tính chọn'!$D$6+GiaDinh_K3!$D$8*Params!$C$6*C124)&gt;=0,('Tính chọn'!$D$6+GiaDinh_K3!$D$8*Params!$C$6*C124)*'Tính chọn'!$D$23/Params!$C$16,('Tính chọn'!$D$6+GiaDinh_K3!$D$8*Params!$C$6*C124)*'Tính chọn'!$D$23*Params!$C$16)+Catalogue!$F$15*C124/'Tính chọn'!$D$23)</f>
        <v>0.266026940903824</v>
      </c>
      <c r="H124" s="45" t="n">
        <f aca="false">F124*D124/'Tính chọn'!$D$23</f>
        <v>279.46728</v>
      </c>
    </row>
    <row r="125" customFormat="false" ht="14.25" hidden="false" customHeight="false" outlineLevel="0" collapsed="false">
      <c r="A125" s="41" t="n">
        <f aca="false">111*$B$5</f>
        <v>1.11</v>
      </c>
      <c r="B125" s="42" t="n">
        <f aca="false">IF(A125&lt;$F$4,GiaDinh_K3!$D$12,IF(A125&lt;$F$5,0,IF(A125&lt;$F$6,-GiaDinh_K3!$D$12,IF(A125&lt;$F$7,0,IF(A125&lt;$F$8,-GiaDinh_K3!$D$12,IF(A125&lt;$F$9,0,IF(A125&lt;$F$10,GiaDinh_K3!$D$12,0)))))))</f>
        <v>0</v>
      </c>
      <c r="C125" s="43" t="n">
        <f aca="false">IF(A125&lt;$F$4,GiaDinh_K3!$D$12*A125,IF(A125&lt;$F$5,GiaDinh_K3!$D$11,IF(A125&lt;$F$6,GiaDinh_K3!$D$11-GiaDinh_K3!$D$12*(A125-$F$5),IF(A125&lt;$F$7,0,IF(A125&lt;$F$8,-GiaDinh_K3!$D$12*(A125-$F$7),IF(A125&lt;$F$9,-GiaDinh_K3!$D$11,IF(A125&lt;$F$10,-GiaDinh_K3!$D$11+GiaDinh_K3!$D$12*(A125-$F$9),0)))))))</f>
        <v>0</v>
      </c>
      <c r="D125" s="46" t="n">
        <f aca="false">MAX(0,D124+(C124+C125)/2*$B$5)</f>
        <v>0.12</v>
      </c>
      <c r="E125" s="46" t="n">
        <f aca="false">E124+(D124+D125)/2*$B$5</f>
        <v>0.102195</v>
      </c>
      <c r="F125" s="42" t="n">
        <f aca="false">IF(A125&gt;$F$10,0,IF((Params!$C$21+GiaDinh_K3!$D$8*Params!$C$5*C125)&gt;=0,(Params!$C$21+GiaDinh_K3!$D$8*Params!$C$5*C125)*'Tính chọn'!$D$23/Params!$C$16,(Params!$C$21+GiaDinh_K3!$D$8*Params!$C$5*C125)*'Tính chọn'!$D$23*Params!$C$16)+Catalogue!$F$15*C125/'Tính chọn'!$D$23)</f>
        <v>1.87402954808807</v>
      </c>
      <c r="G125" s="42" t="n">
        <f aca="false">IF(A125&gt;$F$10,0,IF(('Tính chọn'!$D$6+GiaDinh_K3!$D$8*Params!$C$6*C125)&gt;=0,('Tính chọn'!$D$6+GiaDinh_K3!$D$8*Params!$C$6*C125)*'Tính chọn'!$D$23/Params!$C$16,('Tính chọn'!$D$6+GiaDinh_K3!$D$8*Params!$C$6*C125)*'Tính chọn'!$D$23*Params!$C$16)+Catalogue!$F$15*C125/'Tính chọn'!$D$23)</f>
        <v>0.266026940903824</v>
      </c>
      <c r="H125" s="45" t="n">
        <f aca="false">F125*D125/'Tính chọn'!$D$23</f>
        <v>279.46728</v>
      </c>
    </row>
    <row r="126" customFormat="false" ht="14.25" hidden="false" customHeight="false" outlineLevel="0" collapsed="false">
      <c r="A126" s="41" t="n">
        <f aca="false">112*$B$5</f>
        <v>1.12</v>
      </c>
      <c r="B126" s="42" t="n">
        <f aca="false">IF(A126&lt;$F$4,GiaDinh_K3!$D$12,IF(A126&lt;$F$5,0,IF(A126&lt;$F$6,-GiaDinh_K3!$D$12,IF(A126&lt;$F$7,0,IF(A126&lt;$F$8,-GiaDinh_K3!$D$12,IF(A126&lt;$F$9,0,IF(A126&lt;$F$10,GiaDinh_K3!$D$12,0)))))))</f>
        <v>0</v>
      </c>
      <c r="C126" s="43" t="n">
        <f aca="false">IF(A126&lt;$F$4,GiaDinh_K3!$D$12*A126,IF(A126&lt;$F$5,GiaDinh_K3!$D$11,IF(A126&lt;$F$6,GiaDinh_K3!$D$11-GiaDinh_K3!$D$12*(A126-$F$5),IF(A126&lt;$F$7,0,IF(A126&lt;$F$8,-GiaDinh_K3!$D$12*(A126-$F$7),IF(A126&lt;$F$9,-GiaDinh_K3!$D$11,IF(A126&lt;$F$10,-GiaDinh_K3!$D$11+GiaDinh_K3!$D$12*(A126-$F$9),0)))))))</f>
        <v>0</v>
      </c>
      <c r="D126" s="46" t="n">
        <f aca="false">MAX(0,D125+(C125+C126)/2*$B$5)</f>
        <v>0.12</v>
      </c>
      <c r="E126" s="46" t="n">
        <f aca="false">E125+(D125+D126)/2*$B$5</f>
        <v>0.103395</v>
      </c>
      <c r="F126" s="42" t="n">
        <f aca="false">IF(A126&gt;$F$10,0,IF((Params!$C$21+GiaDinh_K3!$D$8*Params!$C$5*C126)&gt;=0,(Params!$C$21+GiaDinh_K3!$D$8*Params!$C$5*C126)*'Tính chọn'!$D$23/Params!$C$16,(Params!$C$21+GiaDinh_K3!$D$8*Params!$C$5*C126)*'Tính chọn'!$D$23*Params!$C$16)+Catalogue!$F$15*C126/'Tính chọn'!$D$23)</f>
        <v>1.87402954808807</v>
      </c>
      <c r="G126" s="42" t="n">
        <f aca="false">IF(A126&gt;$F$10,0,IF(('Tính chọn'!$D$6+GiaDinh_K3!$D$8*Params!$C$6*C126)&gt;=0,('Tính chọn'!$D$6+GiaDinh_K3!$D$8*Params!$C$6*C126)*'Tính chọn'!$D$23/Params!$C$16,('Tính chọn'!$D$6+GiaDinh_K3!$D$8*Params!$C$6*C126)*'Tính chọn'!$D$23*Params!$C$16)+Catalogue!$F$15*C126/'Tính chọn'!$D$23)</f>
        <v>0.266026940903824</v>
      </c>
      <c r="H126" s="45" t="n">
        <f aca="false">F126*D126/'Tính chọn'!$D$23</f>
        <v>279.46728</v>
      </c>
    </row>
    <row r="127" customFormat="false" ht="14.25" hidden="false" customHeight="false" outlineLevel="0" collapsed="false">
      <c r="A127" s="41" t="n">
        <f aca="false">113*$B$5</f>
        <v>1.13</v>
      </c>
      <c r="B127" s="42" t="n">
        <f aca="false">IF(A127&lt;$F$4,GiaDinh_K3!$D$12,IF(A127&lt;$F$5,0,IF(A127&lt;$F$6,-GiaDinh_K3!$D$12,IF(A127&lt;$F$7,0,IF(A127&lt;$F$8,-GiaDinh_K3!$D$12,IF(A127&lt;$F$9,0,IF(A127&lt;$F$10,GiaDinh_K3!$D$12,0)))))))</f>
        <v>0</v>
      </c>
      <c r="C127" s="43" t="n">
        <f aca="false">IF(A127&lt;$F$4,GiaDinh_K3!$D$12*A127,IF(A127&lt;$F$5,GiaDinh_K3!$D$11,IF(A127&lt;$F$6,GiaDinh_K3!$D$11-GiaDinh_K3!$D$12*(A127-$F$5),IF(A127&lt;$F$7,0,IF(A127&lt;$F$8,-GiaDinh_K3!$D$12*(A127-$F$7),IF(A127&lt;$F$9,-GiaDinh_K3!$D$11,IF(A127&lt;$F$10,-GiaDinh_K3!$D$11+GiaDinh_K3!$D$12*(A127-$F$9),0)))))))</f>
        <v>0</v>
      </c>
      <c r="D127" s="46" t="n">
        <f aca="false">MAX(0,D126+(C126+C127)/2*$B$5)</f>
        <v>0.12</v>
      </c>
      <c r="E127" s="46" t="n">
        <f aca="false">E126+(D126+D127)/2*$B$5</f>
        <v>0.104595</v>
      </c>
      <c r="F127" s="42" t="n">
        <f aca="false">IF(A127&gt;$F$10,0,IF((Params!$C$21+GiaDinh_K3!$D$8*Params!$C$5*C127)&gt;=0,(Params!$C$21+GiaDinh_K3!$D$8*Params!$C$5*C127)*'Tính chọn'!$D$23/Params!$C$16,(Params!$C$21+GiaDinh_K3!$D$8*Params!$C$5*C127)*'Tính chọn'!$D$23*Params!$C$16)+Catalogue!$F$15*C127/'Tính chọn'!$D$23)</f>
        <v>1.87402954808807</v>
      </c>
      <c r="G127" s="42" t="n">
        <f aca="false">IF(A127&gt;$F$10,0,IF(('Tính chọn'!$D$6+GiaDinh_K3!$D$8*Params!$C$6*C127)&gt;=0,('Tính chọn'!$D$6+GiaDinh_K3!$D$8*Params!$C$6*C127)*'Tính chọn'!$D$23/Params!$C$16,('Tính chọn'!$D$6+GiaDinh_K3!$D$8*Params!$C$6*C127)*'Tính chọn'!$D$23*Params!$C$16)+Catalogue!$F$15*C127/'Tính chọn'!$D$23)</f>
        <v>0.266026940903824</v>
      </c>
      <c r="H127" s="45" t="n">
        <f aca="false">F127*D127/'Tính chọn'!$D$23</f>
        <v>279.46728</v>
      </c>
    </row>
    <row r="128" customFormat="false" ht="14.25" hidden="false" customHeight="false" outlineLevel="0" collapsed="false">
      <c r="A128" s="41" t="n">
        <f aca="false">114*$B$5</f>
        <v>1.14</v>
      </c>
      <c r="B128" s="42" t="n">
        <f aca="false">IF(A128&lt;$F$4,GiaDinh_K3!$D$12,IF(A128&lt;$F$5,0,IF(A128&lt;$F$6,-GiaDinh_K3!$D$12,IF(A128&lt;$F$7,0,IF(A128&lt;$F$8,-GiaDinh_K3!$D$12,IF(A128&lt;$F$9,0,IF(A128&lt;$F$10,GiaDinh_K3!$D$12,0)))))))</f>
        <v>0</v>
      </c>
      <c r="C128" s="43" t="n">
        <f aca="false">IF(A128&lt;$F$4,GiaDinh_K3!$D$12*A128,IF(A128&lt;$F$5,GiaDinh_K3!$D$11,IF(A128&lt;$F$6,GiaDinh_K3!$D$11-GiaDinh_K3!$D$12*(A128-$F$5),IF(A128&lt;$F$7,0,IF(A128&lt;$F$8,-GiaDinh_K3!$D$12*(A128-$F$7),IF(A128&lt;$F$9,-GiaDinh_K3!$D$11,IF(A128&lt;$F$10,-GiaDinh_K3!$D$11+GiaDinh_K3!$D$12*(A128-$F$9),0)))))))</f>
        <v>0</v>
      </c>
      <c r="D128" s="46" t="n">
        <f aca="false">MAX(0,D127+(C127+C128)/2*$B$5)</f>
        <v>0.12</v>
      </c>
      <c r="E128" s="46" t="n">
        <f aca="false">E127+(D127+D128)/2*$B$5</f>
        <v>0.105795</v>
      </c>
      <c r="F128" s="42" t="n">
        <f aca="false">IF(A128&gt;$F$10,0,IF((Params!$C$21+GiaDinh_K3!$D$8*Params!$C$5*C128)&gt;=0,(Params!$C$21+GiaDinh_K3!$D$8*Params!$C$5*C128)*'Tính chọn'!$D$23/Params!$C$16,(Params!$C$21+GiaDinh_K3!$D$8*Params!$C$5*C128)*'Tính chọn'!$D$23*Params!$C$16)+Catalogue!$F$15*C128/'Tính chọn'!$D$23)</f>
        <v>1.87402954808807</v>
      </c>
      <c r="G128" s="42" t="n">
        <f aca="false">IF(A128&gt;$F$10,0,IF(('Tính chọn'!$D$6+GiaDinh_K3!$D$8*Params!$C$6*C128)&gt;=0,('Tính chọn'!$D$6+GiaDinh_K3!$D$8*Params!$C$6*C128)*'Tính chọn'!$D$23/Params!$C$16,('Tính chọn'!$D$6+GiaDinh_K3!$D$8*Params!$C$6*C128)*'Tính chọn'!$D$23*Params!$C$16)+Catalogue!$F$15*C128/'Tính chọn'!$D$23)</f>
        <v>0.266026940903824</v>
      </c>
      <c r="H128" s="45" t="n">
        <f aca="false">F128*D128/'Tính chọn'!$D$23</f>
        <v>279.46728</v>
      </c>
    </row>
    <row r="129" customFormat="false" ht="14.25" hidden="false" customHeight="false" outlineLevel="0" collapsed="false">
      <c r="A129" s="41" t="n">
        <f aca="false">115*$B$5</f>
        <v>1.15</v>
      </c>
      <c r="B129" s="42" t="n">
        <f aca="false">IF(A129&lt;$F$4,GiaDinh_K3!$D$12,IF(A129&lt;$F$5,0,IF(A129&lt;$F$6,-GiaDinh_K3!$D$12,IF(A129&lt;$F$7,0,IF(A129&lt;$F$8,-GiaDinh_K3!$D$12,IF(A129&lt;$F$9,0,IF(A129&lt;$F$10,GiaDinh_K3!$D$12,0)))))))</f>
        <v>0</v>
      </c>
      <c r="C129" s="43" t="n">
        <f aca="false">IF(A129&lt;$F$4,GiaDinh_K3!$D$12*A129,IF(A129&lt;$F$5,GiaDinh_K3!$D$11,IF(A129&lt;$F$6,GiaDinh_K3!$D$11-GiaDinh_K3!$D$12*(A129-$F$5),IF(A129&lt;$F$7,0,IF(A129&lt;$F$8,-GiaDinh_K3!$D$12*(A129-$F$7),IF(A129&lt;$F$9,-GiaDinh_K3!$D$11,IF(A129&lt;$F$10,-GiaDinh_K3!$D$11+GiaDinh_K3!$D$12*(A129-$F$9),0)))))))</f>
        <v>0</v>
      </c>
      <c r="D129" s="46" t="n">
        <f aca="false">MAX(0,D128+(C128+C129)/2*$B$5)</f>
        <v>0.12</v>
      </c>
      <c r="E129" s="46" t="n">
        <f aca="false">E128+(D128+D129)/2*$B$5</f>
        <v>0.106995</v>
      </c>
      <c r="F129" s="42" t="n">
        <f aca="false">IF(A129&gt;$F$10,0,IF((Params!$C$21+GiaDinh_K3!$D$8*Params!$C$5*C129)&gt;=0,(Params!$C$21+GiaDinh_K3!$D$8*Params!$C$5*C129)*'Tính chọn'!$D$23/Params!$C$16,(Params!$C$21+GiaDinh_K3!$D$8*Params!$C$5*C129)*'Tính chọn'!$D$23*Params!$C$16)+Catalogue!$F$15*C129/'Tính chọn'!$D$23)</f>
        <v>1.87402954808807</v>
      </c>
      <c r="G129" s="42" t="n">
        <f aca="false">IF(A129&gt;$F$10,0,IF(('Tính chọn'!$D$6+GiaDinh_K3!$D$8*Params!$C$6*C129)&gt;=0,('Tính chọn'!$D$6+GiaDinh_K3!$D$8*Params!$C$6*C129)*'Tính chọn'!$D$23/Params!$C$16,('Tính chọn'!$D$6+GiaDinh_K3!$D$8*Params!$C$6*C129)*'Tính chọn'!$D$23*Params!$C$16)+Catalogue!$F$15*C129/'Tính chọn'!$D$23)</f>
        <v>0.266026940903824</v>
      </c>
      <c r="H129" s="45" t="n">
        <f aca="false">F129*D129/'Tính chọn'!$D$23</f>
        <v>279.46728</v>
      </c>
    </row>
    <row r="130" customFormat="false" ht="14.25" hidden="false" customHeight="false" outlineLevel="0" collapsed="false">
      <c r="A130" s="41" t="n">
        <f aca="false">116*$B$5</f>
        <v>1.16</v>
      </c>
      <c r="B130" s="42" t="n">
        <f aca="false">IF(A130&lt;$F$4,GiaDinh_K3!$D$12,IF(A130&lt;$F$5,0,IF(A130&lt;$F$6,-GiaDinh_K3!$D$12,IF(A130&lt;$F$7,0,IF(A130&lt;$F$8,-GiaDinh_K3!$D$12,IF(A130&lt;$F$9,0,IF(A130&lt;$F$10,GiaDinh_K3!$D$12,0)))))))</f>
        <v>0</v>
      </c>
      <c r="C130" s="43" t="n">
        <f aca="false">IF(A130&lt;$F$4,GiaDinh_K3!$D$12*A130,IF(A130&lt;$F$5,GiaDinh_K3!$D$11,IF(A130&lt;$F$6,GiaDinh_K3!$D$11-GiaDinh_K3!$D$12*(A130-$F$5),IF(A130&lt;$F$7,0,IF(A130&lt;$F$8,-GiaDinh_K3!$D$12*(A130-$F$7),IF(A130&lt;$F$9,-GiaDinh_K3!$D$11,IF(A130&lt;$F$10,-GiaDinh_K3!$D$11+GiaDinh_K3!$D$12*(A130-$F$9),0)))))))</f>
        <v>0</v>
      </c>
      <c r="D130" s="46" t="n">
        <f aca="false">MAX(0,D129+(C129+C130)/2*$B$5)</f>
        <v>0.12</v>
      </c>
      <c r="E130" s="46" t="n">
        <f aca="false">E129+(D129+D130)/2*$B$5</f>
        <v>0.108195</v>
      </c>
      <c r="F130" s="42" t="n">
        <f aca="false">IF(A130&gt;$F$10,0,IF((Params!$C$21+GiaDinh_K3!$D$8*Params!$C$5*C130)&gt;=0,(Params!$C$21+GiaDinh_K3!$D$8*Params!$C$5*C130)*'Tính chọn'!$D$23/Params!$C$16,(Params!$C$21+GiaDinh_K3!$D$8*Params!$C$5*C130)*'Tính chọn'!$D$23*Params!$C$16)+Catalogue!$F$15*C130/'Tính chọn'!$D$23)</f>
        <v>1.87402954808807</v>
      </c>
      <c r="G130" s="42" t="n">
        <f aca="false">IF(A130&gt;$F$10,0,IF(('Tính chọn'!$D$6+GiaDinh_K3!$D$8*Params!$C$6*C130)&gt;=0,('Tính chọn'!$D$6+GiaDinh_K3!$D$8*Params!$C$6*C130)*'Tính chọn'!$D$23/Params!$C$16,('Tính chọn'!$D$6+GiaDinh_K3!$D$8*Params!$C$6*C130)*'Tính chọn'!$D$23*Params!$C$16)+Catalogue!$F$15*C130/'Tính chọn'!$D$23)</f>
        <v>0.266026940903824</v>
      </c>
      <c r="H130" s="45" t="n">
        <f aca="false">F130*D130/'Tính chọn'!$D$23</f>
        <v>279.46728</v>
      </c>
    </row>
    <row r="131" customFormat="false" ht="14.25" hidden="false" customHeight="false" outlineLevel="0" collapsed="false">
      <c r="A131" s="41" t="n">
        <f aca="false">117*$B$5</f>
        <v>1.17</v>
      </c>
      <c r="B131" s="42" t="n">
        <f aca="false">IF(A131&lt;$F$4,GiaDinh_K3!$D$12,IF(A131&lt;$F$5,0,IF(A131&lt;$F$6,-GiaDinh_K3!$D$12,IF(A131&lt;$F$7,0,IF(A131&lt;$F$8,-GiaDinh_K3!$D$12,IF(A131&lt;$F$9,0,IF(A131&lt;$F$10,GiaDinh_K3!$D$12,0)))))))</f>
        <v>0</v>
      </c>
      <c r="C131" s="43" t="n">
        <f aca="false">IF(A131&lt;$F$4,GiaDinh_K3!$D$12*A131,IF(A131&lt;$F$5,GiaDinh_K3!$D$11,IF(A131&lt;$F$6,GiaDinh_K3!$D$11-GiaDinh_K3!$D$12*(A131-$F$5),IF(A131&lt;$F$7,0,IF(A131&lt;$F$8,-GiaDinh_K3!$D$12*(A131-$F$7),IF(A131&lt;$F$9,-GiaDinh_K3!$D$11,IF(A131&lt;$F$10,-GiaDinh_K3!$D$11+GiaDinh_K3!$D$12*(A131-$F$9),0)))))))</f>
        <v>0</v>
      </c>
      <c r="D131" s="46" t="n">
        <f aca="false">MAX(0,D130+(C130+C131)/2*$B$5)</f>
        <v>0.12</v>
      </c>
      <c r="E131" s="46" t="n">
        <f aca="false">E130+(D130+D131)/2*$B$5</f>
        <v>0.109395</v>
      </c>
      <c r="F131" s="42" t="n">
        <f aca="false">IF(A131&gt;$F$10,0,IF((Params!$C$21+GiaDinh_K3!$D$8*Params!$C$5*C131)&gt;=0,(Params!$C$21+GiaDinh_K3!$D$8*Params!$C$5*C131)*'Tính chọn'!$D$23/Params!$C$16,(Params!$C$21+GiaDinh_K3!$D$8*Params!$C$5*C131)*'Tính chọn'!$D$23*Params!$C$16)+Catalogue!$F$15*C131/'Tính chọn'!$D$23)</f>
        <v>1.87402954808807</v>
      </c>
      <c r="G131" s="42" t="n">
        <f aca="false">IF(A131&gt;$F$10,0,IF(('Tính chọn'!$D$6+GiaDinh_K3!$D$8*Params!$C$6*C131)&gt;=0,('Tính chọn'!$D$6+GiaDinh_K3!$D$8*Params!$C$6*C131)*'Tính chọn'!$D$23/Params!$C$16,('Tính chọn'!$D$6+GiaDinh_K3!$D$8*Params!$C$6*C131)*'Tính chọn'!$D$23*Params!$C$16)+Catalogue!$F$15*C131/'Tính chọn'!$D$23)</f>
        <v>0.266026940903824</v>
      </c>
      <c r="H131" s="45" t="n">
        <f aca="false">F131*D131/'Tính chọn'!$D$23</f>
        <v>279.46728</v>
      </c>
    </row>
    <row r="132" customFormat="false" ht="14.25" hidden="false" customHeight="false" outlineLevel="0" collapsed="false">
      <c r="A132" s="41" t="n">
        <f aca="false">118*$B$5</f>
        <v>1.18</v>
      </c>
      <c r="B132" s="42" t="n">
        <f aca="false">IF(A132&lt;$F$4,GiaDinh_K3!$D$12,IF(A132&lt;$F$5,0,IF(A132&lt;$F$6,-GiaDinh_K3!$D$12,IF(A132&lt;$F$7,0,IF(A132&lt;$F$8,-GiaDinh_K3!$D$12,IF(A132&lt;$F$9,0,IF(A132&lt;$F$10,GiaDinh_K3!$D$12,0)))))))</f>
        <v>0</v>
      </c>
      <c r="C132" s="43" t="n">
        <f aca="false">IF(A132&lt;$F$4,GiaDinh_K3!$D$12*A132,IF(A132&lt;$F$5,GiaDinh_K3!$D$11,IF(A132&lt;$F$6,GiaDinh_K3!$D$11-GiaDinh_K3!$D$12*(A132-$F$5),IF(A132&lt;$F$7,0,IF(A132&lt;$F$8,-GiaDinh_K3!$D$12*(A132-$F$7),IF(A132&lt;$F$9,-GiaDinh_K3!$D$11,IF(A132&lt;$F$10,-GiaDinh_K3!$D$11+GiaDinh_K3!$D$12*(A132-$F$9),0)))))))</f>
        <v>0</v>
      </c>
      <c r="D132" s="46" t="n">
        <f aca="false">MAX(0,D131+(C131+C132)/2*$B$5)</f>
        <v>0.12</v>
      </c>
      <c r="E132" s="46" t="n">
        <f aca="false">E131+(D131+D132)/2*$B$5</f>
        <v>0.110595</v>
      </c>
      <c r="F132" s="42" t="n">
        <f aca="false">IF(A132&gt;$F$10,0,IF((Params!$C$21+GiaDinh_K3!$D$8*Params!$C$5*C132)&gt;=0,(Params!$C$21+GiaDinh_K3!$D$8*Params!$C$5*C132)*'Tính chọn'!$D$23/Params!$C$16,(Params!$C$21+GiaDinh_K3!$D$8*Params!$C$5*C132)*'Tính chọn'!$D$23*Params!$C$16)+Catalogue!$F$15*C132/'Tính chọn'!$D$23)</f>
        <v>1.87402954808807</v>
      </c>
      <c r="G132" s="42" t="n">
        <f aca="false">IF(A132&gt;$F$10,0,IF(('Tính chọn'!$D$6+GiaDinh_K3!$D$8*Params!$C$6*C132)&gt;=0,('Tính chọn'!$D$6+GiaDinh_K3!$D$8*Params!$C$6*C132)*'Tính chọn'!$D$23/Params!$C$16,('Tính chọn'!$D$6+GiaDinh_K3!$D$8*Params!$C$6*C132)*'Tính chọn'!$D$23*Params!$C$16)+Catalogue!$F$15*C132/'Tính chọn'!$D$23)</f>
        <v>0.266026940903824</v>
      </c>
      <c r="H132" s="45" t="n">
        <f aca="false">F132*D132/'Tính chọn'!$D$23</f>
        <v>279.46728</v>
      </c>
    </row>
    <row r="133" customFormat="false" ht="14.25" hidden="false" customHeight="false" outlineLevel="0" collapsed="false">
      <c r="A133" s="41" t="n">
        <f aca="false">119*$B$5</f>
        <v>1.19</v>
      </c>
      <c r="B133" s="42" t="n">
        <f aca="false">IF(A133&lt;$F$4,GiaDinh_K3!$D$12,IF(A133&lt;$F$5,0,IF(A133&lt;$F$6,-GiaDinh_K3!$D$12,IF(A133&lt;$F$7,0,IF(A133&lt;$F$8,-GiaDinh_K3!$D$12,IF(A133&lt;$F$9,0,IF(A133&lt;$F$10,GiaDinh_K3!$D$12,0)))))))</f>
        <v>0</v>
      </c>
      <c r="C133" s="43" t="n">
        <f aca="false">IF(A133&lt;$F$4,GiaDinh_K3!$D$12*A133,IF(A133&lt;$F$5,GiaDinh_K3!$D$11,IF(A133&lt;$F$6,GiaDinh_K3!$D$11-GiaDinh_K3!$D$12*(A133-$F$5),IF(A133&lt;$F$7,0,IF(A133&lt;$F$8,-GiaDinh_K3!$D$12*(A133-$F$7),IF(A133&lt;$F$9,-GiaDinh_K3!$D$11,IF(A133&lt;$F$10,-GiaDinh_K3!$D$11+GiaDinh_K3!$D$12*(A133-$F$9),0)))))))</f>
        <v>0</v>
      </c>
      <c r="D133" s="46" t="n">
        <f aca="false">MAX(0,D132+(C132+C133)/2*$B$5)</f>
        <v>0.12</v>
      </c>
      <c r="E133" s="46" t="n">
        <f aca="false">E132+(D132+D133)/2*$B$5</f>
        <v>0.111795</v>
      </c>
      <c r="F133" s="42" t="n">
        <f aca="false">IF(A133&gt;$F$10,0,IF((Params!$C$21+GiaDinh_K3!$D$8*Params!$C$5*C133)&gt;=0,(Params!$C$21+GiaDinh_K3!$D$8*Params!$C$5*C133)*'Tính chọn'!$D$23/Params!$C$16,(Params!$C$21+GiaDinh_K3!$D$8*Params!$C$5*C133)*'Tính chọn'!$D$23*Params!$C$16)+Catalogue!$F$15*C133/'Tính chọn'!$D$23)</f>
        <v>1.87402954808807</v>
      </c>
      <c r="G133" s="42" t="n">
        <f aca="false">IF(A133&gt;$F$10,0,IF(('Tính chọn'!$D$6+GiaDinh_K3!$D$8*Params!$C$6*C133)&gt;=0,('Tính chọn'!$D$6+GiaDinh_K3!$D$8*Params!$C$6*C133)*'Tính chọn'!$D$23/Params!$C$16,('Tính chọn'!$D$6+GiaDinh_K3!$D$8*Params!$C$6*C133)*'Tính chọn'!$D$23*Params!$C$16)+Catalogue!$F$15*C133/'Tính chọn'!$D$23)</f>
        <v>0.266026940903824</v>
      </c>
      <c r="H133" s="45" t="n">
        <f aca="false">F133*D133/'Tính chọn'!$D$23</f>
        <v>279.46728</v>
      </c>
    </row>
    <row r="134" customFormat="false" ht="14.25" hidden="false" customHeight="false" outlineLevel="0" collapsed="false">
      <c r="A134" s="41" t="n">
        <f aca="false">120*$B$5</f>
        <v>1.2</v>
      </c>
      <c r="B134" s="42" t="n">
        <f aca="false">IF(A134&lt;$F$4,GiaDinh_K3!$D$12,IF(A134&lt;$F$5,0,IF(A134&lt;$F$6,-GiaDinh_K3!$D$12,IF(A134&lt;$F$7,0,IF(A134&lt;$F$8,-GiaDinh_K3!$D$12,IF(A134&lt;$F$9,0,IF(A134&lt;$F$10,GiaDinh_K3!$D$12,0)))))))</f>
        <v>0</v>
      </c>
      <c r="C134" s="43" t="n">
        <f aca="false">IF(A134&lt;$F$4,GiaDinh_K3!$D$12*A134,IF(A134&lt;$F$5,GiaDinh_K3!$D$11,IF(A134&lt;$F$6,GiaDinh_K3!$D$11-GiaDinh_K3!$D$12*(A134-$F$5),IF(A134&lt;$F$7,0,IF(A134&lt;$F$8,-GiaDinh_K3!$D$12*(A134-$F$7),IF(A134&lt;$F$9,-GiaDinh_K3!$D$11,IF(A134&lt;$F$10,-GiaDinh_K3!$D$11+GiaDinh_K3!$D$12*(A134-$F$9),0)))))))</f>
        <v>0</v>
      </c>
      <c r="D134" s="46" t="n">
        <f aca="false">MAX(0,D133+(C133+C134)/2*$B$5)</f>
        <v>0.12</v>
      </c>
      <c r="E134" s="46" t="n">
        <f aca="false">E133+(D133+D134)/2*$B$5</f>
        <v>0.112995</v>
      </c>
      <c r="F134" s="42" t="n">
        <f aca="false">IF(A134&gt;$F$10,0,IF((Params!$C$21+GiaDinh_K3!$D$8*Params!$C$5*C134)&gt;=0,(Params!$C$21+GiaDinh_K3!$D$8*Params!$C$5*C134)*'Tính chọn'!$D$23/Params!$C$16,(Params!$C$21+GiaDinh_K3!$D$8*Params!$C$5*C134)*'Tính chọn'!$D$23*Params!$C$16)+Catalogue!$F$15*C134/'Tính chọn'!$D$23)</f>
        <v>1.87402954808807</v>
      </c>
      <c r="G134" s="42" t="n">
        <f aca="false">IF(A134&gt;$F$10,0,IF(('Tính chọn'!$D$6+GiaDinh_K3!$D$8*Params!$C$6*C134)&gt;=0,('Tính chọn'!$D$6+GiaDinh_K3!$D$8*Params!$C$6*C134)*'Tính chọn'!$D$23/Params!$C$16,('Tính chọn'!$D$6+GiaDinh_K3!$D$8*Params!$C$6*C134)*'Tính chọn'!$D$23*Params!$C$16)+Catalogue!$F$15*C134/'Tính chọn'!$D$23)</f>
        <v>0.266026940903824</v>
      </c>
      <c r="H134" s="45" t="n">
        <f aca="false">F134*D134/'Tính chọn'!$D$23</f>
        <v>279.46728</v>
      </c>
    </row>
    <row r="135" customFormat="false" ht="14.25" hidden="false" customHeight="false" outlineLevel="0" collapsed="false">
      <c r="A135" s="41" t="n">
        <f aca="false">121*$B$5</f>
        <v>1.21</v>
      </c>
      <c r="B135" s="42" t="n">
        <f aca="false">IF(A135&lt;$F$4,GiaDinh_K3!$D$12,IF(A135&lt;$F$5,0,IF(A135&lt;$F$6,-GiaDinh_K3!$D$12,IF(A135&lt;$F$7,0,IF(A135&lt;$F$8,-GiaDinh_K3!$D$12,IF(A135&lt;$F$9,0,IF(A135&lt;$F$10,GiaDinh_K3!$D$12,0)))))))</f>
        <v>0</v>
      </c>
      <c r="C135" s="43" t="n">
        <f aca="false">IF(A135&lt;$F$4,GiaDinh_K3!$D$12*A135,IF(A135&lt;$F$5,GiaDinh_K3!$D$11,IF(A135&lt;$F$6,GiaDinh_K3!$D$11-GiaDinh_K3!$D$12*(A135-$F$5),IF(A135&lt;$F$7,0,IF(A135&lt;$F$8,-GiaDinh_K3!$D$12*(A135-$F$7),IF(A135&lt;$F$9,-GiaDinh_K3!$D$11,IF(A135&lt;$F$10,-GiaDinh_K3!$D$11+GiaDinh_K3!$D$12*(A135-$F$9),0)))))))</f>
        <v>0</v>
      </c>
      <c r="D135" s="46" t="n">
        <f aca="false">MAX(0,D134+(C134+C135)/2*$B$5)</f>
        <v>0.12</v>
      </c>
      <c r="E135" s="46" t="n">
        <f aca="false">E134+(D134+D135)/2*$B$5</f>
        <v>0.114195</v>
      </c>
      <c r="F135" s="42" t="n">
        <f aca="false">IF(A135&gt;$F$10,0,IF((Params!$C$21+GiaDinh_K3!$D$8*Params!$C$5*C135)&gt;=0,(Params!$C$21+GiaDinh_K3!$D$8*Params!$C$5*C135)*'Tính chọn'!$D$23/Params!$C$16,(Params!$C$21+GiaDinh_K3!$D$8*Params!$C$5*C135)*'Tính chọn'!$D$23*Params!$C$16)+Catalogue!$F$15*C135/'Tính chọn'!$D$23)</f>
        <v>1.87402954808807</v>
      </c>
      <c r="G135" s="42" t="n">
        <f aca="false">IF(A135&gt;$F$10,0,IF(('Tính chọn'!$D$6+GiaDinh_K3!$D$8*Params!$C$6*C135)&gt;=0,('Tính chọn'!$D$6+GiaDinh_K3!$D$8*Params!$C$6*C135)*'Tính chọn'!$D$23/Params!$C$16,('Tính chọn'!$D$6+GiaDinh_K3!$D$8*Params!$C$6*C135)*'Tính chọn'!$D$23*Params!$C$16)+Catalogue!$F$15*C135/'Tính chọn'!$D$23)</f>
        <v>0.266026940903824</v>
      </c>
      <c r="H135" s="45" t="n">
        <f aca="false">F135*D135/'Tính chọn'!$D$23</f>
        <v>279.46728</v>
      </c>
    </row>
    <row r="136" customFormat="false" ht="14.25" hidden="false" customHeight="false" outlineLevel="0" collapsed="false">
      <c r="A136" s="41" t="n">
        <f aca="false">122*$B$5</f>
        <v>1.22</v>
      </c>
      <c r="B136" s="42" t="n">
        <f aca="false">IF(A136&lt;$F$4,GiaDinh_K3!$D$12,IF(A136&lt;$F$5,0,IF(A136&lt;$F$6,-GiaDinh_K3!$D$12,IF(A136&lt;$F$7,0,IF(A136&lt;$F$8,-GiaDinh_K3!$D$12,IF(A136&lt;$F$9,0,IF(A136&lt;$F$10,GiaDinh_K3!$D$12,0)))))))</f>
        <v>0</v>
      </c>
      <c r="C136" s="43" t="n">
        <f aca="false">IF(A136&lt;$F$4,GiaDinh_K3!$D$12*A136,IF(A136&lt;$F$5,GiaDinh_K3!$D$11,IF(A136&lt;$F$6,GiaDinh_K3!$D$11-GiaDinh_K3!$D$12*(A136-$F$5),IF(A136&lt;$F$7,0,IF(A136&lt;$F$8,-GiaDinh_K3!$D$12*(A136-$F$7),IF(A136&lt;$F$9,-GiaDinh_K3!$D$11,IF(A136&lt;$F$10,-GiaDinh_K3!$D$11+GiaDinh_K3!$D$12*(A136-$F$9),0)))))))</f>
        <v>0</v>
      </c>
      <c r="D136" s="46" t="n">
        <f aca="false">MAX(0,D135+(C135+C136)/2*$B$5)</f>
        <v>0.12</v>
      </c>
      <c r="E136" s="46" t="n">
        <f aca="false">E135+(D135+D136)/2*$B$5</f>
        <v>0.115395</v>
      </c>
      <c r="F136" s="42" t="n">
        <f aca="false">IF(A136&gt;$F$10,0,IF((Params!$C$21+GiaDinh_K3!$D$8*Params!$C$5*C136)&gt;=0,(Params!$C$21+GiaDinh_K3!$D$8*Params!$C$5*C136)*'Tính chọn'!$D$23/Params!$C$16,(Params!$C$21+GiaDinh_K3!$D$8*Params!$C$5*C136)*'Tính chọn'!$D$23*Params!$C$16)+Catalogue!$F$15*C136/'Tính chọn'!$D$23)</f>
        <v>1.87402954808807</v>
      </c>
      <c r="G136" s="42" t="n">
        <f aca="false">IF(A136&gt;$F$10,0,IF(('Tính chọn'!$D$6+GiaDinh_K3!$D$8*Params!$C$6*C136)&gt;=0,('Tính chọn'!$D$6+GiaDinh_K3!$D$8*Params!$C$6*C136)*'Tính chọn'!$D$23/Params!$C$16,('Tính chọn'!$D$6+GiaDinh_K3!$D$8*Params!$C$6*C136)*'Tính chọn'!$D$23*Params!$C$16)+Catalogue!$F$15*C136/'Tính chọn'!$D$23)</f>
        <v>0.266026940903824</v>
      </c>
      <c r="H136" s="45" t="n">
        <f aca="false">F136*D136/'Tính chọn'!$D$23</f>
        <v>279.46728</v>
      </c>
    </row>
    <row r="137" customFormat="false" ht="14.25" hidden="false" customHeight="false" outlineLevel="0" collapsed="false">
      <c r="A137" s="41" t="n">
        <f aca="false">123*$B$5</f>
        <v>1.23</v>
      </c>
      <c r="B137" s="42" t="n">
        <f aca="false">IF(A137&lt;$F$4,GiaDinh_K3!$D$12,IF(A137&lt;$F$5,0,IF(A137&lt;$F$6,-GiaDinh_K3!$D$12,IF(A137&lt;$F$7,0,IF(A137&lt;$F$8,-GiaDinh_K3!$D$12,IF(A137&lt;$F$9,0,IF(A137&lt;$F$10,GiaDinh_K3!$D$12,0)))))))</f>
        <v>0</v>
      </c>
      <c r="C137" s="43" t="n">
        <f aca="false">IF(A137&lt;$F$4,GiaDinh_K3!$D$12*A137,IF(A137&lt;$F$5,GiaDinh_K3!$D$11,IF(A137&lt;$F$6,GiaDinh_K3!$D$11-GiaDinh_K3!$D$12*(A137-$F$5),IF(A137&lt;$F$7,0,IF(A137&lt;$F$8,-GiaDinh_K3!$D$12*(A137-$F$7),IF(A137&lt;$F$9,-GiaDinh_K3!$D$11,IF(A137&lt;$F$10,-GiaDinh_K3!$D$11+GiaDinh_K3!$D$12*(A137-$F$9),0)))))))</f>
        <v>0</v>
      </c>
      <c r="D137" s="46" t="n">
        <f aca="false">MAX(0,D136+(C136+C137)/2*$B$5)</f>
        <v>0.12</v>
      </c>
      <c r="E137" s="46" t="n">
        <f aca="false">E136+(D136+D137)/2*$B$5</f>
        <v>0.116595</v>
      </c>
      <c r="F137" s="42" t="n">
        <f aca="false">IF(A137&gt;$F$10,0,IF((Params!$C$21+GiaDinh_K3!$D$8*Params!$C$5*C137)&gt;=0,(Params!$C$21+GiaDinh_K3!$D$8*Params!$C$5*C137)*'Tính chọn'!$D$23/Params!$C$16,(Params!$C$21+GiaDinh_K3!$D$8*Params!$C$5*C137)*'Tính chọn'!$D$23*Params!$C$16)+Catalogue!$F$15*C137/'Tính chọn'!$D$23)</f>
        <v>1.87402954808807</v>
      </c>
      <c r="G137" s="42" t="n">
        <f aca="false">IF(A137&gt;$F$10,0,IF(('Tính chọn'!$D$6+GiaDinh_K3!$D$8*Params!$C$6*C137)&gt;=0,('Tính chọn'!$D$6+GiaDinh_K3!$D$8*Params!$C$6*C137)*'Tính chọn'!$D$23/Params!$C$16,('Tính chọn'!$D$6+GiaDinh_K3!$D$8*Params!$C$6*C137)*'Tính chọn'!$D$23*Params!$C$16)+Catalogue!$F$15*C137/'Tính chọn'!$D$23)</f>
        <v>0.266026940903824</v>
      </c>
      <c r="H137" s="45" t="n">
        <f aca="false">F137*D137/'Tính chọn'!$D$23</f>
        <v>279.46728</v>
      </c>
    </row>
    <row r="138" customFormat="false" ht="14.25" hidden="false" customHeight="false" outlineLevel="0" collapsed="false">
      <c r="A138" s="41" t="n">
        <f aca="false">124*$B$5</f>
        <v>1.24</v>
      </c>
      <c r="B138" s="42" t="n">
        <f aca="false">IF(A138&lt;$F$4,GiaDinh_K3!$D$12,IF(A138&lt;$F$5,0,IF(A138&lt;$F$6,-GiaDinh_K3!$D$12,IF(A138&lt;$F$7,0,IF(A138&lt;$F$8,-GiaDinh_K3!$D$12,IF(A138&lt;$F$9,0,IF(A138&lt;$F$10,GiaDinh_K3!$D$12,0)))))))</f>
        <v>0</v>
      </c>
      <c r="C138" s="43" t="n">
        <f aca="false">IF(A138&lt;$F$4,GiaDinh_K3!$D$12*A138,IF(A138&lt;$F$5,GiaDinh_K3!$D$11,IF(A138&lt;$F$6,GiaDinh_K3!$D$11-GiaDinh_K3!$D$12*(A138-$F$5),IF(A138&lt;$F$7,0,IF(A138&lt;$F$8,-GiaDinh_K3!$D$12*(A138-$F$7),IF(A138&lt;$F$9,-GiaDinh_K3!$D$11,IF(A138&lt;$F$10,-GiaDinh_K3!$D$11+GiaDinh_K3!$D$12*(A138-$F$9),0)))))))</f>
        <v>0</v>
      </c>
      <c r="D138" s="46" t="n">
        <f aca="false">MAX(0,D137+(C137+C138)/2*$B$5)</f>
        <v>0.12</v>
      </c>
      <c r="E138" s="46" t="n">
        <f aca="false">E137+(D137+D138)/2*$B$5</f>
        <v>0.117795</v>
      </c>
      <c r="F138" s="42" t="n">
        <f aca="false">IF(A138&gt;$F$10,0,IF((Params!$C$21+GiaDinh_K3!$D$8*Params!$C$5*C138)&gt;=0,(Params!$C$21+GiaDinh_K3!$D$8*Params!$C$5*C138)*'Tính chọn'!$D$23/Params!$C$16,(Params!$C$21+GiaDinh_K3!$D$8*Params!$C$5*C138)*'Tính chọn'!$D$23*Params!$C$16)+Catalogue!$F$15*C138/'Tính chọn'!$D$23)</f>
        <v>1.87402954808807</v>
      </c>
      <c r="G138" s="42" t="n">
        <f aca="false">IF(A138&gt;$F$10,0,IF(('Tính chọn'!$D$6+GiaDinh_K3!$D$8*Params!$C$6*C138)&gt;=0,('Tính chọn'!$D$6+GiaDinh_K3!$D$8*Params!$C$6*C138)*'Tính chọn'!$D$23/Params!$C$16,('Tính chọn'!$D$6+GiaDinh_K3!$D$8*Params!$C$6*C138)*'Tính chọn'!$D$23*Params!$C$16)+Catalogue!$F$15*C138/'Tính chọn'!$D$23)</f>
        <v>0.266026940903824</v>
      </c>
      <c r="H138" s="45" t="n">
        <f aca="false">F138*D138/'Tính chọn'!$D$23</f>
        <v>279.46728</v>
      </c>
    </row>
    <row r="139" customFormat="false" ht="14.25" hidden="false" customHeight="false" outlineLevel="0" collapsed="false">
      <c r="A139" s="41" t="n">
        <f aca="false">125*$B$5</f>
        <v>1.25</v>
      </c>
      <c r="B139" s="42" t="n">
        <f aca="false">IF(A139&lt;$F$4,GiaDinh_K3!$D$12,IF(A139&lt;$F$5,0,IF(A139&lt;$F$6,-GiaDinh_K3!$D$12,IF(A139&lt;$F$7,0,IF(A139&lt;$F$8,-GiaDinh_K3!$D$12,IF(A139&lt;$F$9,0,IF(A139&lt;$F$10,GiaDinh_K3!$D$12,0)))))))</f>
        <v>0</v>
      </c>
      <c r="C139" s="43" t="n">
        <f aca="false">IF(A139&lt;$F$4,GiaDinh_K3!$D$12*A139,IF(A139&lt;$F$5,GiaDinh_K3!$D$11,IF(A139&lt;$F$6,GiaDinh_K3!$D$11-GiaDinh_K3!$D$12*(A139-$F$5),IF(A139&lt;$F$7,0,IF(A139&lt;$F$8,-GiaDinh_K3!$D$12*(A139-$F$7),IF(A139&lt;$F$9,-GiaDinh_K3!$D$11,IF(A139&lt;$F$10,-GiaDinh_K3!$D$11+GiaDinh_K3!$D$12*(A139-$F$9),0)))))))</f>
        <v>0</v>
      </c>
      <c r="D139" s="46" t="n">
        <f aca="false">MAX(0,D138+(C138+C139)/2*$B$5)</f>
        <v>0.12</v>
      </c>
      <c r="E139" s="46" t="n">
        <f aca="false">E138+(D138+D139)/2*$B$5</f>
        <v>0.118995</v>
      </c>
      <c r="F139" s="42" t="n">
        <f aca="false">IF(A139&gt;$F$10,0,IF((Params!$C$21+GiaDinh_K3!$D$8*Params!$C$5*C139)&gt;=0,(Params!$C$21+GiaDinh_K3!$D$8*Params!$C$5*C139)*'Tính chọn'!$D$23/Params!$C$16,(Params!$C$21+GiaDinh_K3!$D$8*Params!$C$5*C139)*'Tính chọn'!$D$23*Params!$C$16)+Catalogue!$F$15*C139/'Tính chọn'!$D$23)</f>
        <v>1.87402954808807</v>
      </c>
      <c r="G139" s="42" t="n">
        <f aca="false">IF(A139&gt;$F$10,0,IF(('Tính chọn'!$D$6+GiaDinh_K3!$D$8*Params!$C$6*C139)&gt;=0,('Tính chọn'!$D$6+GiaDinh_K3!$D$8*Params!$C$6*C139)*'Tính chọn'!$D$23/Params!$C$16,('Tính chọn'!$D$6+GiaDinh_K3!$D$8*Params!$C$6*C139)*'Tính chọn'!$D$23*Params!$C$16)+Catalogue!$F$15*C139/'Tính chọn'!$D$23)</f>
        <v>0.266026940903824</v>
      </c>
      <c r="H139" s="45" t="n">
        <f aca="false">F139*D139/'Tính chọn'!$D$23</f>
        <v>279.46728</v>
      </c>
    </row>
    <row r="140" customFormat="false" ht="14.25" hidden="false" customHeight="false" outlineLevel="0" collapsed="false">
      <c r="A140" s="41" t="n">
        <f aca="false">126*$B$5</f>
        <v>1.26</v>
      </c>
      <c r="B140" s="42" t="n">
        <f aca="false">IF(A140&lt;$F$4,GiaDinh_K3!$D$12,IF(A140&lt;$F$5,0,IF(A140&lt;$F$6,-GiaDinh_K3!$D$12,IF(A140&lt;$F$7,0,IF(A140&lt;$F$8,-GiaDinh_K3!$D$12,IF(A140&lt;$F$9,0,IF(A140&lt;$F$10,GiaDinh_K3!$D$12,0)))))))</f>
        <v>0</v>
      </c>
      <c r="C140" s="43" t="n">
        <f aca="false">IF(A140&lt;$F$4,GiaDinh_K3!$D$12*A140,IF(A140&lt;$F$5,GiaDinh_K3!$D$11,IF(A140&lt;$F$6,GiaDinh_K3!$D$11-GiaDinh_K3!$D$12*(A140-$F$5),IF(A140&lt;$F$7,0,IF(A140&lt;$F$8,-GiaDinh_K3!$D$12*(A140-$F$7),IF(A140&lt;$F$9,-GiaDinh_K3!$D$11,IF(A140&lt;$F$10,-GiaDinh_K3!$D$11+GiaDinh_K3!$D$12*(A140-$F$9),0)))))))</f>
        <v>0</v>
      </c>
      <c r="D140" s="46" t="n">
        <f aca="false">MAX(0,D139+(C139+C140)/2*$B$5)</f>
        <v>0.12</v>
      </c>
      <c r="E140" s="46" t="n">
        <f aca="false">E139+(D139+D140)/2*$B$5</f>
        <v>0.120195</v>
      </c>
      <c r="F140" s="42" t="n">
        <f aca="false">IF(A140&gt;$F$10,0,IF((Params!$C$21+GiaDinh_K3!$D$8*Params!$C$5*C140)&gt;=0,(Params!$C$21+GiaDinh_K3!$D$8*Params!$C$5*C140)*'Tính chọn'!$D$23/Params!$C$16,(Params!$C$21+GiaDinh_K3!$D$8*Params!$C$5*C140)*'Tính chọn'!$D$23*Params!$C$16)+Catalogue!$F$15*C140/'Tính chọn'!$D$23)</f>
        <v>1.87402954808807</v>
      </c>
      <c r="G140" s="42" t="n">
        <f aca="false">IF(A140&gt;$F$10,0,IF(('Tính chọn'!$D$6+GiaDinh_K3!$D$8*Params!$C$6*C140)&gt;=0,('Tính chọn'!$D$6+GiaDinh_K3!$D$8*Params!$C$6*C140)*'Tính chọn'!$D$23/Params!$C$16,('Tính chọn'!$D$6+GiaDinh_K3!$D$8*Params!$C$6*C140)*'Tính chọn'!$D$23*Params!$C$16)+Catalogue!$F$15*C140/'Tính chọn'!$D$23)</f>
        <v>0.266026940903824</v>
      </c>
      <c r="H140" s="45" t="n">
        <f aca="false">F140*D140/'Tính chọn'!$D$23</f>
        <v>279.46728</v>
      </c>
    </row>
    <row r="141" customFormat="false" ht="14.25" hidden="false" customHeight="false" outlineLevel="0" collapsed="false">
      <c r="A141" s="41" t="n">
        <f aca="false">127*$B$5</f>
        <v>1.27</v>
      </c>
      <c r="B141" s="42" t="n">
        <f aca="false">IF(A141&lt;$F$4,GiaDinh_K3!$D$12,IF(A141&lt;$F$5,0,IF(A141&lt;$F$6,-GiaDinh_K3!$D$12,IF(A141&lt;$F$7,0,IF(A141&lt;$F$8,-GiaDinh_K3!$D$12,IF(A141&lt;$F$9,0,IF(A141&lt;$F$10,GiaDinh_K3!$D$12,0)))))))</f>
        <v>0</v>
      </c>
      <c r="C141" s="43" t="n">
        <f aca="false">IF(A141&lt;$F$4,GiaDinh_K3!$D$12*A141,IF(A141&lt;$F$5,GiaDinh_K3!$D$11,IF(A141&lt;$F$6,GiaDinh_K3!$D$11-GiaDinh_K3!$D$12*(A141-$F$5),IF(A141&lt;$F$7,0,IF(A141&lt;$F$8,-GiaDinh_K3!$D$12*(A141-$F$7),IF(A141&lt;$F$9,-GiaDinh_K3!$D$11,IF(A141&lt;$F$10,-GiaDinh_K3!$D$11+GiaDinh_K3!$D$12*(A141-$F$9),0)))))))</f>
        <v>0</v>
      </c>
      <c r="D141" s="46" t="n">
        <f aca="false">MAX(0,D140+(C140+C141)/2*$B$5)</f>
        <v>0.12</v>
      </c>
      <c r="E141" s="46" t="n">
        <f aca="false">E140+(D140+D141)/2*$B$5</f>
        <v>0.121395</v>
      </c>
      <c r="F141" s="42" t="n">
        <f aca="false">IF(A141&gt;$F$10,0,IF((Params!$C$21+GiaDinh_K3!$D$8*Params!$C$5*C141)&gt;=0,(Params!$C$21+GiaDinh_K3!$D$8*Params!$C$5*C141)*'Tính chọn'!$D$23/Params!$C$16,(Params!$C$21+GiaDinh_K3!$D$8*Params!$C$5*C141)*'Tính chọn'!$D$23*Params!$C$16)+Catalogue!$F$15*C141/'Tính chọn'!$D$23)</f>
        <v>1.87402954808807</v>
      </c>
      <c r="G141" s="42" t="n">
        <f aca="false">IF(A141&gt;$F$10,0,IF(('Tính chọn'!$D$6+GiaDinh_K3!$D$8*Params!$C$6*C141)&gt;=0,('Tính chọn'!$D$6+GiaDinh_K3!$D$8*Params!$C$6*C141)*'Tính chọn'!$D$23/Params!$C$16,('Tính chọn'!$D$6+GiaDinh_K3!$D$8*Params!$C$6*C141)*'Tính chọn'!$D$23*Params!$C$16)+Catalogue!$F$15*C141/'Tính chọn'!$D$23)</f>
        <v>0.266026940903824</v>
      </c>
      <c r="H141" s="45" t="n">
        <f aca="false">F141*D141/'Tính chọn'!$D$23</f>
        <v>279.46728</v>
      </c>
    </row>
    <row r="142" customFormat="false" ht="14.25" hidden="false" customHeight="false" outlineLevel="0" collapsed="false">
      <c r="A142" s="41" t="n">
        <f aca="false">128*$B$5</f>
        <v>1.28</v>
      </c>
      <c r="B142" s="42" t="n">
        <f aca="false">IF(A142&lt;$F$4,GiaDinh_K3!$D$12,IF(A142&lt;$F$5,0,IF(A142&lt;$F$6,-GiaDinh_K3!$D$12,IF(A142&lt;$F$7,0,IF(A142&lt;$F$8,-GiaDinh_K3!$D$12,IF(A142&lt;$F$9,0,IF(A142&lt;$F$10,GiaDinh_K3!$D$12,0)))))))</f>
        <v>0</v>
      </c>
      <c r="C142" s="43" t="n">
        <f aca="false">IF(A142&lt;$F$4,GiaDinh_K3!$D$12*A142,IF(A142&lt;$F$5,GiaDinh_K3!$D$11,IF(A142&lt;$F$6,GiaDinh_K3!$D$11-GiaDinh_K3!$D$12*(A142-$F$5),IF(A142&lt;$F$7,0,IF(A142&lt;$F$8,-GiaDinh_K3!$D$12*(A142-$F$7),IF(A142&lt;$F$9,-GiaDinh_K3!$D$11,IF(A142&lt;$F$10,-GiaDinh_K3!$D$11+GiaDinh_K3!$D$12*(A142-$F$9),0)))))))</f>
        <v>0</v>
      </c>
      <c r="D142" s="46" t="n">
        <f aca="false">MAX(0,D141+(C141+C142)/2*$B$5)</f>
        <v>0.12</v>
      </c>
      <c r="E142" s="46" t="n">
        <f aca="false">E141+(D141+D142)/2*$B$5</f>
        <v>0.122595</v>
      </c>
      <c r="F142" s="42" t="n">
        <f aca="false">IF(A142&gt;$F$10,0,IF((Params!$C$21+GiaDinh_K3!$D$8*Params!$C$5*C142)&gt;=0,(Params!$C$21+GiaDinh_K3!$D$8*Params!$C$5*C142)*'Tính chọn'!$D$23/Params!$C$16,(Params!$C$21+GiaDinh_K3!$D$8*Params!$C$5*C142)*'Tính chọn'!$D$23*Params!$C$16)+Catalogue!$F$15*C142/'Tính chọn'!$D$23)</f>
        <v>1.87402954808807</v>
      </c>
      <c r="G142" s="42" t="n">
        <f aca="false">IF(A142&gt;$F$10,0,IF(('Tính chọn'!$D$6+GiaDinh_K3!$D$8*Params!$C$6*C142)&gt;=0,('Tính chọn'!$D$6+GiaDinh_K3!$D$8*Params!$C$6*C142)*'Tính chọn'!$D$23/Params!$C$16,('Tính chọn'!$D$6+GiaDinh_K3!$D$8*Params!$C$6*C142)*'Tính chọn'!$D$23*Params!$C$16)+Catalogue!$F$15*C142/'Tính chọn'!$D$23)</f>
        <v>0.266026940903824</v>
      </c>
      <c r="H142" s="45" t="n">
        <f aca="false">F142*D142/'Tính chọn'!$D$23</f>
        <v>279.46728</v>
      </c>
    </row>
    <row r="143" customFormat="false" ht="14.25" hidden="false" customHeight="false" outlineLevel="0" collapsed="false">
      <c r="A143" s="41" t="n">
        <f aca="false">129*$B$5</f>
        <v>1.29</v>
      </c>
      <c r="B143" s="42" t="n">
        <f aca="false">IF(A143&lt;$F$4,GiaDinh_K3!$D$12,IF(A143&lt;$F$5,0,IF(A143&lt;$F$6,-GiaDinh_K3!$D$12,IF(A143&lt;$F$7,0,IF(A143&lt;$F$8,-GiaDinh_K3!$D$12,IF(A143&lt;$F$9,0,IF(A143&lt;$F$10,GiaDinh_K3!$D$12,0)))))))</f>
        <v>0</v>
      </c>
      <c r="C143" s="43" t="n">
        <f aca="false">IF(A143&lt;$F$4,GiaDinh_K3!$D$12*A143,IF(A143&lt;$F$5,GiaDinh_K3!$D$11,IF(A143&lt;$F$6,GiaDinh_K3!$D$11-GiaDinh_K3!$D$12*(A143-$F$5),IF(A143&lt;$F$7,0,IF(A143&lt;$F$8,-GiaDinh_K3!$D$12*(A143-$F$7),IF(A143&lt;$F$9,-GiaDinh_K3!$D$11,IF(A143&lt;$F$10,-GiaDinh_K3!$D$11+GiaDinh_K3!$D$12*(A143-$F$9),0)))))))</f>
        <v>0</v>
      </c>
      <c r="D143" s="46" t="n">
        <f aca="false">MAX(0,D142+(C142+C143)/2*$B$5)</f>
        <v>0.12</v>
      </c>
      <c r="E143" s="46" t="n">
        <f aca="false">E142+(D142+D143)/2*$B$5</f>
        <v>0.123795</v>
      </c>
      <c r="F143" s="42" t="n">
        <f aca="false">IF(A143&gt;$F$10,0,IF((Params!$C$21+GiaDinh_K3!$D$8*Params!$C$5*C143)&gt;=0,(Params!$C$21+GiaDinh_K3!$D$8*Params!$C$5*C143)*'Tính chọn'!$D$23/Params!$C$16,(Params!$C$21+GiaDinh_K3!$D$8*Params!$C$5*C143)*'Tính chọn'!$D$23*Params!$C$16)+Catalogue!$F$15*C143/'Tính chọn'!$D$23)</f>
        <v>1.87402954808807</v>
      </c>
      <c r="G143" s="42" t="n">
        <f aca="false">IF(A143&gt;$F$10,0,IF(('Tính chọn'!$D$6+GiaDinh_K3!$D$8*Params!$C$6*C143)&gt;=0,('Tính chọn'!$D$6+GiaDinh_K3!$D$8*Params!$C$6*C143)*'Tính chọn'!$D$23/Params!$C$16,('Tính chọn'!$D$6+GiaDinh_K3!$D$8*Params!$C$6*C143)*'Tính chọn'!$D$23*Params!$C$16)+Catalogue!$F$15*C143/'Tính chọn'!$D$23)</f>
        <v>0.266026940903824</v>
      </c>
      <c r="H143" s="45" t="n">
        <f aca="false">F143*D143/'Tính chọn'!$D$23</f>
        <v>279.46728</v>
      </c>
    </row>
    <row r="144" customFormat="false" ht="14.25" hidden="false" customHeight="false" outlineLevel="0" collapsed="false">
      <c r="A144" s="41" t="n">
        <f aca="false">130*$B$5</f>
        <v>1.3</v>
      </c>
      <c r="B144" s="42" t="n">
        <f aca="false">IF(A144&lt;$F$4,GiaDinh_K3!$D$12,IF(A144&lt;$F$5,0,IF(A144&lt;$F$6,-GiaDinh_K3!$D$12,IF(A144&lt;$F$7,0,IF(A144&lt;$F$8,-GiaDinh_K3!$D$12,IF(A144&lt;$F$9,0,IF(A144&lt;$F$10,GiaDinh_K3!$D$12,0)))))))</f>
        <v>0</v>
      </c>
      <c r="C144" s="43" t="n">
        <f aca="false">IF(A144&lt;$F$4,GiaDinh_K3!$D$12*A144,IF(A144&lt;$F$5,GiaDinh_K3!$D$11,IF(A144&lt;$F$6,GiaDinh_K3!$D$11-GiaDinh_K3!$D$12*(A144-$F$5),IF(A144&lt;$F$7,0,IF(A144&lt;$F$8,-GiaDinh_K3!$D$12*(A144-$F$7),IF(A144&lt;$F$9,-GiaDinh_K3!$D$11,IF(A144&lt;$F$10,-GiaDinh_K3!$D$11+GiaDinh_K3!$D$12*(A144-$F$9),0)))))))</f>
        <v>0</v>
      </c>
      <c r="D144" s="46" t="n">
        <f aca="false">MAX(0,D143+(C143+C144)/2*$B$5)</f>
        <v>0.12</v>
      </c>
      <c r="E144" s="46" t="n">
        <f aca="false">E143+(D143+D144)/2*$B$5</f>
        <v>0.124995</v>
      </c>
      <c r="F144" s="42" t="n">
        <f aca="false">IF(A144&gt;$F$10,0,IF((Params!$C$21+GiaDinh_K3!$D$8*Params!$C$5*C144)&gt;=0,(Params!$C$21+GiaDinh_K3!$D$8*Params!$C$5*C144)*'Tính chọn'!$D$23/Params!$C$16,(Params!$C$21+GiaDinh_K3!$D$8*Params!$C$5*C144)*'Tính chọn'!$D$23*Params!$C$16)+Catalogue!$F$15*C144/'Tính chọn'!$D$23)</f>
        <v>1.87402954808807</v>
      </c>
      <c r="G144" s="42" t="n">
        <f aca="false">IF(A144&gt;$F$10,0,IF(('Tính chọn'!$D$6+GiaDinh_K3!$D$8*Params!$C$6*C144)&gt;=0,('Tính chọn'!$D$6+GiaDinh_K3!$D$8*Params!$C$6*C144)*'Tính chọn'!$D$23/Params!$C$16,('Tính chọn'!$D$6+GiaDinh_K3!$D$8*Params!$C$6*C144)*'Tính chọn'!$D$23*Params!$C$16)+Catalogue!$F$15*C144/'Tính chọn'!$D$23)</f>
        <v>0.266026940903824</v>
      </c>
      <c r="H144" s="45" t="n">
        <f aca="false">F144*D144/'Tính chọn'!$D$23</f>
        <v>279.46728</v>
      </c>
    </row>
    <row r="145" customFormat="false" ht="14.25" hidden="false" customHeight="false" outlineLevel="0" collapsed="false">
      <c r="A145" s="41" t="n">
        <f aca="false">131*$B$5</f>
        <v>1.31</v>
      </c>
      <c r="B145" s="42" t="n">
        <f aca="false">IF(A145&lt;$F$4,GiaDinh_K3!$D$12,IF(A145&lt;$F$5,0,IF(A145&lt;$F$6,-GiaDinh_K3!$D$12,IF(A145&lt;$F$7,0,IF(A145&lt;$F$8,-GiaDinh_K3!$D$12,IF(A145&lt;$F$9,0,IF(A145&lt;$F$10,GiaDinh_K3!$D$12,0)))))))</f>
        <v>0</v>
      </c>
      <c r="C145" s="43" t="n">
        <f aca="false">IF(A145&lt;$F$4,GiaDinh_K3!$D$12*A145,IF(A145&lt;$F$5,GiaDinh_K3!$D$11,IF(A145&lt;$F$6,GiaDinh_K3!$D$11-GiaDinh_K3!$D$12*(A145-$F$5),IF(A145&lt;$F$7,0,IF(A145&lt;$F$8,-GiaDinh_K3!$D$12*(A145-$F$7),IF(A145&lt;$F$9,-GiaDinh_K3!$D$11,IF(A145&lt;$F$10,-GiaDinh_K3!$D$11+GiaDinh_K3!$D$12*(A145-$F$9),0)))))))</f>
        <v>0</v>
      </c>
      <c r="D145" s="46" t="n">
        <f aca="false">MAX(0,D144+(C144+C145)/2*$B$5)</f>
        <v>0.12</v>
      </c>
      <c r="E145" s="46" t="n">
        <f aca="false">E144+(D144+D145)/2*$B$5</f>
        <v>0.126195</v>
      </c>
      <c r="F145" s="42" t="n">
        <f aca="false">IF(A145&gt;$F$10,0,IF((Params!$C$21+GiaDinh_K3!$D$8*Params!$C$5*C145)&gt;=0,(Params!$C$21+GiaDinh_K3!$D$8*Params!$C$5*C145)*'Tính chọn'!$D$23/Params!$C$16,(Params!$C$21+GiaDinh_K3!$D$8*Params!$C$5*C145)*'Tính chọn'!$D$23*Params!$C$16)+Catalogue!$F$15*C145/'Tính chọn'!$D$23)</f>
        <v>1.87402954808807</v>
      </c>
      <c r="G145" s="42" t="n">
        <f aca="false">IF(A145&gt;$F$10,0,IF(('Tính chọn'!$D$6+GiaDinh_K3!$D$8*Params!$C$6*C145)&gt;=0,('Tính chọn'!$D$6+GiaDinh_K3!$D$8*Params!$C$6*C145)*'Tính chọn'!$D$23/Params!$C$16,('Tính chọn'!$D$6+GiaDinh_K3!$D$8*Params!$C$6*C145)*'Tính chọn'!$D$23*Params!$C$16)+Catalogue!$F$15*C145/'Tính chọn'!$D$23)</f>
        <v>0.266026940903824</v>
      </c>
      <c r="H145" s="45" t="n">
        <f aca="false">F145*D145/'Tính chọn'!$D$23</f>
        <v>279.46728</v>
      </c>
    </row>
    <row r="146" customFormat="false" ht="14.25" hidden="false" customHeight="false" outlineLevel="0" collapsed="false">
      <c r="A146" s="41" t="n">
        <f aca="false">132*$B$5</f>
        <v>1.32</v>
      </c>
      <c r="B146" s="42" t="n">
        <f aca="false">IF(A146&lt;$F$4,GiaDinh_K3!$D$12,IF(A146&lt;$F$5,0,IF(A146&lt;$F$6,-GiaDinh_K3!$D$12,IF(A146&lt;$F$7,0,IF(A146&lt;$F$8,-GiaDinh_K3!$D$12,IF(A146&lt;$F$9,0,IF(A146&lt;$F$10,GiaDinh_K3!$D$12,0)))))))</f>
        <v>0</v>
      </c>
      <c r="C146" s="43" t="n">
        <f aca="false">IF(A146&lt;$F$4,GiaDinh_K3!$D$12*A146,IF(A146&lt;$F$5,GiaDinh_K3!$D$11,IF(A146&lt;$F$6,GiaDinh_K3!$D$11-GiaDinh_K3!$D$12*(A146-$F$5),IF(A146&lt;$F$7,0,IF(A146&lt;$F$8,-GiaDinh_K3!$D$12*(A146-$F$7),IF(A146&lt;$F$9,-GiaDinh_K3!$D$11,IF(A146&lt;$F$10,-GiaDinh_K3!$D$11+GiaDinh_K3!$D$12*(A146-$F$9),0)))))))</f>
        <v>0</v>
      </c>
      <c r="D146" s="46" t="n">
        <f aca="false">MAX(0,D145+(C145+C146)/2*$B$5)</f>
        <v>0.12</v>
      </c>
      <c r="E146" s="46" t="n">
        <f aca="false">E145+(D145+D146)/2*$B$5</f>
        <v>0.127395</v>
      </c>
      <c r="F146" s="42" t="n">
        <f aca="false">IF(A146&gt;$F$10,0,IF((Params!$C$21+GiaDinh_K3!$D$8*Params!$C$5*C146)&gt;=0,(Params!$C$21+GiaDinh_K3!$D$8*Params!$C$5*C146)*'Tính chọn'!$D$23/Params!$C$16,(Params!$C$21+GiaDinh_K3!$D$8*Params!$C$5*C146)*'Tính chọn'!$D$23*Params!$C$16)+Catalogue!$F$15*C146/'Tính chọn'!$D$23)</f>
        <v>1.87402954808807</v>
      </c>
      <c r="G146" s="42" t="n">
        <f aca="false">IF(A146&gt;$F$10,0,IF(('Tính chọn'!$D$6+GiaDinh_K3!$D$8*Params!$C$6*C146)&gt;=0,('Tính chọn'!$D$6+GiaDinh_K3!$D$8*Params!$C$6*C146)*'Tính chọn'!$D$23/Params!$C$16,('Tính chọn'!$D$6+GiaDinh_K3!$D$8*Params!$C$6*C146)*'Tính chọn'!$D$23*Params!$C$16)+Catalogue!$F$15*C146/'Tính chọn'!$D$23)</f>
        <v>0.266026940903824</v>
      </c>
      <c r="H146" s="45" t="n">
        <f aca="false">F146*D146/'Tính chọn'!$D$23</f>
        <v>279.46728</v>
      </c>
    </row>
    <row r="147" customFormat="false" ht="14.25" hidden="false" customHeight="false" outlineLevel="0" collapsed="false">
      <c r="A147" s="41" t="n">
        <f aca="false">133*$B$5</f>
        <v>1.33</v>
      </c>
      <c r="B147" s="42" t="n">
        <f aca="false">IF(A147&lt;$F$4,GiaDinh_K3!$D$12,IF(A147&lt;$F$5,0,IF(A147&lt;$F$6,-GiaDinh_K3!$D$12,IF(A147&lt;$F$7,0,IF(A147&lt;$F$8,-GiaDinh_K3!$D$12,IF(A147&lt;$F$9,0,IF(A147&lt;$F$10,GiaDinh_K3!$D$12,0)))))))</f>
        <v>0</v>
      </c>
      <c r="C147" s="43" t="n">
        <f aca="false">IF(A147&lt;$F$4,GiaDinh_K3!$D$12*A147,IF(A147&lt;$F$5,GiaDinh_K3!$D$11,IF(A147&lt;$F$6,GiaDinh_K3!$D$11-GiaDinh_K3!$D$12*(A147-$F$5),IF(A147&lt;$F$7,0,IF(A147&lt;$F$8,-GiaDinh_K3!$D$12*(A147-$F$7),IF(A147&lt;$F$9,-GiaDinh_K3!$D$11,IF(A147&lt;$F$10,-GiaDinh_K3!$D$11+GiaDinh_K3!$D$12*(A147-$F$9),0)))))))</f>
        <v>0</v>
      </c>
      <c r="D147" s="46" t="n">
        <f aca="false">MAX(0,D146+(C146+C147)/2*$B$5)</f>
        <v>0.12</v>
      </c>
      <c r="E147" s="46" t="n">
        <f aca="false">E146+(D146+D147)/2*$B$5</f>
        <v>0.128595</v>
      </c>
      <c r="F147" s="42" t="n">
        <f aca="false">IF(A147&gt;$F$10,0,IF((Params!$C$21+GiaDinh_K3!$D$8*Params!$C$5*C147)&gt;=0,(Params!$C$21+GiaDinh_K3!$D$8*Params!$C$5*C147)*'Tính chọn'!$D$23/Params!$C$16,(Params!$C$21+GiaDinh_K3!$D$8*Params!$C$5*C147)*'Tính chọn'!$D$23*Params!$C$16)+Catalogue!$F$15*C147/'Tính chọn'!$D$23)</f>
        <v>1.87402954808807</v>
      </c>
      <c r="G147" s="42" t="n">
        <f aca="false">IF(A147&gt;$F$10,0,IF(('Tính chọn'!$D$6+GiaDinh_K3!$D$8*Params!$C$6*C147)&gt;=0,('Tính chọn'!$D$6+GiaDinh_K3!$D$8*Params!$C$6*C147)*'Tính chọn'!$D$23/Params!$C$16,('Tính chọn'!$D$6+GiaDinh_K3!$D$8*Params!$C$6*C147)*'Tính chọn'!$D$23*Params!$C$16)+Catalogue!$F$15*C147/'Tính chọn'!$D$23)</f>
        <v>0.266026940903824</v>
      </c>
      <c r="H147" s="45" t="n">
        <f aca="false">F147*D147/'Tính chọn'!$D$23</f>
        <v>279.46728</v>
      </c>
    </row>
    <row r="148" customFormat="false" ht="14.25" hidden="false" customHeight="false" outlineLevel="0" collapsed="false">
      <c r="A148" s="41" t="n">
        <f aca="false">134*$B$5</f>
        <v>1.34</v>
      </c>
      <c r="B148" s="42" t="n">
        <f aca="false">IF(A148&lt;$F$4,GiaDinh_K3!$D$12,IF(A148&lt;$F$5,0,IF(A148&lt;$F$6,-GiaDinh_K3!$D$12,IF(A148&lt;$F$7,0,IF(A148&lt;$F$8,-GiaDinh_K3!$D$12,IF(A148&lt;$F$9,0,IF(A148&lt;$F$10,GiaDinh_K3!$D$12,0)))))))</f>
        <v>0</v>
      </c>
      <c r="C148" s="43" t="n">
        <f aca="false">IF(A148&lt;$F$4,GiaDinh_K3!$D$12*A148,IF(A148&lt;$F$5,GiaDinh_K3!$D$11,IF(A148&lt;$F$6,GiaDinh_K3!$D$11-GiaDinh_K3!$D$12*(A148-$F$5),IF(A148&lt;$F$7,0,IF(A148&lt;$F$8,-GiaDinh_K3!$D$12*(A148-$F$7),IF(A148&lt;$F$9,-GiaDinh_K3!$D$11,IF(A148&lt;$F$10,-GiaDinh_K3!$D$11+GiaDinh_K3!$D$12*(A148-$F$9),0)))))))</f>
        <v>0</v>
      </c>
      <c r="D148" s="46" t="n">
        <f aca="false">MAX(0,D147+(C147+C148)/2*$B$5)</f>
        <v>0.12</v>
      </c>
      <c r="E148" s="46" t="n">
        <f aca="false">E147+(D147+D148)/2*$B$5</f>
        <v>0.129795</v>
      </c>
      <c r="F148" s="42" t="n">
        <f aca="false">IF(A148&gt;$F$10,0,IF((Params!$C$21+GiaDinh_K3!$D$8*Params!$C$5*C148)&gt;=0,(Params!$C$21+GiaDinh_K3!$D$8*Params!$C$5*C148)*'Tính chọn'!$D$23/Params!$C$16,(Params!$C$21+GiaDinh_K3!$D$8*Params!$C$5*C148)*'Tính chọn'!$D$23*Params!$C$16)+Catalogue!$F$15*C148/'Tính chọn'!$D$23)</f>
        <v>1.87402954808807</v>
      </c>
      <c r="G148" s="42" t="n">
        <f aca="false">IF(A148&gt;$F$10,0,IF(('Tính chọn'!$D$6+GiaDinh_K3!$D$8*Params!$C$6*C148)&gt;=0,('Tính chọn'!$D$6+GiaDinh_K3!$D$8*Params!$C$6*C148)*'Tính chọn'!$D$23/Params!$C$16,('Tính chọn'!$D$6+GiaDinh_K3!$D$8*Params!$C$6*C148)*'Tính chọn'!$D$23*Params!$C$16)+Catalogue!$F$15*C148/'Tính chọn'!$D$23)</f>
        <v>0.266026940903824</v>
      </c>
      <c r="H148" s="45" t="n">
        <f aca="false">F148*D148/'Tính chọn'!$D$23</f>
        <v>279.46728</v>
      </c>
    </row>
    <row r="149" customFormat="false" ht="14.25" hidden="false" customHeight="false" outlineLevel="0" collapsed="false">
      <c r="A149" s="41" t="n">
        <f aca="false">135*$B$5</f>
        <v>1.35</v>
      </c>
      <c r="B149" s="42" t="n">
        <f aca="false">IF(A149&lt;$F$4,GiaDinh_K3!$D$12,IF(A149&lt;$F$5,0,IF(A149&lt;$F$6,-GiaDinh_K3!$D$12,IF(A149&lt;$F$7,0,IF(A149&lt;$F$8,-GiaDinh_K3!$D$12,IF(A149&lt;$F$9,0,IF(A149&lt;$F$10,GiaDinh_K3!$D$12,0)))))))</f>
        <v>0</v>
      </c>
      <c r="C149" s="43" t="n">
        <f aca="false">IF(A149&lt;$F$4,GiaDinh_K3!$D$12*A149,IF(A149&lt;$F$5,GiaDinh_K3!$D$11,IF(A149&lt;$F$6,GiaDinh_K3!$D$11-GiaDinh_K3!$D$12*(A149-$F$5),IF(A149&lt;$F$7,0,IF(A149&lt;$F$8,-GiaDinh_K3!$D$12*(A149-$F$7),IF(A149&lt;$F$9,-GiaDinh_K3!$D$11,IF(A149&lt;$F$10,-GiaDinh_K3!$D$11+GiaDinh_K3!$D$12*(A149-$F$9),0)))))))</f>
        <v>0</v>
      </c>
      <c r="D149" s="46" t="n">
        <f aca="false">MAX(0,D148+(C148+C149)/2*$B$5)</f>
        <v>0.12</v>
      </c>
      <c r="E149" s="46" t="n">
        <f aca="false">E148+(D148+D149)/2*$B$5</f>
        <v>0.130995</v>
      </c>
      <c r="F149" s="42" t="n">
        <f aca="false">IF(A149&gt;$F$10,0,IF((Params!$C$21+GiaDinh_K3!$D$8*Params!$C$5*C149)&gt;=0,(Params!$C$21+GiaDinh_K3!$D$8*Params!$C$5*C149)*'Tính chọn'!$D$23/Params!$C$16,(Params!$C$21+GiaDinh_K3!$D$8*Params!$C$5*C149)*'Tính chọn'!$D$23*Params!$C$16)+Catalogue!$F$15*C149/'Tính chọn'!$D$23)</f>
        <v>1.87402954808807</v>
      </c>
      <c r="G149" s="42" t="n">
        <f aca="false">IF(A149&gt;$F$10,0,IF(('Tính chọn'!$D$6+GiaDinh_K3!$D$8*Params!$C$6*C149)&gt;=0,('Tính chọn'!$D$6+GiaDinh_K3!$D$8*Params!$C$6*C149)*'Tính chọn'!$D$23/Params!$C$16,('Tính chọn'!$D$6+GiaDinh_K3!$D$8*Params!$C$6*C149)*'Tính chọn'!$D$23*Params!$C$16)+Catalogue!$F$15*C149/'Tính chọn'!$D$23)</f>
        <v>0.266026940903824</v>
      </c>
      <c r="H149" s="45" t="n">
        <f aca="false">F149*D149/'Tính chọn'!$D$23</f>
        <v>279.46728</v>
      </c>
    </row>
    <row r="150" customFormat="false" ht="14.25" hidden="false" customHeight="false" outlineLevel="0" collapsed="false">
      <c r="A150" s="41" t="n">
        <f aca="false">136*$B$5</f>
        <v>1.36</v>
      </c>
      <c r="B150" s="42" t="n">
        <f aca="false">IF(A150&lt;$F$4,GiaDinh_K3!$D$12,IF(A150&lt;$F$5,0,IF(A150&lt;$F$6,-GiaDinh_K3!$D$12,IF(A150&lt;$F$7,0,IF(A150&lt;$F$8,-GiaDinh_K3!$D$12,IF(A150&lt;$F$9,0,IF(A150&lt;$F$10,GiaDinh_K3!$D$12,0)))))))</f>
        <v>0</v>
      </c>
      <c r="C150" s="43" t="n">
        <f aca="false">IF(A150&lt;$F$4,GiaDinh_K3!$D$12*A150,IF(A150&lt;$F$5,GiaDinh_K3!$D$11,IF(A150&lt;$F$6,GiaDinh_K3!$D$11-GiaDinh_K3!$D$12*(A150-$F$5),IF(A150&lt;$F$7,0,IF(A150&lt;$F$8,-GiaDinh_K3!$D$12*(A150-$F$7),IF(A150&lt;$F$9,-GiaDinh_K3!$D$11,IF(A150&lt;$F$10,-GiaDinh_K3!$D$11+GiaDinh_K3!$D$12*(A150-$F$9),0)))))))</f>
        <v>0</v>
      </c>
      <c r="D150" s="46" t="n">
        <f aca="false">MAX(0,D149+(C149+C150)/2*$B$5)</f>
        <v>0.12</v>
      </c>
      <c r="E150" s="46" t="n">
        <f aca="false">E149+(D149+D150)/2*$B$5</f>
        <v>0.132195</v>
      </c>
      <c r="F150" s="42" t="n">
        <f aca="false">IF(A150&gt;$F$10,0,IF((Params!$C$21+GiaDinh_K3!$D$8*Params!$C$5*C150)&gt;=0,(Params!$C$21+GiaDinh_K3!$D$8*Params!$C$5*C150)*'Tính chọn'!$D$23/Params!$C$16,(Params!$C$21+GiaDinh_K3!$D$8*Params!$C$5*C150)*'Tính chọn'!$D$23*Params!$C$16)+Catalogue!$F$15*C150/'Tính chọn'!$D$23)</f>
        <v>1.87402954808807</v>
      </c>
      <c r="G150" s="42" t="n">
        <f aca="false">IF(A150&gt;$F$10,0,IF(('Tính chọn'!$D$6+GiaDinh_K3!$D$8*Params!$C$6*C150)&gt;=0,('Tính chọn'!$D$6+GiaDinh_K3!$D$8*Params!$C$6*C150)*'Tính chọn'!$D$23/Params!$C$16,('Tính chọn'!$D$6+GiaDinh_K3!$D$8*Params!$C$6*C150)*'Tính chọn'!$D$23*Params!$C$16)+Catalogue!$F$15*C150/'Tính chọn'!$D$23)</f>
        <v>0.266026940903824</v>
      </c>
      <c r="H150" s="45" t="n">
        <f aca="false">F150*D150/'Tính chọn'!$D$23</f>
        <v>279.46728</v>
      </c>
    </row>
    <row r="151" customFormat="false" ht="14.25" hidden="false" customHeight="false" outlineLevel="0" collapsed="false">
      <c r="A151" s="41" t="n">
        <f aca="false">137*$B$5</f>
        <v>1.37</v>
      </c>
      <c r="B151" s="42" t="n">
        <f aca="false">IF(A151&lt;$F$4,GiaDinh_K3!$D$12,IF(A151&lt;$F$5,0,IF(A151&lt;$F$6,-GiaDinh_K3!$D$12,IF(A151&lt;$F$7,0,IF(A151&lt;$F$8,-GiaDinh_K3!$D$12,IF(A151&lt;$F$9,0,IF(A151&lt;$F$10,GiaDinh_K3!$D$12,0)))))))</f>
        <v>0</v>
      </c>
      <c r="C151" s="43" t="n">
        <f aca="false">IF(A151&lt;$F$4,GiaDinh_K3!$D$12*A151,IF(A151&lt;$F$5,GiaDinh_K3!$D$11,IF(A151&lt;$F$6,GiaDinh_K3!$D$11-GiaDinh_K3!$D$12*(A151-$F$5),IF(A151&lt;$F$7,0,IF(A151&lt;$F$8,-GiaDinh_K3!$D$12*(A151-$F$7),IF(A151&lt;$F$9,-GiaDinh_K3!$D$11,IF(A151&lt;$F$10,-GiaDinh_K3!$D$11+GiaDinh_K3!$D$12*(A151-$F$9),0)))))))</f>
        <v>0</v>
      </c>
      <c r="D151" s="46" t="n">
        <f aca="false">MAX(0,D150+(C150+C151)/2*$B$5)</f>
        <v>0.12</v>
      </c>
      <c r="E151" s="46" t="n">
        <f aca="false">E150+(D150+D151)/2*$B$5</f>
        <v>0.133395</v>
      </c>
      <c r="F151" s="42" t="n">
        <f aca="false">IF(A151&gt;$F$10,0,IF((Params!$C$21+GiaDinh_K3!$D$8*Params!$C$5*C151)&gt;=0,(Params!$C$21+GiaDinh_K3!$D$8*Params!$C$5*C151)*'Tính chọn'!$D$23/Params!$C$16,(Params!$C$21+GiaDinh_K3!$D$8*Params!$C$5*C151)*'Tính chọn'!$D$23*Params!$C$16)+Catalogue!$F$15*C151/'Tính chọn'!$D$23)</f>
        <v>1.87402954808807</v>
      </c>
      <c r="G151" s="42" t="n">
        <f aca="false">IF(A151&gt;$F$10,0,IF(('Tính chọn'!$D$6+GiaDinh_K3!$D$8*Params!$C$6*C151)&gt;=0,('Tính chọn'!$D$6+GiaDinh_K3!$D$8*Params!$C$6*C151)*'Tính chọn'!$D$23/Params!$C$16,('Tính chọn'!$D$6+GiaDinh_K3!$D$8*Params!$C$6*C151)*'Tính chọn'!$D$23*Params!$C$16)+Catalogue!$F$15*C151/'Tính chọn'!$D$23)</f>
        <v>0.266026940903824</v>
      </c>
      <c r="H151" s="45" t="n">
        <f aca="false">F151*D151/'Tính chọn'!$D$23</f>
        <v>279.46728</v>
      </c>
    </row>
    <row r="152" customFormat="false" ht="14.25" hidden="false" customHeight="false" outlineLevel="0" collapsed="false">
      <c r="A152" s="41" t="n">
        <f aca="false">138*$B$5</f>
        <v>1.38</v>
      </c>
      <c r="B152" s="42" t="n">
        <f aca="false">IF(A152&lt;$F$4,GiaDinh_K3!$D$12,IF(A152&lt;$F$5,0,IF(A152&lt;$F$6,-GiaDinh_K3!$D$12,IF(A152&lt;$F$7,0,IF(A152&lt;$F$8,-GiaDinh_K3!$D$12,IF(A152&lt;$F$9,0,IF(A152&lt;$F$10,GiaDinh_K3!$D$12,0)))))))</f>
        <v>0</v>
      </c>
      <c r="C152" s="43" t="n">
        <f aca="false">IF(A152&lt;$F$4,GiaDinh_K3!$D$12*A152,IF(A152&lt;$F$5,GiaDinh_K3!$D$11,IF(A152&lt;$F$6,GiaDinh_K3!$D$11-GiaDinh_K3!$D$12*(A152-$F$5),IF(A152&lt;$F$7,0,IF(A152&lt;$F$8,-GiaDinh_K3!$D$12*(A152-$F$7),IF(A152&lt;$F$9,-GiaDinh_K3!$D$11,IF(A152&lt;$F$10,-GiaDinh_K3!$D$11+GiaDinh_K3!$D$12*(A152-$F$9),0)))))))</f>
        <v>0</v>
      </c>
      <c r="D152" s="46" t="n">
        <f aca="false">MAX(0,D151+(C151+C152)/2*$B$5)</f>
        <v>0.12</v>
      </c>
      <c r="E152" s="46" t="n">
        <f aca="false">E151+(D151+D152)/2*$B$5</f>
        <v>0.134595</v>
      </c>
      <c r="F152" s="42" t="n">
        <f aca="false">IF(A152&gt;$F$10,0,IF((Params!$C$21+GiaDinh_K3!$D$8*Params!$C$5*C152)&gt;=0,(Params!$C$21+GiaDinh_K3!$D$8*Params!$C$5*C152)*'Tính chọn'!$D$23/Params!$C$16,(Params!$C$21+GiaDinh_K3!$D$8*Params!$C$5*C152)*'Tính chọn'!$D$23*Params!$C$16)+Catalogue!$F$15*C152/'Tính chọn'!$D$23)</f>
        <v>1.87402954808807</v>
      </c>
      <c r="G152" s="42" t="n">
        <f aca="false">IF(A152&gt;$F$10,0,IF(('Tính chọn'!$D$6+GiaDinh_K3!$D$8*Params!$C$6*C152)&gt;=0,('Tính chọn'!$D$6+GiaDinh_K3!$D$8*Params!$C$6*C152)*'Tính chọn'!$D$23/Params!$C$16,('Tính chọn'!$D$6+GiaDinh_K3!$D$8*Params!$C$6*C152)*'Tính chọn'!$D$23*Params!$C$16)+Catalogue!$F$15*C152/'Tính chọn'!$D$23)</f>
        <v>0.266026940903824</v>
      </c>
      <c r="H152" s="45" t="n">
        <f aca="false">F152*D152/'Tính chọn'!$D$23</f>
        <v>279.46728</v>
      </c>
    </row>
    <row r="153" customFormat="false" ht="14.25" hidden="false" customHeight="false" outlineLevel="0" collapsed="false">
      <c r="A153" s="41" t="n">
        <f aca="false">139*$B$5</f>
        <v>1.39</v>
      </c>
      <c r="B153" s="42" t="n">
        <f aca="false">IF(A153&lt;$F$4,GiaDinh_K3!$D$12,IF(A153&lt;$F$5,0,IF(A153&lt;$F$6,-GiaDinh_K3!$D$12,IF(A153&lt;$F$7,0,IF(A153&lt;$F$8,-GiaDinh_K3!$D$12,IF(A153&lt;$F$9,0,IF(A153&lt;$F$10,GiaDinh_K3!$D$12,0)))))))</f>
        <v>0</v>
      </c>
      <c r="C153" s="43" t="n">
        <f aca="false">IF(A153&lt;$F$4,GiaDinh_K3!$D$12*A153,IF(A153&lt;$F$5,GiaDinh_K3!$D$11,IF(A153&lt;$F$6,GiaDinh_K3!$D$11-GiaDinh_K3!$D$12*(A153-$F$5),IF(A153&lt;$F$7,0,IF(A153&lt;$F$8,-GiaDinh_K3!$D$12*(A153-$F$7),IF(A153&lt;$F$9,-GiaDinh_K3!$D$11,IF(A153&lt;$F$10,-GiaDinh_K3!$D$11+GiaDinh_K3!$D$12*(A153-$F$9),0)))))))</f>
        <v>0</v>
      </c>
      <c r="D153" s="46" t="n">
        <f aca="false">MAX(0,D152+(C152+C153)/2*$B$5)</f>
        <v>0.12</v>
      </c>
      <c r="E153" s="46" t="n">
        <f aca="false">E152+(D152+D153)/2*$B$5</f>
        <v>0.135795</v>
      </c>
      <c r="F153" s="42" t="n">
        <f aca="false">IF(A153&gt;$F$10,0,IF((Params!$C$21+GiaDinh_K3!$D$8*Params!$C$5*C153)&gt;=0,(Params!$C$21+GiaDinh_K3!$D$8*Params!$C$5*C153)*'Tính chọn'!$D$23/Params!$C$16,(Params!$C$21+GiaDinh_K3!$D$8*Params!$C$5*C153)*'Tính chọn'!$D$23*Params!$C$16)+Catalogue!$F$15*C153/'Tính chọn'!$D$23)</f>
        <v>1.87402954808807</v>
      </c>
      <c r="G153" s="42" t="n">
        <f aca="false">IF(A153&gt;$F$10,0,IF(('Tính chọn'!$D$6+GiaDinh_K3!$D$8*Params!$C$6*C153)&gt;=0,('Tính chọn'!$D$6+GiaDinh_K3!$D$8*Params!$C$6*C153)*'Tính chọn'!$D$23/Params!$C$16,('Tính chọn'!$D$6+GiaDinh_K3!$D$8*Params!$C$6*C153)*'Tính chọn'!$D$23*Params!$C$16)+Catalogue!$F$15*C153/'Tính chọn'!$D$23)</f>
        <v>0.266026940903824</v>
      </c>
      <c r="H153" s="45" t="n">
        <f aca="false">F153*D153/'Tính chọn'!$D$23</f>
        <v>279.46728</v>
      </c>
    </row>
    <row r="154" customFormat="false" ht="14.25" hidden="false" customHeight="false" outlineLevel="0" collapsed="false">
      <c r="A154" s="41" t="n">
        <f aca="false">140*$B$5</f>
        <v>1.4</v>
      </c>
      <c r="B154" s="42" t="n">
        <f aca="false">IF(A154&lt;$F$4,GiaDinh_K3!$D$12,IF(A154&lt;$F$5,0,IF(A154&lt;$F$6,-GiaDinh_K3!$D$12,IF(A154&lt;$F$7,0,IF(A154&lt;$F$8,-GiaDinh_K3!$D$12,IF(A154&lt;$F$9,0,IF(A154&lt;$F$10,GiaDinh_K3!$D$12,0)))))))</f>
        <v>0</v>
      </c>
      <c r="C154" s="43" t="n">
        <f aca="false">IF(A154&lt;$F$4,GiaDinh_K3!$D$12*A154,IF(A154&lt;$F$5,GiaDinh_K3!$D$11,IF(A154&lt;$F$6,GiaDinh_K3!$D$11-GiaDinh_K3!$D$12*(A154-$F$5),IF(A154&lt;$F$7,0,IF(A154&lt;$F$8,-GiaDinh_K3!$D$12*(A154-$F$7),IF(A154&lt;$F$9,-GiaDinh_K3!$D$11,IF(A154&lt;$F$10,-GiaDinh_K3!$D$11+GiaDinh_K3!$D$12*(A154-$F$9),0)))))))</f>
        <v>0</v>
      </c>
      <c r="D154" s="46" t="n">
        <f aca="false">MAX(0,D153+(C153+C154)/2*$B$5)</f>
        <v>0.12</v>
      </c>
      <c r="E154" s="46" t="n">
        <f aca="false">E153+(D153+D154)/2*$B$5</f>
        <v>0.136995</v>
      </c>
      <c r="F154" s="42" t="n">
        <f aca="false">IF(A154&gt;$F$10,0,IF((Params!$C$21+GiaDinh_K3!$D$8*Params!$C$5*C154)&gt;=0,(Params!$C$21+GiaDinh_K3!$D$8*Params!$C$5*C154)*'Tính chọn'!$D$23/Params!$C$16,(Params!$C$21+GiaDinh_K3!$D$8*Params!$C$5*C154)*'Tính chọn'!$D$23*Params!$C$16)+Catalogue!$F$15*C154/'Tính chọn'!$D$23)</f>
        <v>1.87402954808807</v>
      </c>
      <c r="G154" s="42" t="n">
        <f aca="false">IF(A154&gt;$F$10,0,IF(('Tính chọn'!$D$6+GiaDinh_K3!$D$8*Params!$C$6*C154)&gt;=0,('Tính chọn'!$D$6+GiaDinh_K3!$D$8*Params!$C$6*C154)*'Tính chọn'!$D$23/Params!$C$16,('Tính chọn'!$D$6+GiaDinh_K3!$D$8*Params!$C$6*C154)*'Tính chọn'!$D$23*Params!$C$16)+Catalogue!$F$15*C154/'Tính chọn'!$D$23)</f>
        <v>0.266026940903824</v>
      </c>
      <c r="H154" s="45" t="n">
        <f aca="false">F154*D154/'Tính chọn'!$D$23</f>
        <v>279.46728</v>
      </c>
    </row>
    <row r="155" customFormat="false" ht="14.25" hidden="false" customHeight="false" outlineLevel="0" collapsed="false">
      <c r="A155" s="41" t="n">
        <f aca="false">141*$B$5</f>
        <v>1.41</v>
      </c>
      <c r="B155" s="42" t="n">
        <f aca="false">IF(A155&lt;$F$4,GiaDinh_K3!$D$12,IF(A155&lt;$F$5,0,IF(A155&lt;$F$6,-GiaDinh_K3!$D$12,IF(A155&lt;$F$7,0,IF(A155&lt;$F$8,-GiaDinh_K3!$D$12,IF(A155&lt;$F$9,0,IF(A155&lt;$F$10,GiaDinh_K3!$D$12,0)))))))</f>
        <v>0</v>
      </c>
      <c r="C155" s="43" t="n">
        <f aca="false">IF(A155&lt;$F$4,GiaDinh_K3!$D$12*A155,IF(A155&lt;$F$5,GiaDinh_K3!$D$11,IF(A155&lt;$F$6,GiaDinh_K3!$D$11-GiaDinh_K3!$D$12*(A155-$F$5),IF(A155&lt;$F$7,0,IF(A155&lt;$F$8,-GiaDinh_K3!$D$12*(A155-$F$7),IF(A155&lt;$F$9,-GiaDinh_K3!$D$11,IF(A155&lt;$F$10,-GiaDinh_K3!$D$11+GiaDinh_K3!$D$12*(A155-$F$9),0)))))))</f>
        <v>0</v>
      </c>
      <c r="D155" s="46" t="n">
        <f aca="false">MAX(0,D154+(C154+C155)/2*$B$5)</f>
        <v>0.12</v>
      </c>
      <c r="E155" s="46" t="n">
        <f aca="false">E154+(D154+D155)/2*$B$5</f>
        <v>0.138195</v>
      </c>
      <c r="F155" s="42" t="n">
        <f aca="false">IF(A155&gt;$F$10,0,IF((Params!$C$21+GiaDinh_K3!$D$8*Params!$C$5*C155)&gt;=0,(Params!$C$21+GiaDinh_K3!$D$8*Params!$C$5*C155)*'Tính chọn'!$D$23/Params!$C$16,(Params!$C$21+GiaDinh_K3!$D$8*Params!$C$5*C155)*'Tính chọn'!$D$23*Params!$C$16)+Catalogue!$F$15*C155/'Tính chọn'!$D$23)</f>
        <v>1.87402954808807</v>
      </c>
      <c r="G155" s="42" t="n">
        <f aca="false">IF(A155&gt;$F$10,0,IF(('Tính chọn'!$D$6+GiaDinh_K3!$D$8*Params!$C$6*C155)&gt;=0,('Tính chọn'!$D$6+GiaDinh_K3!$D$8*Params!$C$6*C155)*'Tính chọn'!$D$23/Params!$C$16,('Tính chọn'!$D$6+GiaDinh_K3!$D$8*Params!$C$6*C155)*'Tính chọn'!$D$23*Params!$C$16)+Catalogue!$F$15*C155/'Tính chọn'!$D$23)</f>
        <v>0.266026940903824</v>
      </c>
      <c r="H155" s="45" t="n">
        <f aca="false">F155*D155/'Tính chọn'!$D$23</f>
        <v>279.46728</v>
      </c>
    </row>
    <row r="156" customFormat="false" ht="14.25" hidden="false" customHeight="false" outlineLevel="0" collapsed="false">
      <c r="A156" s="41" t="n">
        <f aca="false">142*$B$5</f>
        <v>1.42</v>
      </c>
      <c r="B156" s="42" t="n">
        <f aca="false">IF(A156&lt;$F$4,GiaDinh_K3!$D$12,IF(A156&lt;$F$5,0,IF(A156&lt;$F$6,-GiaDinh_K3!$D$12,IF(A156&lt;$F$7,0,IF(A156&lt;$F$8,-GiaDinh_K3!$D$12,IF(A156&lt;$F$9,0,IF(A156&lt;$F$10,GiaDinh_K3!$D$12,0)))))))</f>
        <v>0</v>
      </c>
      <c r="C156" s="43" t="n">
        <f aca="false">IF(A156&lt;$F$4,GiaDinh_K3!$D$12*A156,IF(A156&lt;$F$5,GiaDinh_K3!$D$11,IF(A156&lt;$F$6,GiaDinh_K3!$D$11-GiaDinh_K3!$D$12*(A156-$F$5),IF(A156&lt;$F$7,0,IF(A156&lt;$F$8,-GiaDinh_K3!$D$12*(A156-$F$7),IF(A156&lt;$F$9,-GiaDinh_K3!$D$11,IF(A156&lt;$F$10,-GiaDinh_K3!$D$11+GiaDinh_K3!$D$12*(A156-$F$9),0)))))))</f>
        <v>0</v>
      </c>
      <c r="D156" s="46" t="n">
        <f aca="false">MAX(0,D155+(C155+C156)/2*$B$5)</f>
        <v>0.12</v>
      </c>
      <c r="E156" s="46" t="n">
        <f aca="false">E155+(D155+D156)/2*$B$5</f>
        <v>0.139395</v>
      </c>
      <c r="F156" s="42" t="n">
        <f aca="false">IF(A156&gt;$F$10,0,IF((Params!$C$21+GiaDinh_K3!$D$8*Params!$C$5*C156)&gt;=0,(Params!$C$21+GiaDinh_K3!$D$8*Params!$C$5*C156)*'Tính chọn'!$D$23/Params!$C$16,(Params!$C$21+GiaDinh_K3!$D$8*Params!$C$5*C156)*'Tính chọn'!$D$23*Params!$C$16)+Catalogue!$F$15*C156/'Tính chọn'!$D$23)</f>
        <v>1.87402954808807</v>
      </c>
      <c r="G156" s="42" t="n">
        <f aca="false">IF(A156&gt;$F$10,0,IF(('Tính chọn'!$D$6+GiaDinh_K3!$D$8*Params!$C$6*C156)&gt;=0,('Tính chọn'!$D$6+GiaDinh_K3!$D$8*Params!$C$6*C156)*'Tính chọn'!$D$23/Params!$C$16,('Tính chọn'!$D$6+GiaDinh_K3!$D$8*Params!$C$6*C156)*'Tính chọn'!$D$23*Params!$C$16)+Catalogue!$F$15*C156/'Tính chọn'!$D$23)</f>
        <v>0.266026940903824</v>
      </c>
      <c r="H156" s="45" t="n">
        <f aca="false">F156*D156/'Tính chọn'!$D$23</f>
        <v>279.46728</v>
      </c>
    </row>
    <row r="157" customFormat="false" ht="14.25" hidden="false" customHeight="false" outlineLevel="0" collapsed="false">
      <c r="A157" s="41" t="n">
        <f aca="false">143*$B$5</f>
        <v>1.43</v>
      </c>
      <c r="B157" s="42" t="n">
        <f aca="false">IF(A157&lt;$F$4,GiaDinh_K3!$D$12,IF(A157&lt;$F$5,0,IF(A157&lt;$F$6,-GiaDinh_K3!$D$12,IF(A157&lt;$F$7,0,IF(A157&lt;$F$8,-GiaDinh_K3!$D$12,IF(A157&lt;$F$9,0,IF(A157&lt;$F$10,GiaDinh_K3!$D$12,0)))))))</f>
        <v>0</v>
      </c>
      <c r="C157" s="43" t="n">
        <f aca="false">IF(A157&lt;$F$4,GiaDinh_K3!$D$12*A157,IF(A157&lt;$F$5,GiaDinh_K3!$D$11,IF(A157&lt;$F$6,GiaDinh_K3!$D$11-GiaDinh_K3!$D$12*(A157-$F$5),IF(A157&lt;$F$7,0,IF(A157&lt;$F$8,-GiaDinh_K3!$D$12*(A157-$F$7),IF(A157&lt;$F$9,-GiaDinh_K3!$D$11,IF(A157&lt;$F$10,-GiaDinh_K3!$D$11+GiaDinh_K3!$D$12*(A157-$F$9),0)))))))</f>
        <v>0</v>
      </c>
      <c r="D157" s="46" t="n">
        <f aca="false">MAX(0,D156+(C156+C157)/2*$B$5)</f>
        <v>0.12</v>
      </c>
      <c r="E157" s="46" t="n">
        <f aca="false">E156+(D156+D157)/2*$B$5</f>
        <v>0.140595</v>
      </c>
      <c r="F157" s="42" t="n">
        <f aca="false">IF(A157&gt;$F$10,0,IF((Params!$C$21+GiaDinh_K3!$D$8*Params!$C$5*C157)&gt;=0,(Params!$C$21+GiaDinh_K3!$D$8*Params!$C$5*C157)*'Tính chọn'!$D$23/Params!$C$16,(Params!$C$21+GiaDinh_K3!$D$8*Params!$C$5*C157)*'Tính chọn'!$D$23*Params!$C$16)+Catalogue!$F$15*C157/'Tính chọn'!$D$23)</f>
        <v>1.87402954808807</v>
      </c>
      <c r="G157" s="42" t="n">
        <f aca="false">IF(A157&gt;$F$10,0,IF(('Tính chọn'!$D$6+GiaDinh_K3!$D$8*Params!$C$6*C157)&gt;=0,('Tính chọn'!$D$6+GiaDinh_K3!$D$8*Params!$C$6*C157)*'Tính chọn'!$D$23/Params!$C$16,('Tính chọn'!$D$6+GiaDinh_K3!$D$8*Params!$C$6*C157)*'Tính chọn'!$D$23*Params!$C$16)+Catalogue!$F$15*C157/'Tính chọn'!$D$23)</f>
        <v>0.266026940903824</v>
      </c>
      <c r="H157" s="45" t="n">
        <f aca="false">F157*D157/'Tính chọn'!$D$23</f>
        <v>279.46728</v>
      </c>
    </row>
    <row r="158" customFormat="false" ht="14.25" hidden="false" customHeight="false" outlineLevel="0" collapsed="false">
      <c r="A158" s="41" t="n">
        <f aca="false">144*$B$5</f>
        <v>1.44</v>
      </c>
      <c r="B158" s="42" t="n">
        <f aca="false">IF(A158&lt;$F$4,GiaDinh_K3!$D$12,IF(A158&lt;$F$5,0,IF(A158&lt;$F$6,-GiaDinh_K3!$D$12,IF(A158&lt;$F$7,0,IF(A158&lt;$F$8,-GiaDinh_K3!$D$12,IF(A158&lt;$F$9,0,IF(A158&lt;$F$10,GiaDinh_K3!$D$12,0)))))))</f>
        <v>0</v>
      </c>
      <c r="C158" s="43" t="n">
        <f aca="false">IF(A158&lt;$F$4,GiaDinh_K3!$D$12*A158,IF(A158&lt;$F$5,GiaDinh_K3!$D$11,IF(A158&lt;$F$6,GiaDinh_K3!$D$11-GiaDinh_K3!$D$12*(A158-$F$5),IF(A158&lt;$F$7,0,IF(A158&lt;$F$8,-GiaDinh_K3!$D$12*(A158-$F$7),IF(A158&lt;$F$9,-GiaDinh_K3!$D$11,IF(A158&lt;$F$10,-GiaDinh_K3!$D$11+GiaDinh_K3!$D$12*(A158-$F$9),0)))))))</f>
        <v>0</v>
      </c>
      <c r="D158" s="46" t="n">
        <f aca="false">MAX(0,D157+(C157+C158)/2*$B$5)</f>
        <v>0.12</v>
      </c>
      <c r="E158" s="46" t="n">
        <f aca="false">E157+(D157+D158)/2*$B$5</f>
        <v>0.141795</v>
      </c>
      <c r="F158" s="42" t="n">
        <f aca="false">IF(A158&gt;$F$10,0,IF((Params!$C$21+GiaDinh_K3!$D$8*Params!$C$5*C158)&gt;=0,(Params!$C$21+GiaDinh_K3!$D$8*Params!$C$5*C158)*'Tính chọn'!$D$23/Params!$C$16,(Params!$C$21+GiaDinh_K3!$D$8*Params!$C$5*C158)*'Tính chọn'!$D$23*Params!$C$16)+Catalogue!$F$15*C158/'Tính chọn'!$D$23)</f>
        <v>1.87402954808807</v>
      </c>
      <c r="G158" s="42" t="n">
        <f aca="false">IF(A158&gt;$F$10,0,IF(('Tính chọn'!$D$6+GiaDinh_K3!$D$8*Params!$C$6*C158)&gt;=0,('Tính chọn'!$D$6+GiaDinh_K3!$D$8*Params!$C$6*C158)*'Tính chọn'!$D$23/Params!$C$16,('Tính chọn'!$D$6+GiaDinh_K3!$D$8*Params!$C$6*C158)*'Tính chọn'!$D$23*Params!$C$16)+Catalogue!$F$15*C158/'Tính chọn'!$D$23)</f>
        <v>0.266026940903824</v>
      </c>
      <c r="H158" s="45" t="n">
        <f aca="false">F158*D158/'Tính chọn'!$D$23</f>
        <v>279.46728</v>
      </c>
    </row>
    <row r="159" customFormat="false" ht="14.25" hidden="false" customHeight="false" outlineLevel="0" collapsed="false">
      <c r="A159" s="41" t="n">
        <f aca="false">145*$B$5</f>
        <v>1.45</v>
      </c>
      <c r="B159" s="42" t="n">
        <f aca="false">IF(A159&lt;$F$4,GiaDinh_K3!$D$12,IF(A159&lt;$F$5,0,IF(A159&lt;$F$6,-GiaDinh_K3!$D$12,IF(A159&lt;$F$7,0,IF(A159&lt;$F$8,-GiaDinh_K3!$D$12,IF(A159&lt;$F$9,0,IF(A159&lt;$F$10,GiaDinh_K3!$D$12,0)))))))</f>
        <v>0</v>
      </c>
      <c r="C159" s="43" t="n">
        <f aca="false">IF(A159&lt;$F$4,GiaDinh_K3!$D$12*A159,IF(A159&lt;$F$5,GiaDinh_K3!$D$11,IF(A159&lt;$F$6,GiaDinh_K3!$D$11-GiaDinh_K3!$D$12*(A159-$F$5),IF(A159&lt;$F$7,0,IF(A159&lt;$F$8,-GiaDinh_K3!$D$12*(A159-$F$7),IF(A159&lt;$F$9,-GiaDinh_K3!$D$11,IF(A159&lt;$F$10,-GiaDinh_K3!$D$11+GiaDinh_K3!$D$12*(A159-$F$9),0)))))))</f>
        <v>0</v>
      </c>
      <c r="D159" s="46" t="n">
        <f aca="false">MAX(0,D158+(C158+C159)/2*$B$5)</f>
        <v>0.12</v>
      </c>
      <c r="E159" s="46" t="n">
        <f aca="false">E158+(D158+D159)/2*$B$5</f>
        <v>0.142995</v>
      </c>
      <c r="F159" s="42" t="n">
        <f aca="false">IF(A159&gt;$F$10,0,IF((Params!$C$21+GiaDinh_K3!$D$8*Params!$C$5*C159)&gt;=0,(Params!$C$21+GiaDinh_K3!$D$8*Params!$C$5*C159)*'Tính chọn'!$D$23/Params!$C$16,(Params!$C$21+GiaDinh_K3!$D$8*Params!$C$5*C159)*'Tính chọn'!$D$23*Params!$C$16)+Catalogue!$F$15*C159/'Tính chọn'!$D$23)</f>
        <v>1.87402954808807</v>
      </c>
      <c r="G159" s="42" t="n">
        <f aca="false">IF(A159&gt;$F$10,0,IF(('Tính chọn'!$D$6+GiaDinh_K3!$D$8*Params!$C$6*C159)&gt;=0,('Tính chọn'!$D$6+GiaDinh_K3!$D$8*Params!$C$6*C159)*'Tính chọn'!$D$23/Params!$C$16,('Tính chọn'!$D$6+GiaDinh_K3!$D$8*Params!$C$6*C159)*'Tính chọn'!$D$23*Params!$C$16)+Catalogue!$F$15*C159/'Tính chọn'!$D$23)</f>
        <v>0.266026940903824</v>
      </c>
      <c r="H159" s="45" t="n">
        <f aca="false">F159*D159/'Tính chọn'!$D$23</f>
        <v>279.46728</v>
      </c>
    </row>
    <row r="160" customFormat="false" ht="14.25" hidden="false" customHeight="false" outlineLevel="0" collapsed="false">
      <c r="A160" s="41" t="n">
        <f aca="false">146*$B$5</f>
        <v>1.46</v>
      </c>
      <c r="B160" s="42" t="n">
        <f aca="false">IF(A160&lt;$F$4,GiaDinh_K3!$D$12,IF(A160&lt;$F$5,0,IF(A160&lt;$F$6,-GiaDinh_K3!$D$12,IF(A160&lt;$F$7,0,IF(A160&lt;$F$8,-GiaDinh_K3!$D$12,IF(A160&lt;$F$9,0,IF(A160&lt;$F$10,GiaDinh_K3!$D$12,0)))))))</f>
        <v>0</v>
      </c>
      <c r="C160" s="43" t="n">
        <f aca="false">IF(A160&lt;$F$4,GiaDinh_K3!$D$12*A160,IF(A160&lt;$F$5,GiaDinh_K3!$D$11,IF(A160&lt;$F$6,GiaDinh_K3!$D$11-GiaDinh_K3!$D$12*(A160-$F$5),IF(A160&lt;$F$7,0,IF(A160&lt;$F$8,-GiaDinh_K3!$D$12*(A160-$F$7),IF(A160&lt;$F$9,-GiaDinh_K3!$D$11,IF(A160&lt;$F$10,-GiaDinh_K3!$D$11+GiaDinh_K3!$D$12*(A160-$F$9),0)))))))</f>
        <v>0</v>
      </c>
      <c r="D160" s="46" t="n">
        <f aca="false">MAX(0,D159+(C159+C160)/2*$B$5)</f>
        <v>0.12</v>
      </c>
      <c r="E160" s="46" t="n">
        <f aca="false">E159+(D159+D160)/2*$B$5</f>
        <v>0.144195</v>
      </c>
      <c r="F160" s="42" t="n">
        <f aca="false">IF(A160&gt;$F$10,0,IF((Params!$C$21+GiaDinh_K3!$D$8*Params!$C$5*C160)&gt;=0,(Params!$C$21+GiaDinh_K3!$D$8*Params!$C$5*C160)*'Tính chọn'!$D$23/Params!$C$16,(Params!$C$21+GiaDinh_K3!$D$8*Params!$C$5*C160)*'Tính chọn'!$D$23*Params!$C$16)+Catalogue!$F$15*C160/'Tính chọn'!$D$23)</f>
        <v>1.87402954808807</v>
      </c>
      <c r="G160" s="42" t="n">
        <f aca="false">IF(A160&gt;$F$10,0,IF(('Tính chọn'!$D$6+GiaDinh_K3!$D$8*Params!$C$6*C160)&gt;=0,('Tính chọn'!$D$6+GiaDinh_K3!$D$8*Params!$C$6*C160)*'Tính chọn'!$D$23/Params!$C$16,('Tính chọn'!$D$6+GiaDinh_K3!$D$8*Params!$C$6*C160)*'Tính chọn'!$D$23*Params!$C$16)+Catalogue!$F$15*C160/'Tính chọn'!$D$23)</f>
        <v>0.266026940903824</v>
      </c>
      <c r="H160" s="45" t="n">
        <f aca="false">F160*D160/'Tính chọn'!$D$23</f>
        <v>279.46728</v>
      </c>
    </row>
    <row r="161" customFormat="false" ht="14.25" hidden="false" customHeight="false" outlineLevel="0" collapsed="false">
      <c r="A161" s="41" t="n">
        <f aca="false">147*$B$5</f>
        <v>1.47</v>
      </c>
      <c r="B161" s="42" t="n">
        <f aca="false">IF(A161&lt;$F$4,GiaDinh_K3!$D$12,IF(A161&lt;$F$5,0,IF(A161&lt;$F$6,-GiaDinh_K3!$D$12,IF(A161&lt;$F$7,0,IF(A161&lt;$F$8,-GiaDinh_K3!$D$12,IF(A161&lt;$F$9,0,IF(A161&lt;$F$10,GiaDinh_K3!$D$12,0)))))))</f>
        <v>0</v>
      </c>
      <c r="C161" s="43" t="n">
        <f aca="false">IF(A161&lt;$F$4,GiaDinh_K3!$D$12*A161,IF(A161&lt;$F$5,GiaDinh_K3!$D$11,IF(A161&lt;$F$6,GiaDinh_K3!$D$11-GiaDinh_K3!$D$12*(A161-$F$5),IF(A161&lt;$F$7,0,IF(A161&lt;$F$8,-GiaDinh_K3!$D$12*(A161-$F$7),IF(A161&lt;$F$9,-GiaDinh_K3!$D$11,IF(A161&lt;$F$10,-GiaDinh_K3!$D$11+GiaDinh_K3!$D$12*(A161-$F$9),0)))))))</f>
        <v>0</v>
      </c>
      <c r="D161" s="46" t="n">
        <f aca="false">MAX(0,D160+(C160+C161)/2*$B$5)</f>
        <v>0.12</v>
      </c>
      <c r="E161" s="46" t="n">
        <f aca="false">E160+(D160+D161)/2*$B$5</f>
        <v>0.145395</v>
      </c>
      <c r="F161" s="42" t="n">
        <f aca="false">IF(A161&gt;$F$10,0,IF((Params!$C$21+GiaDinh_K3!$D$8*Params!$C$5*C161)&gt;=0,(Params!$C$21+GiaDinh_K3!$D$8*Params!$C$5*C161)*'Tính chọn'!$D$23/Params!$C$16,(Params!$C$21+GiaDinh_K3!$D$8*Params!$C$5*C161)*'Tính chọn'!$D$23*Params!$C$16)+Catalogue!$F$15*C161/'Tính chọn'!$D$23)</f>
        <v>1.87402954808807</v>
      </c>
      <c r="G161" s="42" t="n">
        <f aca="false">IF(A161&gt;$F$10,0,IF(('Tính chọn'!$D$6+GiaDinh_K3!$D$8*Params!$C$6*C161)&gt;=0,('Tính chọn'!$D$6+GiaDinh_K3!$D$8*Params!$C$6*C161)*'Tính chọn'!$D$23/Params!$C$16,('Tính chọn'!$D$6+GiaDinh_K3!$D$8*Params!$C$6*C161)*'Tính chọn'!$D$23*Params!$C$16)+Catalogue!$F$15*C161/'Tính chọn'!$D$23)</f>
        <v>0.266026940903824</v>
      </c>
      <c r="H161" s="45" t="n">
        <f aca="false">F161*D161/'Tính chọn'!$D$23</f>
        <v>279.46728</v>
      </c>
    </row>
    <row r="162" customFormat="false" ht="14.25" hidden="false" customHeight="false" outlineLevel="0" collapsed="false">
      <c r="A162" s="41" t="n">
        <f aca="false">148*$B$5</f>
        <v>1.48</v>
      </c>
      <c r="B162" s="42" t="n">
        <f aca="false">IF(A162&lt;$F$4,GiaDinh_K3!$D$12,IF(A162&lt;$F$5,0,IF(A162&lt;$F$6,-GiaDinh_K3!$D$12,IF(A162&lt;$F$7,0,IF(A162&lt;$F$8,-GiaDinh_K3!$D$12,IF(A162&lt;$F$9,0,IF(A162&lt;$F$10,GiaDinh_K3!$D$12,0)))))))</f>
        <v>0</v>
      </c>
      <c r="C162" s="43" t="n">
        <f aca="false">IF(A162&lt;$F$4,GiaDinh_K3!$D$12*A162,IF(A162&lt;$F$5,GiaDinh_K3!$D$11,IF(A162&lt;$F$6,GiaDinh_K3!$D$11-GiaDinh_K3!$D$12*(A162-$F$5),IF(A162&lt;$F$7,0,IF(A162&lt;$F$8,-GiaDinh_K3!$D$12*(A162-$F$7),IF(A162&lt;$F$9,-GiaDinh_K3!$D$11,IF(A162&lt;$F$10,-GiaDinh_K3!$D$11+GiaDinh_K3!$D$12*(A162-$F$9),0)))))))</f>
        <v>0</v>
      </c>
      <c r="D162" s="46" t="n">
        <f aca="false">MAX(0,D161+(C161+C162)/2*$B$5)</f>
        <v>0.12</v>
      </c>
      <c r="E162" s="46" t="n">
        <f aca="false">E161+(D161+D162)/2*$B$5</f>
        <v>0.146595</v>
      </c>
      <c r="F162" s="42" t="n">
        <f aca="false">IF(A162&gt;$F$10,0,IF((Params!$C$21+GiaDinh_K3!$D$8*Params!$C$5*C162)&gt;=0,(Params!$C$21+GiaDinh_K3!$D$8*Params!$C$5*C162)*'Tính chọn'!$D$23/Params!$C$16,(Params!$C$21+GiaDinh_K3!$D$8*Params!$C$5*C162)*'Tính chọn'!$D$23*Params!$C$16)+Catalogue!$F$15*C162/'Tính chọn'!$D$23)</f>
        <v>1.87402954808807</v>
      </c>
      <c r="G162" s="42" t="n">
        <f aca="false">IF(A162&gt;$F$10,0,IF(('Tính chọn'!$D$6+GiaDinh_K3!$D$8*Params!$C$6*C162)&gt;=0,('Tính chọn'!$D$6+GiaDinh_K3!$D$8*Params!$C$6*C162)*'Tính chọn'!$D$23/Params!$C$16,('Tính chọn'!$D$6+GiaDinh_K3!$D$8*Params!$C$6*C162)*'Tính chọn'!$D$23*Params!$C$16)+Catalogue!$F$15*C162/'Tính chọn'!$D$23)</f>
        <v>0.266026940903824</v>
      </c>
      <c r="H162" s="45" t="n">
        <f aca="false">F162*D162/'Tính chọn'!$D$23</f>
        <v>279.46728</v>
      </c>
    </row>
    <row r="163" customFormat="false" ht="14.25" hidden="false" customHeight="false" outlineLevel="0" collapsed="false">
      <c r="A163" s="41" t="n">
        <f aca="false">149*$B$5</f>
        <v>1.49</v>
      </c>
      <c r="B163" s="42" t="n">
        <f aca="false">IF(A163&lt;$F$4,GiaDinh_K3!$D$12,IF(A163&lt;$F$5,0,IF(A163&lt;$F$6,-GiaDinh_K3!$D$12,IF(A163&lt;$F$7,0,IF(A163&lt;$F$8,-GiaDinh_K3!$D$12,IF(A163&lt;$F$9,0,IF(A163&lt;$F$10,GiaDinh_K3!$D$12,0)))))))</f>
        <v>0</v>
      </c>
      <c r="C163" s="43" t="n">
        <f aca="false">IF(A163&lt;$F$4,GiaDinh_K3!$D$12*A163,IF(A163&lt;$F$5,GiaDinh_K3!$D$11,IF(A163&lt;$F$6,GiaDinh_K3!$D$11-GiaDinh_K3!$D$12*(A163-$F$5),IF(A163&lt;$F$7,0,IF(A163&lt;$F$8,-GiaDinh_K3!$D$12*(A163-$F$7),IF(A163&lt;$F$9,-GiaDinh_K3!$D$11,IF(A163&lt;$F$10,-GiaDinh_K3!$D$11+GiaDinh_K3!$D$12*(A163-$F$9),0)))))))</f>
        <v>0</v>
      </c>
      <c r="D163" s="46" t="n">
        <f aca="false">MAX(0,D162+(C162+C163)/2*$B$5)</f>
        <v>0.12</v>
      </c>
      <c r="E163" s="46" t="n">
        <f aca="false">E162+(D162+D163)/2*$B$5</f>
        <v>0.147795</v>
      </c>
      <c r="F163" s="42" t="n">
        <f aca="false">IF(A163&gt;$F$10,0,IF((Params!$C$21+GiaDinh_K3!$D$8*Params!$C$5*C163)&gt;=0,(Params!$C$21+GiaDinh_K3!$D$8*Params!$C$5*C163)*'Tính chọn'!$D$23/Params!$C$16,(Params!$C$21+GiaDinh_K3!$D$8*Params!$C$5*C163)*'Tính chọn'!$D$23*Params!$C$16)+Catalogue!$F$15*C163/'Tính chọn'!$D$23)</f>
        <v>1.87402954808807</v>
      </c>
      <c r="G163" s="42" t="n">
        <f aca="false">IF(A163&gt;$F$10,0,IF(('Tính chọn'!$D$6+GiaDinh_K3!$D$8*Params!$C$6*C163)&gt;=0,('Tính chọn'!$D$6+GiaDinh_K3!$D$8*Params!$C$6*C163)*'Tính chọn'!$D$23/Params!$C$16,('Tính chọn'!$D$6+GiaDinh_K3!$D$8*Params!$C$6*C163)*'Tính chọn'!$D$23*Params!$C$16)+Catalogue!$F$15*C163/'Tính chọn'!$D$23)</f>
        <v>0.266026940903824</v>
      </c>
      <c r="H163" s="45" t="n">
        <f aca="false">F163*D163/'Tính chọn'!$D$23</f>
        <v>279.46728</v>
      </c>
    </row>
    <row r="164" customFormat="false" ht="14.25" hidden="false" customHeight="false" outlineLevel="0" collapsed="false">
      <c r="A164" s="41" t="n">
        <f aca="false">150*$B$5</f>
        <v>1.5</v>
      </c>
      <c r="B164" s="42" t="n">
        <f aca="false">IF(A164&lt;$F$4,GiaDinh_K3!$D$12,IF(A164&lt;$F$5,0,IF(A164&lt;$F$6,-GiaDinh_K3!$D$12,IF(A164&lt;$F$7,0,IF(A164&lt;$F$8,-GiaDinh_K3!$D$12,IF(A164&lt;$F$9,0,IF(A164&lt;$F$10,GiaDinh_K3!$D$12,0)))))))</f>
        <v>0</v>
      </c>
      <c r="C164" s="43" t="n">
        <f aca="false">IF(A164&lt;$F$4,GiaDinh_K3!$D$12*A164,IF(A164&lt;$F$5,GiaDinh_K3!$D$11,IF(A164&lt;$F$6,GiaDinh_K3!$D$11-GiaDinh_K3!$D$12*(A164-$F$5),IF(A164&lt;$F$7,0,IF(A164&lt;$F$8,-GiaDinh_K3!$D$12*(A164-$F$7),IF(A164&lt;$F$9,-GiaDinh_K3!$D$11,IF(A164&lt;$F$10,-GiaDinh_K3!$D$11+GiaDinh_K3!$D$12*(A164-$F$9),0)))))))</f>
        <v>0</v>
      </c>
      <c r="D164" s="46" t="n">
        <f aca="false">MAX(0,D163+(C163+C164)/2*$B$5)</f>
        <v>0.12</v>
      </c>
      <c r="E164" s="46" t="n">
        <f aca="false">E163+(D163+D164)/2*$B$5</f>
        <v>0.148995</v>
      </c>
      <c r="F164" s="42" t="n">
        <f aca="false">IF(A164&gt;$F$10,0,IF((Params!$C$21+GiaDinh_K3!$D$8*Params!$C$5*C164)&gt;=0,(Params!$C$21+GiaDinh_K3!$D$8*Params!$C$5*C164)*'Tính chọn'!$D$23/Params!$C$16,(Params!$C$21+GiaDinh_K3!$D$8*Params!$C$5*C164)*'Tính chọn'!$D$23*Params!$C$16)+Catalogue!$F$15*C164/'Tính chọn'!$D$23)</f>
        <v>1.87402954808807</v>
      </c>
      <c r="G164" s="42" t="n">
        <f aca="false">IF(A164&gt;$F$10,0,IF(('Tính chọn'!$D$6+GiaDinh_K3!$D$8*Params!$C$6*C164)&gt;=0,('Tính chọn'!$D$6+GiaDinh_K3!$D$8*Params!$C$6*C164)*'Tính chọn'!$D$23/Params!$C$16,('Tính chọn'!$D$6+GiaDinh_K3!$D$8*Params!$C$6*C164)*'Tính chọn'!$D$23*Params!$C$16)+Catalogue!$F$15*C164/'Tính chọn'!$D$23)</f>
        <v>0.266026940903824</v>
      </c>
      <c r="H164" s="45" t="n">
        <f aca="false">F164*D164/'Tính chọn'!$D$23</f>
        <v>279.46728</v>
      </c>
    </row>
    <row r="165" customFormat="false" ht="14.25" hidden="false" customHeight="false" outlineLevel="0" collapsed="false">
      <c r="A165" s="41" t="n">
        <f aca="false">151*$B$5</f>
        <v>1.51</v>
      </c>
      <c r="B165" s="42" t="n">
        <f aca="false">IF(A165&lt;$F$4,GiaDinh_K3!$D$12,IF(A165&lt;$F$5,0,IF(A165&lt;$F$6,-GiaDinh_K3!$D$12,IF(A165&lt;$F$7,0,IF(A165&lt;$F$8,-GiaDinh_K3!$D$12,IF(A165&lt;$F$9,0,IF(A165&lt;$F$10,GiaDinh_K3!$D$12,0)))))))</f>
        <v>0</v>
      </c>
      <c r="C165" s="43" t="n">
        <f aca="false">IF(A165&lt;$F$4,GiaDinh_K3!$D$12*A165,IF(A165&lt;$F$5,GiaDinh_K3!$D$11,IF(A165&lt;$F$6,GiaDinh_K3!$D$11-GiaDinh_K3!$D$12*(A165-$F$5),IF(A165&lt;$F$7,0,IF(A165&lt;$F$8,-GiaDinh_K3!$D$12*(A165-$F$7),IF(A165&lt;$F$9,-GiaDinh_K3!$D$11,IF(A165&lt;$F$10,-GiaDinh_K3!$D$11+GiaDinh_K3!$D$12*(A165-$F$9),0)))))))</f>
        <v>0</v>
      </c>
      <c r="D165" s="46" t="n">
        <f aca="false">MAX(0,D164+(C164+C165)/2*$B$5)</f>
        <v>0.12</v>
      </c>
      <c r="E165" s="46" t="n">
        <f aca="false">E164+(D164+D165)/2*$B$5</f>
        <v>0.150195</v>
      </c>
      <c r="F165" s="42" t="n">
        <f aca="false">IF(A165&gt;$F$10,0,IF((Params!$C$21+GiaDinh_K3!$D$8*Params!$C$5*C165)&gt;=0,(Params!$C$21+GiaDinh_K3!$D$8*Params!$C$5*C165)*'Tính chọn'!$D$23/Params!$C$16,(Params!$C$21+GiaDinh_K3!$D$8*Params!$C$5*C165)*'Tính chọn'!$D$23*Params!$C$16)+Catalogue!$F$15*C165/'Tính chọn'!$D$23)</f>
        <v>1.87402954808807</v>
      </c>
      <c r="G165" s="42" t="n">
        <f aca="false">IF(A165&gt;$F$10,0,IF(('Tính chọn'!$D$6+GiaDinh_K3!$D$8*Params!$C$6*C165)&gt;=0,('Tính chọn'!$D$6+GiaDinh_K3!$D$8*Params!$C$6*C165)*'Tính chọn'!$D$23/Params!$C$16,('Tính chọn'!$D$6+GiaDinh_K3!$D$8*Params!$C$6*C165)*'Tính chọn'!$D$23*Params!$C$16)+Catalogue!$F$15*C165/'Tính chọn'!$D$23)</f>
        <v>0.266026940903824</v>
      </c>
      <c r="H165" s="45" t="n">
        <f aca="false">F165*D165/'Tính chọn'!$D$23</f>
        <v>279.46728</v>
      </c>
    </row>
    <row r="166" customFormat="false" ht="14.25" hidden="false" customHeight="false" outlineLevel="0" collapsed="false">
      <c r="A166" s="41" t="n">
        <f aca="false">152*$B$5</f>
        <v>1.52</v>
      </c>
      <c r="B166" s="42" t="n">
        <f aca="false">IF(A166&lt;$F$4,GiaDinh_K3!$D$12,IF(A166&lt;$F$5,0,IF(A166&lt;$F$6,-GiaDinh_K3!$D$12,IF(A166&lt;$F$7,0,IF(A166&lt;$F$8,-GiaDinh_K3!$D$12,IF(A166&lt;$F$9,0,IF(A166&lt;$F$10,GiaDinh_K3!$D$12,0)))))))</f>
        <v>-1.8</v>
      </c>
      <c r="C166" s="43" t="n">
        <f aca="false">IF(A166&lt;$F$4,GiaDinh_K3!$D$12*A166,IF(A166&lt;$F$5,GiaDinh_K3!$D$11,IF(A166&lt;$F$6,GiaDinh_K3!$D$11-GiaDinh_K3!$D$12*(A166-$F$5),IF(A166&lt;$F$7,0,IF(A166&lt;$F$8,-GiaDinh_K3!$D$12*(A166-$F$7),IF(A166&lt;$F$9,-GiaDinh_K3!$D$11,IF(A166&lt;$F$10,-GiaDinh_K3!$D$11+GiaDinh_K3!$D$12*(A166-$F$9),0)))))))</f>
        <v>-0.00600000000000014</v>
      </c>
      <c r="D166" s="46" t="n">
        <f aca="false">MAX(0,D165+(C165+C166)/2*$B$5)</f>
        <v>0.11997</v>
      </c>
      <c r="E166" s="46" t="n">
        <f aca="false">E165+(D165+D166)/2*$B$5</f>
        <v>0.15139485</v>
      </c>
      <c r="F166" s="42" t="n">
        <f aca="false">IF(A166&gt;$F$10,0,IF((Params!$C$21+GiaDinh_K3!$D$8*Params!$C$5*C166)&gt;=0,(Params!$C$21+GiaDinh_K3!$D$8*Params!$C$5*C166)*'Tính chọn'!$D$23/Params!$C$16,(Params!$C$21+GiaDinh_K3!$D$8*Params!$C$5*C166)*'Tính chọn'!$D$23*Params!$C$16)+Catalogue!$F$15*C166/'Tính chọn'!$D$23)</f>
        <v>1.76661900578179</v>
      </c>
      <c r="G166" s="42" t="n">
        <f aca="false">IF(A166&gt;$F$10,0,IF(('Tính chọn'!$D$6+GiaDinh_K3!$D$8*Params!$C$6*C166)&gt;=0,('Tính chọn'!$D$6+GiaDinh_K3!$D$8*Params!$C$6*C166)*'Tính chọn'!$D$23/Params!$C$16,('Tính chọn'!$D$6+GiaDinh_K3!$D$8*Params!$C$6*C166)*'Tính chọn'!$D$23*Params!$C$16)+Catalogue!$F$15*C166/'Tính chọn'!$D$23)</f>
        <v>0.234017132471636</v>
      </c>
      <c r="H166" s="45" t="n">
        <f aca="false">F166*D166/'Tính chọn'!$D$23</f>
        <v>263.383670120692</v>
      </c>
    </row>
    <row r="167" customFormat="false" ht="14.25" hidden="false" customHeight="false" outlineLevel="0" collapsed="false">
      <c r="A167" s="41" t="n">
        <f aca="false">153*$B$5</f>
        <v>1.53</v>
      </c>
      <c r="B167" s="42" t="n">
        <f aca="false">IF(A167&lt;$F$4,GiaDinh_K3!$D$12,IF(A167&lt;$F$5,0,IF(A167&lt;$F$6,-GiaDinh_K3!$D$12,IF(A167&lt;$F$7,0,IF(A167&lt;$F$8,-GiaDinh_K3!$D$12,IF(A167&lt;$F$9,0,IF(A167&lt;$F$10,GiaDinh_K3!$D$12,0)))))))</f>
        <v>-1.8</v>
      </c>
      <c r="C167" s="43" t="n">
        <f aca="false">IF(A167&lt;$F$4,GiaDinh_K3!$D$12*A167,IF(A167&lt;$F$5,GiaDinh_K3!$D$11,IF(A167&lt;$F$6,GiaDinh_K3!$D$11-GiaDinh_K3!$D$12*(A167-$F$5),IF(A167&lt;$F$7,0,IF(A167&lt;$F$8,-GiaDinh_K3!$D$12*(A167-$F$7),IF(A167&lt;$F$9,-GiaDinh_K3!$D$11,IF(A167&lt;$F$10,-GiaDinh_K3!$D$11+GiaDinh_K3!$D$12*(A167-$F$9),0)))))))</f>
        <v>-0.0240000000000002</v>
      </c>
      <c r="D167" s="46" t="n">
        <f aca="false">MAX(0,D166+(C166+C167)/2*$B$5)</f>
        <v>0.11982</v>
      </c>
      <c r="E167" s="46" t="n">
        <f aca="false">E166+(D166+D167)/2*$B$5</f>
        <v>0.1525938</v>
      </c>
      <c r="F167" s="42" t="n">
        <f aca="false">IF(A167&gt;$F$10,0,IF((Params!$C$21+GiaDinh_K3!$D$8*Params!$C$5*C167)&gt;=0,(Params!$C$21+GiaDinh_K3!$D$8*Params!$C$5*C167)*'Tính chọn'!$D$23/Params!$C$16,(Params!$C$21+GiaDinh_K3!$D$8*Params!$C$5*C167)*'Tính chọn'!$D$23*Params!$C$16)+Catalogue!$F$15*C167/'Tính chọn'!$D$23)</f>
        <v>1.44438737886298</v>
      </c>
      <c r="G167" s="42" t="n">
        <f aca="false">IF(A167&gt;$F$10,0,IF(('Tính chọn'!$D$6+GiaDinh_K3!$D$8*Params!$C$6*C167)&gt;=0,('Tính chọn'!$D$6+GiaDinh_K3!$D$8*Params!$C$6*C167)*'Tính chọn'!$D$23/Params!$C$16,('Tính chọn'!$D$6+GiaDinh_K3!$D$8*Params!$C$6*C167)*'Tính chọn'!$D$23*Params!$C$16)+Catalogue!$F$15*C167/'Tính chọn'!$D$23)</f>
        <v>0.137987707175073</v>
      </c>
      <c r="H167" s="45" t="n">
        <f aca="false">F167*D167/'Tính chọn'!$D$23</f>
        <v>215.07319558025</v>
      </c>
    </row>
    <row r="168" customFormat="false" ht="14.25" hidden="false" customHeight="false" outlineLevel="0" collapsed="false">
      <c r="A168" s="41" t="n">
        <f aca="false">154*$B$5</f>
        <v>1.54</v>
      </c>
      <c r="B168" s="42" t="n">
        <f aca="false">IF(A168&lt;$F$4,GiaDinh_K3!$D$12,IF(A168&lt;$F$5,0,IF(A168&lt;$F$6,-GiaDinh_K3!$D$12,IF(A168&lt;$F$7,0,IF(A168&lt;$F$8,-GiaDinh_K3!$D$12,IF(A168&lt;$F$9,0,IF(A168&lt;$F$10,GiaDinh_K3!$D$12,0)))))))</f>
        <v>-1.8</v>
      </c>
      <c r="C168" s="43" t="n">
        <f aca="false">IF(A168&lt;$F$4,GiaDinh_K3!$D$12*A168,IF(A168&lt;$F$5,GiaDinh_K3!$D$11,IF(A168&lt;$F$6,GiaDinh_K3!$D$11-GiaDinh_K3!$D$12*(A168-$F$5),IF(A168&lt;$F$7,0,IF(A168&lt;$F$8,-GiaDinh_K3!$D$12*(A168-$F$7),IF(A168&lt;$F$9,-GiaDinh_K3!$D$11,IF(A168&lt;$F$10,-GiaDinh_K3!$D$11+GiaDinh_K3!$D$12*(A168-$F$9),0)))))))</f>
        <v>-0.0420000000000002</v>
      </c>
      <c r="D168" s="46" t="n">
        <f aca="false">MAX(0,D167+(C167+C168)/2*$B$5)</f>
        <v>0.11949</v>
      </c>
      <c r="E168" s="46" t="n">
        <f aca="false">E167+(D167+D168)/2*$B$5</f>
        <v>0.15379035</v>
      </c>
      <c r="F168" s="42" t="n">
        <f aca="false">IF(A168&gt;$F$10,0,IF((Params!$C$21+GiaDinh_K3!$D$8*Params!$C$5*C168)&gt;=0,(Params!$C$21+GiaDinh_K3!$D$8*Params!$C$5*C168)*'Tính chọn'!$D$23/Params!$C$16,(Params!$C$21+GiaDinh_K3!$D$8*Params!$C$5*C168)*'Tính chọn'!$D$23*Params!$C$16)+Catalogue!$F$15*C168/'Tính chọn'!$D$23)</f>
        <v>1.12215575194417</v>
      </c>
      <c r="G168" s="42" t="n">
        <f aca="false">IF(A168&gt;$F$10,0,IF(('Tính chọn'!$D$6+GiaDinh_K3!$D$8*Params!$C$6*C168)&gt;=0,('Tính chọn'!$D$6+GiaDinh_K3!$D$8*Params!$C$6*C168)*'Tính chọn'!$D$23/Params!$C$16,('Tính chọn'!$D$6+GiaDinh_K3!$D$8*Params!$C$6*C168)*'Tính chọn'!$D$23*Params!$C$16)+Catalogue!$F$15*C168/'Tính chọn'!$D$23)</f>
        <v>0.0419582818785107</v>
      </c>
      <c r="H168" s="45" t="n">
        <f aca="false">F168*D168/'Tính chọn'!$D$23</f>
        <v>166.631839574739</v>
      </c>
    </row>
    <row r="169" customFormat="false" ht="14.25" hidden="false" customHeight="false" outlineLevel="0" collapsed="false">
      <c r="A169" s="41" t="n">
        <f aca="false">155*$B$5</f>
        <v>1.55</v>
      </c>
      <c r="B169" s="42" t="n">
        <f aca="false">IF(A169&lt;$F$4,GiaDinh_K3!$D$12,IF(A169&lt;$F$5,0,IF(A169&lt;$F$6,-GiaDinh_K3!$D$12,IF(A169&lt;$F$7,0,IF(A169&lt;$F$8,-GiaDinh_K3!$D$12,IF(A169&lt;$F$9,0,IF(A169&lt;$F$10,GiaDinh_K3!$D$12,0)))))))</f>
        <v>-1.8</v>
      </c>
      <c r="C169" s="43" t="n">
        <f aca="false">IF(A169&lt;$F$4,GiaDinh_K3!$D$12*A169,IF(A169&lt;$F$5,GiaDinh_K3!$D$11,IF(A169&lt;$F$6,GiaDinh_K3!$D$11-GiaDinh_K3!$D$12*(A169-$F$5),IF(A169&lt;$F$7,0,IF(A169&lt;$F$8,-GiaDinh_K3!$D$12*(A169-$F$7),IF(A169&lt;$F$9,-GiaDinh_K3!$D$11,IF(A169&lt;$F$10,-GiaDinh_K3!$D$11+GiaDinh_K3!$D$12*(A169-$F$9),0)))))))</f>
        <v>-0.0600000000000002</v>
      </c>
      <c r="D169" s="46" t="n">
        <f aca="false">MAX(0,D168+(C168+C169)/2*$B$5)</f>
        <v>0.11898</v>
      </c>
      <c r="E169" s="46" t="n">
        <f aca="false">E168+(D168+D169)/2*$B$5</f>
        <v>0.1549827</v>
      </c>
      <c r="F169" s="42" t="n">
        <f aca="false">IF(A169&gt;$F$10,0,IF((Params!$C$21+GiaDinh_K3!$D$8*Params!$C$5*C169)&gt;=0,(Params!$C$21+GiaDinh_K3!$D$8*Params!$C$5*C169)*'Tính chọn'!$D$23/Params!$C$16,(Params!$C$21+GiaDinh_K3!$D$8*Params!$C$5*C169)*'Tính chọn'!$D$23*Params!$C$16)+Catalogue!$F$15*C169/'Tính chọn'!$D$23)</f>
        <v>0.799924125025361</v>
      </c>
      <c r="G169" s="42" t="n">
        <f aca="false">IF(A169&gt;$F$10,0,IF(('Tính chọn'!$D$6+GiaDinh_K3!$D$8*Params!$C$6*C169)&gt;=0,('Tính chọn'!$D$6+GiaDinh_K3!$D$8*Params!$C$6*C169)*'Tính chọn'!$D$23/Params!$C$16,('Tính chọn'!$D$6+GiaDinh_K3!$D$8*Params!$C$6*C169)*'Tính chọn'!$D$23*Params!$C$16)+Catalogue!$F$15*C169/'Tính chọn'!$D$23)</f>
        <v>-0.0540711434180518</v>
      </c>
      <c r="H169" s="45" t="n">
        <f aca="false">F169*D169/'Tính chọn'!$D$23</f>
        <v>118.275841695357</v>
      </c>
    </row>
    <row r="170" customFormat="false" ht="14.25" hidden="false" customHeight="false" outlineLevel="0" collapsed="false">
      <c r="A170" s="41" t="n">
        <f aca="false">156*$B$5</f>
        <v>1.56</v>
      </c>
      <c r="B170" s="42" t="n">
        <f aca="false">IF(A170&lt;$F$4,GiaDinh_K3!$D$12,IF(A170&lt;$F$5,0,IF(A170&lt;$F$6,-GiaDinh_K3!$D$12,IF(A170&lt;$F$7,0,IF(A170&lt;$F$8,-GiaDinh_K3!$D$12,IF(A170&lt;$F$9,0,IF(A170&lt;$F$10,GiaDinh_K3!$D$12,0)))))))</f>
        <v>-1.8</v>
      </c>
      <c r="C170" s="43" t="n">
        <f aca="false">IF(A170&lt;$F$4,GiaDinh_K3!$D$12*A170,IF(A170&lt;$F$5,GiaDinh_K3!$D$11,IF(A170&lt;$F$6,GiaDinh_K3!$D$11-GiaDinh_K3!$D$12*(A170-$F$5),IF(A170&lt;$F$7,0,IF(A170&lt;$F$8,-GiaDinh_K3!$D$12*(A170-$F$7),IF(A170&lt;$F$9,-GiaDinh_K3!$D$11,IF(A170&lt;$F$10,-GiaDinh_K3!$D$11+GiaDinh_K3!$D$12*(A170-$F$9),0)))))))</f>
        <v>-0.0780000000000002</v>
      </c>
      <c r="D170" s="46" t="n">
        <f aca="false">MAX(0,D169+(C169+C170)/2*$B$5)</f>
        <v>0.11829</v>
      </c>
      <c r="E170" s="46" t="n">
        <f aca="false">E169+(D169+D170)/2*$B$5</f>
        <v>0.15616905</v>
      </c>
      <c r="F170" s="42" t="n">
        <f aca="false">IF(A170&gt;$F$10,0,IF((Params!$C$21+GiaDinh_K3!$D$8*Params!$C$5*C170)&gt;=0,(Params!$C$21+GiaDinh_K3!$D$8*Params!$C$5*C170)*'Tính chọn'!$D$23/Params!$C$16,(Params!$C$21+GiaDinh_K3!$D$8*Params!$C$5*C170)*'Tính chọn'!$D$23*Params!$C$16)+Catalogue!$F$15*C170/'Tính chọn'!$D$23)</f>
        <v>0.47769249810655</v>
      </c>
      <c r="G170" s="42" t="n">
        <f aca="false">IF(A170&gt;$F$10,0,IF(('Tính chọn'!$D$6+GiaDinh_K3!$D$8*Params!$C$6*C170)&gt;=0,('Tính chọn'!$D$6+GiaDinh_K3!$D$8*Params!$C$6*C170)*'Tính chọn'!$D$23/Params!$C$16,('Tính chọn'!$D$6+GiaDinh_K3!$D$8*Params!$C$6*C170)*'Tính chọn'!$D$23*Params!$C$16)+Catalogue!$F$15*C170/'Tính chọn'!$D$23)</f>
        <v>-0.150100568714614</v>
      </c>
      <c r="H170" s="45" t="n">
        <f aca="false">F170*D170/'Tính chọn'!$D$23</f>
        <v>70.2214415333042</v>
      </c>
    </row>
    <row r="171" customFormat="false" ht="14.25" hidden="false" customHeight="false" outlineLevel="0" collapsed="false">
      <c r="A171" s="41" t="n">
        <f aca="false">157*$B$5</f>
        <v>1.57</v>
      </c>
      <c r="B171" s="42" t="n">
        <f aca="false">IF(A171&lt;$F$4,GiaDinh_K3!$D$12,IF(A171&lt;$F$5,0,IF(A171&lt;$F$6,-GiaDinh_K3!$D$12,IF(A171&lt;$F$7,0,IF(A171&lt;$F$8,-GiaDinh_K3!$D$12,IF(A171&lt;$F$9,0,IF(A171&lt;$F$10,GiaDinh_K3!$D$12,0)))))))</f>
        <v>-1.8</v>
      </c>
      <c r="C171" s="43" t="n">
        <f aca="false">IF(A171&lt;$F$4,GiaDinh_K3!$D$12*A171,IF(A171&lt;$F$5,GiaDinh_K3!$D$11,IF(A171&lt;$F$6,GiaDinh_K3!$D$11-GiaDinh_K3!$D$12*(A171-$F$5),IF(A171&lt;$F$7,0,IF(A171&lt;$F$8,-GiaDinh_K3!$D$12*(A171-$F$7),IF(A171&lt;$F$9,-GiaDinh_K3!$D$11,IF(A171&lt;$F$10,-GiaDinh_K3!$D$11+GiaDinh_K3!$D$12*(A171-$F$9),0)))))))</f>
        <v>-0.0960000000000002</v>
      </c>
      <c r="D171" s="46" t="n">
        <f aca="false">MAX(0,D170+(C170+C171)/2*$B$5)</f>
        <v>0.11742</v>
      </c>
      <c r="E171" s="46" t="n">
        <f aca="false">E170+(D170+D171)/2*$B$5</f>
        <v>0.1573476</v>
      </c>
      <c r="F171" s="42" t="n">
        <f aca="false">IF(A171&gt;$F$10,0,IF((Params!$C$21+GiaDinh_K3!$D$8*Params!$C$5*C171)&gt;=0,(Params!$C$21+GiaDinh_K3!$D$8*Params!$C$5*C171)*'Tính chọn'!$D$23/Params!$C$16,(Params!$C$21+GiaDinh_K3!$D$8*Params!$C$5*C171)*'Tính chọn'!$D$23*Params!$C$16)+Catalogue!$F$15*C171/'Tính chọn'!$D$23)</f>
        <v>0.155460871187739</v>
      </c>
      <c r="G171" s="42" t="n">
        <f aca="false">IF(A171&gt;$F$10,0,IF(('Tính chọn'!$D$6+GiaDinh_K3!$D$8*Params!$C$6*C171)&gt;=0,('Tính chọn'!$D$6+GiaDinh_K3!$D$8*Params!$C$6*C171)*'Tính chọn'!$D$23/Params!$C$16,('Tính chọn'!$D$6+GiaDinh_K3!$D$8*Params!$C$6*C171)*'Tính chọn'!$D$23*Params!$C$16)+Catalogue!$F$15*C171/'Tính chọn'!$D$23)</f>
        <v>-0.246129994011177</v>
      </c>
      <c r="H171" s="45" t="n">
        <f aca="false">F171*D171/'Tính chọn'!$D$23</f>
        <v>22.6848786797778</v>
      </c>
    </row>
    <row r="172" customFormat="false" ht="14.25" hidden="false" customHeight="false" outlineLevel="0" collapsed="false">
      <c r="A172" s="41" t="n">
        <f aca="false">158*$B$5</f>
        <v>1.58</v>
      </c>
      <c r="B172" s="42" t="n">
        <f aca="false">IF(A172&lt;$F$4,GiaDinh_K3!$D$12,IF(A172&lt;$F$5,0,IF(A172&lt;$F$6,-GiaDinh_K3!$D$12,IF(A172&lt;$F$7,0,IF(A172&lt;$F$8,-GiaDinh_K3!$D$12,IF(A172&lt;$F$9,0,IF(A172&lt;$F$10,GiaDinh_K3!$D$12,0)))))))</f>
        <v>-1.8</v>
      </c>
      <c r="C172" s="43" t="n">
        <f aca="false">IF(A172&lt;$F$4,GiaDinh_K3!$D$12*A172,IF(A172&lt;$F$5,GiaDinh_K3!$D$11,IF(A172&lt;$F$6,GiaDinh_K3!$D$11-GiaDinh_K3!$D$12*(A172-$F$5),IF(A172&lt;$F$7,0,IF(A172&lt;$F$8,-GiaDinh_K3!$D$12*(A172-$F$7),IF(A172&lt;$F$9,-GiaDinh_K3!$D$11,IF(A172&lt;$F$10,-GiaDinh_K3!$D$11+GiaDinh_K3!$D$12*(A172-$F$9),0)))))))</f>
        <v>-0.114</v>
      </c>
      <c r="D172" s="46" t="n">
        <f aca="false">MAX(0,D171+(C171+C172)/2*$B$5)</f>
        <v>0.11637</v>
      </c>
      <c r="E172" s="46" t="n">
        <f aca="false">E171+(D171+D172)/2*$B$5</f>
        <v>0.15851655</v>
      </c>
      <c r="F172" s="42" t="n">
        <f aca="false">IF(A172&gt;$F$10,0,IF((Params!$C$21+GiaDinh_K3!$D$8*Params!$C$5*C172)&gt;=0,(Params!$C$21+GiaDinh_K3!$D$8*Params!$C$5*C172)*'Tính chọn'!$D$23/Params!$C$16,(Params!$C$21+GiaDinh_K3!$D$8*Params!$C$5*C172)*'Tính chọn'!$D$23*Params!$C$16)+Catalogue!$F$15*C172/'Tính chọn'!$D$23)</f>
        <v>-0.166770755731071</v>
      </c>
      <c r="G172" s="42" t="n">
        <f aca="false">IF(A172&gt;$F$10,0,IF(('Tính chọn'!$D$6+GiaDinh_K3!$D$8*Params!$C$6*C172)&gt;=0,('Tính chọn'!$D$6+GiaDinh_K3!$D$8*Params!$C$6*C172)*'Tính chọn'!$D$23/Params!$C$16,('Tính chọn'!$D$6+GiaDinh_K3!$D$8*Params!$C$6*C172)*'Tính chọn'!$D$23*Params!$C$16)+Catalogue!$F$15*C172/'Tính chọn'!$D$23)</f>
        <v>-0.342159419307739</v>
      </c>
      <c r="H172" s="45" t="n">
        <f aca="false">F172*D172/'Tính chọn'!$D$23</f>
        <v>-24.1176072740235</v>
      </c>
    </row>
    <row r="173" customFormat="false" ht="14.25" hidden="false" customHeight="false" outlineLevel="0" collapsed="false">
      <c r="A173" s="41" t="n">
        <f aca="false">159*$B$5</f>
        <v>1.59</v>
      </c>
      <c r="B173" s="42" t="n">
        <f aca="false">IF(A173&lt;$F$4,GiaDinh_K3!$D$12,IF(A173&lt;$F$5,0,IF(A173&lt;$F$6,-GiaDinh_K3!$D$12,IF(A173&lt;$F$7,0,IF(A173&lt;$F$8,-GiaDinh_K3!$D$12,IF(A173&lt;$F$9,0,IF(A173&lt;$F$10,GiaDinh_K3!$D$12,0)))))))</f>
        <v>-1.8</v>
      </c>
      <c r="C173" s="43" t="n">
        <f aca="false">IF(A173&lt;$F$4,GiaDinh_K3!$D$12*A173,IF(A173&lt;$F$5,GiaDinh_K3!$D$11,IF(A173&lt;$F$6,GiaDinh_K3!$D$11-GiaDinh_K3!$D$12*(A173-$F$5),IF(A173&lt;$F$7,0,IF(A173&lt;$F$8,-GiaDinh_K3!$D$12*(A173-$F$7),IF(A173&lt;$F$9,-GiaDinh_K3!$D$11,IF(A173&lt;$F$10,-GiaDinh_K3!$D$11+GiaDinh_K3!$D$12*(A173-$F$9),0)))))))</f>
        <v>-0.132</v>
      </c>
      <c r="D173" s="46" t="n">
        <f aca="false">MAX(0,D172+(C172+C173)/2*$B$5)</f>
        <v>0.11514</v>
      </c>
      <c r="E173" s="46" t="n">
        <f aca="false">E172+(D172+D173)/2*$B$5</f>
        <v>0.1596741</v>
      </c>
      <c r="F173" s="42" t="n">
        <f aca="false">IF(A173&gt;$F$10,0,IF((Params!$C$21+GiaDinh_K3!$D$8*Params!$C$5*C173)&gt;=0,(Params!$C$21+GiaDinh_K3!$D$8*Params!$C$5*C173)*'Tính chọn'!$D$23/Params!$C$16,(Params!$C$21+GiaDinh_K3!$D$8*Params!$C$5*C173)*'Tính chọn'!$D$23*Params!$C$16)+Catalogue!$F$15*C173/'Tính chọn'!$D$23)</f>
        <v>-0.477750564058405</v>
      </c>
      <c r="G173" s="42" t="n">
        <f aca="false">IF(A173&gt;$F$10,0,IF(('Tính chọn'!$D$6+GiaDinh_K3!$D$8*Params!$C$6*C173)&gt;=0,('Tính chọn'!$D$6+GiaDinh_K3!$D$8*Params!$C$6*C173)*'Tính chọn'!$D$23/Params!$C$16,('Tính chọn'!$D$6+GiaDinh_K3!$D$8*Params!$C$6*C173)*'Tính chọn'!$D$23*Params!$C$16)+Catalogue!$F$15*C173/'Tính chọn'!$D$23)</f>
        <v>-0.436591598241484</v>
      </c>
      <c r="H173" s="45" t="n">
        <f aca="false">F173*D173/'Tính chọn'!$D$23</f>
        <v>-68.3597902365013</v>
      </c>
    </row>
    <row r="174" customFormat="false" ht="14.25" hidden="false" customHeight="false" outlineLevel="0" collapsed="false">
      <c r="A174" s="41" t="n">
        <f aca="false">160*$B$5</f>
        <v>1.6</v>
      </c>
      <c r="B174" s="42" t="n">
        <f aca="false">IF(A174&lt;$F$4,GiaDinh_K3!$D$12,IF(A174&lt;$F$5,0,IF(A174&lt;$F$6,-GiaDinh_K3!$D$12,IF(A174&lt;$F$7,0,IF(A174&lt;$F$8,-GiaDinh_K3!$D$12,IF(A174&lt;$F$9,0,IF(A174&lt;$F$10,GiaDinh_K3!$D$12,0)))))))</f>
        <v>-1.8</v>
      </c>
      <c r="C174" s="43" t="n">
        <f aca="false">IF(A174&lt;$F$4,GiaDinh_K3!$D$12*A174,IF(A174&lt;$F$5,GiaDinh_K3!$D$11,IF(A174&lt;$F$6,GiaDinh_K3!$D$11-GiaDinh_K3!$D$12*(A174-$F$5),IF(A174&lt;$F$7,0,IF(A174&lt;$F$8,-GiaDinh_K3!$D$12*(A174-$F$7),IF(A174&lt;$F$9,-GiaDinh_K3!$D$11,IF(A174&lt;$F$10,-GiaDinh_K3!$D$11+GiaDinh_K3!$D$12*(A174-$F$9),0)))))))</f>
        <v>-0.15</v>
      </c>
      <c r="D174" s="46" t="n">
        <f aca="false">MAX(0,D173+(C173+C174)/2*$B$5)</f>
        <v>0.11373</v>
      </c>
      <c r="E174" s="46" t="n">
        <f aca="false">E173+(D173+D174)/2*$B$5</f>
        <v>0.16081845</v>
      </c>
      <c r="F174" s="42" t="n">
        <f aca="false">IF(A174&gt;$F$10,0,IF((Params!$C$21+GiaDinh_K3!$D$8*Params!$C$5*C174)&gt;=0,(Params!$C$21+GiaDinh_K3!$D$8*Params!$C$5*C174)*'Tính chọn'!$D$23/Params!$C$16,(Params!$C$21+GiaDinh_K3!$D$8*Params!$C$5*C174)*'Tính chọn'!$D$23*Params!$C$16)+Catalogue!$F$15*C174/'Tính chọn'!$D$23)</f>
        <v>-0.749893450150641</v>
      </c>
      <c r="G174" s="42" t="n">
        <f aca="false">IF(A174&gt;$F$10,0,IF(('Tính chọn'!$D$6+GiaDinh_K3!$D$8*Params!$C$6*C174)&gt;=0,('Tính chọn'!$D$6+GiaDinh_K3!$D$8*Params!$C$6*C174)*'Tính chọn'!$D$23/Params!$C$16,('Tính chọn'!$D$6+GiaDinh_K3!$D$8*Params!$C$6*C174)*'Tính chọn'!$D$23*Params!$C$16)+Catalogue!$F$15*C174/'Tính chọn'!$D$23)</f>
        <v>-0.5255107010197</v>
      </c>
      <c r="H174" s="45" t="n">
        <f aca="false">F174*D174/'Tính chọn'!$D$23</f>
        <v>-105.985850025457</v>
      </c>
    </row>
    <row r="175" customFormat="false" ht="14.25" hidden="false" customHeight="false" outlineLevel="0" collapsed="false">
      <c r="A175" s="41" t="n">
        <f aca="false">161*$B$5</f>
        <v>1.61</v>
      </c>
      <c r="B175" s="42" t="n">
        <f aca="false">IF(A175&lt;$F$4,GiaDinh_K3!$D$12,IF(A175&lt;$F$5,0,IF(A175&lt;$F$6,-GiaDinh_K3!$D$12,IF(A175&lt;$F$7,0,IF(A175&lt;$F$8,-GiaDinh_K3!$D$12,IF(A175&lt;$F$9,0,IF(A175&lt;$F$10,GiaDinh_K3!$D$12,0)))))))</f>
        <v>-1.8</v>
      </c>
      <c r="C175" s="43" t="n">
        <f aca="false">IF(A175&lt;$F$4,GiaDinh_K3!$D$12*A175,IF(A175&lt;$F$5,GiaDinh_K3!$D$11,IF(A175&lt;$F$6,GiaDinh_K3!$D$11-GiaDinh_K3!$D$12*(A175-$F$5),IF(A175&lt;$F$7,0,IF(A175&lt;$F$8,-GiaDinh_K3!$D$12*(A175-$F$7),IF(A175&lt;$F$9,-GiaDinh_K3!$D$11,IF(A175&lt;$F$10,-GiaDinh_K3!$D$11+GiaDinh_K3!$D$12*(A175-$F$9),0)))))))</f>
        <v>-0.168</v>
      </c>
      <c r="D175" s="46" t="n">
        <f aca="false">MAX(0,D174+(C174+C175)/2*$B$5)</f>
        <v>0.11214</v>
      </c>
      <c r="E175" s="46" t="n">
        <f aca="false">E174+(D174+D175)/2*$B$5</f>
        <v>0.1619478</v>
      </c>
      <c r="F175" s="42" t="n">
        <f aca="false">IF(A175&gt;$F$10,0,IF((Params!$C$21+GiaDinh_K3!$D$8*Params!$C$5*C175)&gt;=0,(Params!$C$21+GiaDinh_K3!$D$8*Params!$C$5*C175)*'Tính chọn'!$D$23/Params!$C$16,(Params!$C$21+GiaDinh_K3!$D$8*Params!$C$5*C175)*'Tính chọn'!$D$23*Params!$C$16)+Catalogue!$F$15*C175/'Tính chọn'!$D$23)</f>
        <v>-1.02203633624288</v>
      </c>
      <c r="G175" s="42" t="n">
        <f aca="false">IF(A175&gt;$F$10,0,IF(('Tính chọn'!$D$6+GiaDinh_K3!$D$8*Params!$C$6*C175)&gt;=0,('Tính chọn'!$D$6+GiaDinh_K3!$D$8*Params!$C$6*C175)*'Tính chọn'!$D$23/Params!$C$16,('Tính chọn'!$D$6+GiaDinh_K3!$D$8*Params!$C$6*C175)*'Tính chọn'!$D$23*Params!$C$16)+Catalogue!$F$15*C175/'Tính chọn'!$D$23)</f>
        <v>-0.614429803797916</v>
      </c>
      <c r="H175" s="45" t="n">
        <f aca="false">F175*D175/'Tính chọn'!$D$23</f>
        <v>-142.429574226292</v>
      </c>
    </row>
    <row r="176" customFormat="false" ht="14.25" hidden="false" customHeight="false" outlineLevel="0" collapsed="false">
      <c r="A176" s="41" t="n">
        <f aca="false">162*$B$5</f>
        <v>1.62</v>
      </c>
      <c r="B176" s="42" t="n">
        <f aca="false">IF(A176&lt;$F$4,GiaDinh_K3!$D$12,IF(A176&lt;$F$5,0,IF(A176&lt;$F$6,-GiaDinh_K3!$D$12,IF(A176&lt;$F$7,0,IF(A176&lt;$F$8,-GiaDinh_K3!$D$12,IF(A176&lt;$F$9,0,IF(A176&lt;$F$10,GiaDinh_K3!$D$12,0)))))))</f>
        <v>-1.8</v>
      </c>
      <c r="C176" s="43" t="n">
        <f aca="false">IF(A176&lt;$F$4,GiaDinh_K3!$D$12*A176,IF(A176&lt;$F$5,GiaDinh_K3!$D$11,IF(A176&lt;$F$6,GiaDinh_K3!$D$11-GiaDinh_K3!$D$12*(A176-$F$5),IF(A176&lt;$F$7,0,IF(A176&lt;$F$8,-GiaDinh_K3!$D$12*(A176-$F$7),IF(A176&lt;$F$9,-GiaDinh_K3!$D$11,IF(A176&lt;$F$10,-GiaDinh_K3!$D$11+GiaDinh_K3!$D$12*(A176-$F$9),0)))))))</f>
        <v>-0.186</v>
      </c>
      <c r="D176" s="46" t="n">
        <f aca="false">MAX(0,D175+(C175+C176)/2*$B$5)</f>
        <v>0.11037</v>
      </c>
      <c r="E176" s="46" t="n">
        <f aca="false">E175+(D175+D176)/2*$B$5</f>
        <v>0.16306035</v>
      </c>
      <c r="F176" s="42" t="n">
        <f aca="false">IF(A176&gt;$F$10,0,IF((Params!$C$21+GiaDinh_K3!$D$8*Params!$C$5*C176)&gt;=0,(Params!$C$21+GiaDinh_K3!$D$8*Params!$C$5*C176)*'Tính chọn'!$D$23/Params!$C$16,(Params!$C$21+GiaDinh_K3!$D$8*Params!$C$5*C176)*'Tính chọn'!$D$23*Params!$C$16)+Catalogue!$F$15*C176/'Tính chọn'!$D$23)</f>
        <v>-1.29417922233511</v>
      </c>
      <c r="G176" s="42" t="n">
        <f aca="false">IF(A176&gt;$F$10,0,IF(('Tính chọn'!$D$6+GiaDinh_K3!$D$8*Params!$C$6*C176)&gt;=0,('Tính chọn'!$D$6+GiaDinh_K3!$D$8*Params!$C$6*C176)*'Tính chọn'!$D$23/Params!$C$16,('Tính chọn'!$D$6+GiaDinh_K3!$D$8*Params!$C$6*C176)*'Tính chọn'!$D$23*Params!$C$16)+Catalogue!$F$15*C176/'Tính chọn'!$D$23)</f>
        <v>-0.703348906576131</v>
      </c>
      <c r="H176" s="45" t="n">
        <f aca="false">F176*D176/'Tính chọn'!$D$23</f>
        <v>-177.508336239009</v>
      </c>
    </row>
    <row r="177" customFormat="false" ht="14.25" hidden="false" customHeight="false" outlineLevel="0" collapsed="false">
      <c r="A177" s="41" t="n">
        <f aca="false">163*$B$5</f>
        <v>1.63</v>
      </c>
      <c r="B177" s="42" t="n">
        <f aca="false">IF(A177&lt;$F$4,GiaDinh_K3!$D$12,IF(A177&lt;$F$5,0,IF(A177&lt;$F$6,-GiaDinh_K3!$D$12,IF(A177&lt;$F$7,0,IF(A177&lt;$F$8,-GiaDinh_K3!$D$12,IF(A177&lt;$F$9,0,IF(A177&lt;$F$10,GiaDinh_K3!$D$12,0)))))))</f>
        <v>-1.8</v>
      </c>
      <c r="C177" s="43" t="n">
        <f aca="false">IF(A177&lt;$F$4,GiaDinh_K3!$D$12*A177,IF(A177&lt;$F$5,GiaDinh_K3!$D$11,IF(A177&lt;$F$6,GiaDinh_K3!$D$11-GiaDinh_K3!$D$12*(A177-$F$5),IF(A177&lt;$F$7,0,IF(A177&lt;$F$8,-GiaDinh_K3!$D$12*(A177-$F$7),IF(A177&lt;$F$9,-GiaDinh_K3!$D$11,IF(A177&lt;$F$10,-GiaDinh_K3!$D$11+GiaDinh_K3!$D$12*(A177-$F$9),0)))))))</f>
        <v>-0.204</v>
      </c>
      <c r="D177" s="46" t="n">
        <f aca="false">MAX(0,D176+(C176+C177)/2*$B$5)</f>
        <v>0.10842</v>
      </c>
      <c r="E177" s="46" t="n">
        <f aca="false">E176+(D176+D177)/2*$B$5</f>
        <v>0.1641543</v>
      </c>
      <c r="F177" s="42" t="n">
        <f aca="false">IF(A177&gt;$F$10,0,IF((Params!$C$21+GiaDinh_K3!$D$8*Params!$C$5*C177)&gt;=0,(Params!$C$21+GiaDinh_K3!$D$8*Params!$C$5*C177)*'Tính chọn'!$D$23/Params!$C$16,(Params!$C$21+GiaDinh_K3!$D$8*Params!$C$5*C177)*'Tính chọn'!$D$23*Params!$C$16)+Catalogue!$F$15*C177/'Tính chọn'!$D$23)</f>
        <v>-1.56632210842735</v>
      </c>
      <c r="G177" s="42" t="n">
        <f aca="false">IF(A177&gt;$F$10,0,IF(('Tính chọn'!$D$6+GiaDinh_K3!$D$8*Params!$C$6*C177)&gt;=0,('Tính chọn'!$D$6+GiaDinh_K3!$D$8*Params!$C$6*C177)*'Tính chọn'!$D$23/Params!$C$16,('Tính chọn'!$D$6+GiaDinh_K3!$D$8*Params!$C$6*C177)*'Tính chọn'!$D$23*Params!$C$16)+Catalogue!$F$15*C177/'Tính chọn'!$D$23)</f>
        <v>-0.792268009354347</v>
      </c>
      <c r="H177" s="45" t="n">
        <f aca="false">F177*D177/'Tính chọn'!$D$23</f>
        <v>-211.039509463608</v>
      </c>
    </row>
    <row r="178" customFormat="false" ht="14.25" hidden="false" customHeight="false" outlineLevel="0" collapsed="false">
      <c r="A178" s="41" t="n">
        <f aca="false">164*$B$5</f>
        <v>1.64</v>
      </c>
      <c r="B178" s="42" t="n">
        <f aca="false">IF(A178&lt;$F$4,GiaDinh_K3!$D$12,IF(A178&lt;$F$5,0,IF(A178&lt;$F$6,-GiaDinh_K3!$D$12,IF(A178&lt;$F$7,0,IF(A178&lt;$F$8,-GiaDinh_K3!$D$12,IF(A178&lt;$F$9,0,IF(A178&lt;$F$10,GiaDinh_K3!$D$12,0)))))))</f>
        <v>-1.8</v>
      </c>
      <c r="C178" s="43" t="n">
        <f aca="false">IF(A178&lt;$F$4,GiaDinh_K3!$D$12*A178,IF(A178&lt;$F$5,GiaDinh_K3!$D$11,IF(A178&lt;$F$6,GiaDinh_K3!$D$11-GiaDinh_K3!$D$12*(A178-$F$5),IF(A178&lt;$F$7,0,IF(A178&lt;$F$8,-GiaDinh_K3!$D$12*(A178-$F$7),IF(A178&lt;$F$9,-GiaDinh_K3!$D$11,IF(A178&lt;$F$10,-GiaDinh_K3!$D$11+GiaDinh_K3!$D$12*(A178-$F$9),0)))))))</f>
        <v>-0.222</v>
      </c>
      <c r="D178" s="46" t="n">
        <f aca="false">MAX(0,D177+(C177+C178)/2*$B$5)</f>
        <v>0.10629</v>
      </c>
      <c r="E178" s="46" t="n">
        <f aca="false">E177+(D177+D178)/2*$B$5</f>
        <v>0.16522785</v>
      </c>
      <c r="F178" s="42" t="n">
        <f aca="false">IF(A178&gt;$F$10,0,IF((Params!$C$21+GiaDinh_K3!$D$8*Params!$C$5*C178)&gt;=0,(Params!$C$21+GiaDinh_K3!$D$8*Params!$C$5*C178)*'Tính chọn'!$D$23/Params!$C$16,(Params!$C$21+GiaDinh_K3!$D$8*Params!$C$5*C178)*'Tính chọn'!$D$23*Params!$C$16)+Catalogue!$F$15*C178/'Tính chọn'!$D$23)</f>
        <v>-1.83846499451959</v>
      </c>
      <c r="G178" s="42" t="n">
        <f aca="false">IF(A178&gt;$F$10,0,IF(('Tính chọn'!$D$6+GiaDinh_K3!$D$8*Params!$C$6*C178)&gt;=0,('Tính chọn'!$D$6+GiaDinh_K3!$D$8*Params!$C$6*C178)*'Tính chọn'!$D$23/Params!$C$16,('Tính chọn'!$D$6+GiaDinh_K3!$D$8*Params!$C$6*C178)*'Tính chọn'!$D$23*Params!$C$16)+Catalogue!$F$15*C178/'Tính chọn'!$D$23)</f>
        <v>-0.881187112132563</v>
      </c>
      <c r="H178" s="45" t="n">
        <f aca="false">F178*D178/'Tính chọn'!$D$23</f>
        <v>-242.840467300091</v>
      </c>
    </row>
    <row r="179" customFormat="false" ht="14.25" hidden="false" customHeight="false" outlineLevel="0" collapsed="false">
      <c r="A179" s="41" t="n">
        <f aca="false">165*$B$5</f>
        <v>1.65</v>
      </c>
      <c r="B179" s="42" t="n">
        <f aca="false">IF(A179&lt;$F$4,GiaDinh_K3!$D$12,IF(A179&lt;$F$5,0,IF(A179&lt;$F$6,-GiaDinh_K3!$D$12,IF(A179&lt;$F$7,0,IF(A179&lt;$F$8,-GiaDinh_K3!$D$12,IF(A179&lt;$F$9,0,IF(A179&lt;$F$10,GiaDinh_K3!$D$12,0)))))))</f>
        <v>-1.8</v>
      </c>
      <c r="C179" s="43" t="n">
        <f aca="false">IF(A179&lt;$F$4,GiaDinh_K3!$D$12*A179,IF(A179&lt;$F$5,GiaDinh_K3!$D$11,IF(A179&lt;$F$6,GiaDinh_K3!$D$11-GiaDinh_K3!$D$12*(A179-$F$5),IF(A179&lt;$F$7,0,IF(A179&lt;$F$8,-GiaDinh_K3!$D$12*(A179-$F$7),IF(A179&lt;$F$9,-GiaDinh_K3!$D$11,IF(A179&lt;$F$10,-GiaDinh_K3!$D$11+GiaDinh_K3!$D$12*(A179-$F$9),0)))))))</f>
        <v>-0.24</v>
      </c>
      <c r="D179" s="46" t="n">
        <f aca="false">MAX(0,D178+(C178+C179)/2*$B$5)</f>
        <v>0.10398</v>
      </c>
      <c r="E179" s="46" t="n">
        <f aca="false">E178+(D178+D179)/2*$B$5</f>
        <v>0.1662792</v>
      </c>
      <c r="F179" s="42" t="n">
        <f aca="false">IF(A179&gt;$F$10,0,IF((Params!$C$21+GiaDinh_K3!$D$8*Params!$C$5*C179)&gt;=0,(Params!$C$21+GiaDinh_K3!$D$8*Params!$C$5*C179)*'Tính chọn'!$D$23/Params!$C$16,(Params!$C$21+GiaDinh_K3!$D$8*Params!$C$5*C179)*'Tính chọn'!$D$23*Params!$C$16)+Catalogue!$F$15*C179/'Tính chọn'!$D$23)</f>
        <v>-2.11060788061182</v>
      </c>
      <c r="G179" s="42" t="n">
        <f aca="false">IF(A179&gt;$F$10,0,IF(('Tính chọn'!$D$6+GiaDinh_K3!$D$8*Params!$C$6*C179)&gt;=0,('Tính chọn'!$D$6+GiaDinh_K3!$D$8*Params!$C$6*C179)*'Tính chọn'!$D$23/Params!$C$16,('Tính chọn'!$D$6+GiaDinh_K3!$D$8*Params!$C$6*C179)*'Tính chọn'!$D$23*Params!$C$16)+Catalogue!$F$15*C179/'Tính chọn'!$D$23)</f>
        <v>-0.970106214910778</v>
      </c>
      <c r="H179" s="45" t="n">
        <f aca="false">F179*D179/'Tính chọn'!$D$23</f>
        <v>-272.72858314846</v>
      </c>
    </row>
    <row r="180" customFormat="false" ht="14.25" hidden="false" customHeight="false" outlineLevel="0" collapsed="false">
      <c r="A180" s="41" t="n">
        <f aca="false">166*$B$5</f>
        <v>1.66</v>
      </c>
      <c r="B180" s="42" t="n">
        <f aca="false">IF(A180&lt;$F$4,GiaDinh_K3!$D$12,IF(A180&lt;$F$5,0,IF(A180&lt;$F$6,-GiaDinh_K3!$D$12,IF(A180&lt;$F$7,0,IF(A180&lt;$F$8,-GiaDinh_K3!$D$12,IF(A180&lt;$F$9,0,IF(A180&lt;$F$10,GiaDinh_K3!$D$12,0)))))))</f>
        <v>-1.8</v>
      </c>
      <c r="C180" s="43" t="n">
        <f aca="false">IF(A180&lt;$F$4,GiaDinh_K3!$D$12*A180,IF(A180&lt;$F$5,GiaDinh_K3!$D$11,IF(A180&lt;$F$6,GiaDinh_K3!$D$11-GiaDinh_K3!$D$12*(A180-$F$5),IF(A180&lt;$F$7,0,IF(A180&lt;$F$8,-GiaDinh_K3!$D$12*(A180-$F$7),IF(A180&lt;$F$9,-GiaDinh_K3!$D$11,IF(A180&lt;$F$10,-GiaDinh_K3!$D$11+GiaDinh_K3!$D$12*(A180-$F$9),0)))))))</f>
        <v>-0.258</v>
      </c>
      <c r="D180" s="46" t="n">
        <f aca="false">MAX(0,D179+(C179+C180)/2*$B$5)</f>
        <v>0.10149</v>
      </c>
      <c r="E180" s="46" t="n">
        <f aca="false">E179+(D179+D180)/2*$B$5</f>
        <v>0.16730655</v>
      </c>
      <c r="F180" s="42" t="n">
        <f aca="false">IF(A180&gt;$F$10,0,IF((Params!$C$21+GiaDinh_K3!$D$8*Params!$C$5*C180)&gt;=0,(Params!$C$21+GiaDinh_K3!$D$8*Params!$C$5*C180)*'Tính chọn'!$D$23/Params!$C$16,(Params!$C$21+GiaDinh_K3!$D$8*Params!$C$5*C180)*'Tính chọn'!$D$23*Params!$C$16)+Catalogue!$F$15*C180/'Tính chọn'!$D$23)</f>
        <v>-2.38275076670406</v>
      </c>
      <c r="G180" s="42" t="n">
        <f aca="false">IF(A180&gt;$F$10,0,IF(('Tính chọn'!$D$6+GiaDinh_K3!$D$8*Params!$C$6*C180)&gt;=0,('Tính chọn'!$D$6+GiaDinh_K3!$D$8*Params!$C$6*C180)*'Tính chọn'!$D$23/Params!$C$16,('Tính chọn'!$D$6+GiaDinh_K3!$D$8*Params!$C$6*C180)*'Tính chọn'!$D$23*Params!$C$16)+Catalogue!$F$15*C180/'Tính chọn'!$D$23)</f>
        <v>-1.05902531768899</v>
      </c>
      <c r="H180" s="45" t="n">
        <f aca="false">F180*D180/'Tính chọn'!$D$23</f>
        <v>-300.521230408717</v>
      </c>
    </row>
    <row r="181" customFormat="false" ht="14.25" hidden="false" customHeight="false" outlineLevel="0" collapsed="false">
      <c r="A181" s="41" t="n">
        <f aca="false">167*$B$5</f>
        <v>1.67</v>
      </c>
      <c r="B181" s="42" t="n">
        <f aca="false">IF(A181&lt;$F$4,GiaDinh_K3!$D$12,IF(A181&lt;$F$5,0,IF(A181&lt;$F$6,-GiaDinh_K3!$D$12,IF(A181&lt;$F$7,0,IF(A181&lt;$F$8,-GiaDinh_K3!$D$12,IF(A181&lt;$F$9,0,IF(A181&lt;$F$10,GiaDinh_K3!$D$12,0)))))))</f>
        <v>-1.8</v>
      </c>
      <c r="C181" s="43" t="n">
        <f aca="false">IF(A181&lt;$F$4,GiaDinh_K3!$D$12*A181,IF(A181&lt;$F$5,GiaDinh_K3!$D$11,IF(A181&lt;$F$6,GiaDinh_K3!$D$11-GiaDinh_K3!$D$12*(A181-$F$5),IF(A181&lt;$F$7,0,IF(A181&lt;$F$8,-GiaDinh_K3!$D$12*(A181-$F$7),IF(A181&lt;$F$9,-GiaDinh_K3!$D$11,IF(A181&lt;$F$10,-GiaDinh_K3!$D$11+GiaDinh_K3!$D$12*(A181-$F$9),0)))))))</f>
        <v>-0.276</v>
      </c>
      <c r="D181" s="46" t="n">
        <f aca="false">MAX(0,D180+(C180+C181)/2*$B$5)</f>
        <v>0.0988199999999999</v>
      </c>
      <c r="E181" s="46" t="n">
        <f aca="false">E180+(D180+D181)/2*$B$5</f>
        <v>0.1683081</v>
      </c>
      <c r="F181" s="42" t="n">
        <f aca="false">IF(A181&gt;$F$10,0,IF((Params!$C$21+GiaDinh_K3!$D$8*Params!$C$5*C181)&gt;=0,(Params!$C$21+GiaDinh_K3!$D$8*Params!$C$5*C181)*'Tính chọn'!$D$23/Params!$C$16,(Params!$C$21+GiaDinh_K3!$D$8*Params!$C$5*C181)*'Tính chọn'!$D$23*Params!$C$16)+Catalogue!$F$15*C181/'Tính chọn'!$D$23)</f>
        <v>-2.65489365279629</v>
      </c>
      <c r="G181" s="42" t="n">
        <f aca="false">IF(A181&gt;$F$10,0,IF(('Tính chọn'!$D$6+GiaDinh_K3!$D$8*Params!$C$6*C181)&gt;=0,('Tính chọn'!$D$6+GiaDinh_K3!$D$8*Params!$C$6*C181)*'Tính chọn'!$D$23/Params!$C$16,('Tính chọn'!$D$6+GiaDinh_K3!$D$8*Params!$C$6*C181)*'Tính chọn'!$D$23*Params!$C$16)+Catalogue!$F$15*C181/'Tính chọn'!$D$23)</f>
        <v>-1.14794442046721</v>
      </c>
      <c r="H181" s="45" t="n">
        <f aca="false">F181*D181/'Tính chọn'!$D$23</f>
        <v>-326.035782480861</v>
      </c>
    </row>
    <row r="182" customFormat="false" ht="14.25" hidden="false" customHeight="false" outlineLevel="0" collapsed="false">
      <c r="A182" s="41" t="n">
        <f aca="false">168*$B$5</f>
        <v>1.68</v>
      </c>
      <c r="B182" s="42" t="n">
        <f aca="false">IF(A182&lt;$F$4,GiaDinh_K3!$D$12,IF(A182&lt;$F$5,0,IF(A182&lt;$F$6,-GiaDinh_K3!$D$12,IF(A182&lt;$F$7,0,IF(A182&lt;$F$8,-GiaDinh_K3!$D$12,IF(A182&lt;$F$9,0,IF(A182&lt;$F$10,GiaDinh_K3!$D$12,0)))))))</f>
        <v>-1.8</v>
      </c>
      <c r="C182" s="43" t="n">
        <f aca="false">IF(A182&lt;$F$4,GiaDinh_K3!$D$12*A182,IF(A182&lt;$F$5,GiaDinh_K3!$D$11,IF(A182&lt;$F$6,GiaDinh_K3!$D$11-GiaDinh_K3!$D$12*(A182-$F$5),IF(A182&lt;$F$7,0,IF(A182&lt;$F$8,-GiaDinh_K3!$D$12*(A182-$F$7),IF(A182&lt;$F$9,-GiaDinh_K3!$D$11,IF(A182&lt;$F$10,-GiaDinh_K3!$D$11+GiaDinh_K3!$D$12*(A182-$F$9),0)))))))</f>
        <v>-0.294</v>
      </c>
      <c r="D182" s="46" t="n">
        <f aca="false">MAX(0,D181+(C181+C182)/2*$B$5)</f>
        <v>0.0959699999999999</v>
      </c>
      <c r="E182" s="46" t="n">
        <f aca="false">E181+(D181+D182)/2*$B$5</f>
        <v>0.16928205</v>
      </c>
      <c r="F182" s="42" t="n">
        <f aca="false">IF(A182&gt;$F$10,0,IF((Params!$C$21+GiaDinh_K3!$D$8*Params!$C$5*C182)&gt;=0,(Params!$C$21+GiaDinh_K3!$D$8*Params!$C$5*C182)*'Tính chọn'!$D$23/Params!$C$16,(Params!$C$21+GiaDinh_K3!$D$8*Params!$C$5*C182)*'Tính chọn'!$D$23*Params!$C$16)+Catalogue!$F$15*C182/'Tính chọn'!$D$23)</f>
        <v>-2.92703653888853</v>
      </c>
      <c r="G182" s="42" t="n">
        <f aca="false">IF(A182&gt;$F$10,0,IF(('Tính chọn'!$D$6+GiaDinh_K3!$D$8*Params!$C$6*C182)&gt;=0,('Tính chọn'!$D$6+GiaDinh_K3!$D$8*Params!$C$6*C182)*'Tính chọn'!$D$23/Params!$C$16,('Tính chọn'!$D$6+GiaDinh_K3!$D$8*Params!$C$6*C182)*'Tính chọn'!$D$23*Params!$C$16)+Catalogue!$F$15*C182/'Tính chọn'!$D$23)</f>
        <v>-1.23686352324542</v>
      </c>
      <c r="H182" s="45" t="n">
        <f aca="false">F182*D182/'Tính chọn'!$D$23</f>
        <v>-349.089612764896</v>
      </c>
    </row>
    <row r="183" customFormat="false" ht="14.25" hidden="false" customHeight="false" outlineLevel="0" collapsed="false">
      <c r="A183" s="41" t="n">
        <f aca="false">169*$B$5</f>
        <v>1.69</v>
      </c>
      <c r="B183" s="42" t="n">
        <f aca="false">IF(A183&lt;$F$4,GiaDinh_K3!$D$12,IF(A183&lt;$F$5,0,IF(A183&lt;$F$6,-GiaDinh_K3!$D$12,IF(A183&lt;$F$7,0,IF(A183&lt;$F$8,-GiaDinh_K3!$D$12,IF(A183&lt;$F$9,0,IF(A183&lt;$F$10,GiaDinh_K3!$D$12,0)))))))</f>
        <v>-1.8</v>
      </c>
      <c r="C183" s="43" t="n">
        <f aca="false">IF(A183&lt;$F$4,GiaDinh_K3!$D$12*A183,IF(A183&lt;$F$5,GiaDinh_K3!$D$11,IF(A183&lt;$F$6,GiaDinh_K3!$D$11-GiaDinh_K3!$D$12*(A183-$F$5),IF(A183&lt;$F$7,0,IF(A183&lt;$F$8,-GiaDinh_K3!$D$12*(A183-$F$7),IF(A183&lt;$F$9,-GiaDinh_K3!$D$11,IF(A183&lt;$F$10,-GiaDinh_K3!$D$11+GiaDinh_K3!$D$12*(A183-$F$9),0)))))))</f>
        <v>-0.312</v>
      </c>
      <c r="D183" s="46" t="n">
        <f aca="false">MAX(0,D182+(C182+C183)/2*$B$5)</f>
        <v>0.0929399999999999</v>
      </c>
      <c r="E183" s="46" t="n">
        <f aca="false">E182+(D182+D183)/2*$B$5</f>
        <v>0.1702266</v>
      </c>
      <c r="F183" s="42" t="n">
        <f aca="false">IF(A183&gt;$F$10,0,IF((Params!$C$21+GiaDinh_K3!$D$8*Params!$C$5*C183)&gt;=0,(Params!$C$21+GiaDinh_K3!$D$8*Params!$C$5*C183)*'Tính chọn'!$D$23/Params!$C$16,(Params!$C$21+GiaDinh_K3!$D$8*Params!$C$5*C183)*'Tính chọn'!$D$23*Params!$C$16)+Catalogue!$F$15*C183/'Tính chọn'!$D$23)</f>
        <v>-3.19917942498076</v>
      </c>
      <c r="G183" s="42" t="n">
        <f aca="false">IF(A183&gt;$F$10,0,IF(('Tính chọn'!$D$6+GiaDinh_K3!$D$8*Params!$C$6*C183)&gt;=0,('Tính chọn'!$D$6+GiaDinh_K3!$D$8*Params!$C$6*C183)*'Tính chọn'!$D$23/Params!$C$16,('Tính chọn'!$D$6+GiaDinh_K3!$D$8*Params!$C$6*C183)*'Tính chọn'!$D$23*Params!$C$16)+Catalogue!$F$15*C183/'Tính chọn'!$D$23)</f>
        <v>-1.32578262602364</v>
      </c>
      <c r="H183" s="45" t="n">
        <f aca="false">F183*D183/'Tính chọn'!$D$23</f>
        <v>-369.500094660824</v>
      </c>
    </row>
    <row r="184" customFormat="false" ht="14.25" hidden="false" customHeight="false" outlineLevel="0" collapsed="false">
      <c r="A184" s="41" t="n">
        <f aca="false">170*$B$5</f>
        <v>1.7</v>
      </c>
      <c r="B184" s="42" t="n">
        <f aca="false">IF(A184&lt;$F$4,GiaDinh_K3!$D$12,IF(A184&lt;$F$5,0,IF(A184&lt;$F$6,-GiaDinh_K3!$D$12,IF(A184&lt;$F$7,0,IF(A184&lt;$F$8,-GiaDinh_K3!$D$12,IF(A184&lt;$F$9,0,IF(A184&lt;$F$10,GiaDinh_K3!$D$12,0)))))))</f>
        <v>-1.8</v>
      </c>
      <c r="C184" s="43" t="n">
        <f aca="false">IF(A184&lt;$F$4,GiaDinh_K3!$D$12*A184,IF(A184&lt;$F$5,GiaDinh_K3!$D$11,IF(A184&lt;$F$6,GiaDinh_K3!$D$11-GiaDinh_K3!$D$12*(A184-$F$5),IF(A184&lt;$F$7,0,IF(A184&lt;$F$8,-GiaDinh_K3!$D$12*(A184-$F$7),IF(A184&lt;$F$9,-GiaDinh_K3!$D$11,IF(A184&lt;$F$10,-GiaDinh_K3!$D$11+GiaDinh_K3!$D$12*(A184-$F$9),0)))))))</f>
        <v>-0.33</v>
      </c>
      <c r="D184" s="46" t="n">
        <f aca="false">MAX(0,D183+(C183+C184)/2*$B$5)</f>
        <v>0.0897299999999999</v>
      </c>
      <c r="E184" s="46" t="n">
        <f aca="false">E183+(D183+D184)/2*$B$5</f>
        <v>0.17113995</v>
      </c>
      <c r="F184" s="42" t="n">
        <f aca="false">IF(A184&gt;$F$10,0,IF((Params!$C$21+GiaDinh_K3!$D$8*Params!$C$5*C184)&gt;=0,(Params!$C$21+GiaDinh_K3!$D$8*Params!$C$5*C184)*'Tính chọn'!$D$23/Params!$C$16,(Params!$C$21+GiaDinh_K3!$D$8*Params!$C$5*C184)*'Tính chọn'!$D$23*Params!$C$16)+Catalogue!$F$15*C184/'Tính chọn'!$D$23)</f>
        <v>-3.471322311073</v>
      </c>
      <c r="G184" s="42" t="n">
        <f aca="false">IF(A184&gt;$F$10,0,IF(('Tính chọn'!$D$6+GiaDinh_K3!$D$8*Params!$C$6*C184)&gt;=0,('Tính chọn'!$D$6+GiaDinh_K3!$D$8*Params!$C$6*C184)*'Tính chọn'!$D$23/Params!$C$16,('Tính chọn'!$D$6+GiaDinh_K3!$D$8*Params!$C$6*C184)*'Tính chọn'!$D$23*Params!$C$16)+Catalogue!$F$15*C184/'Tính chọn'!$D$23)</f>
        <v>-1.41470172880185</v>
      </c>
      <c r="H184" s="45" t="n">
        <f aca="false">F184*D184/'Tính chọn'!$D$23</f>
        <v>-387.084601568645</v>
      </c>
    </row>
    <row r="185" customFormat="false" ht="14.25" hidden="false" customHeight="false" outlineLevel="0" collapsed="false">
      <c r="A185" s="41" t="n">
        <f aca="false">171*$B$5</f>
        <v>1.71</v>
      </c>
      <c r="B185" s="42" t="n">
        <f aca="false">IF(A185&lt;$F$4,GiaDinh_K3!$D$12,IF(A185&lt;$F$5,0,IF(A185&lt;$F$6,-GiaDinh_K3!$D$12,IF(A185&lt;$F$7,0,IF(A185&lt;$F$8,-GiaDinh_K3!$D$12,IF(A185&lt;$F$9,0,IF(A185&lt;$F$10,GiaDinh_K3!$D$12,0)))))))</f>
        <v>-1.8</v>
      </c>
      <c r="C185" s="43" t="n">
        <f aca="false">IF(A185&lt;$F$4,GiaDinh_K3!$D$12*A185,IF(A185&lt;$F$5,GiaDinh_K3!$D$11,IF(A185&lt;$F$6,GiaDinh_K3!$D$11-GiaDinh_K3!$D$12*(A185-$F$5),IF(A185&lt;$F$7,0,IF(A185&lt;$F$8,-GiaDinh_K3!$D$12*(A185-$F$7),IF(A185&lt;$F$9,-GiaDinh_K3!$D$11,IF(A185&lt;$F$10,-GiaDinh_K3!$D$11+GiaDinh_K3!$D$12*(A185-$F$9),0)))))))</f>
        <v>-0.348</v>
      </c>
      <c r="D185" s="46" t="n">
        <f aca="false">MAX(0,D184+(C184+C185)/2*$B$5)</f>
        <v>0.0863399999999999</v>
      </c>
      <c r="E185" s="46" t="n">
        <f aca="false">E184+(D184+D185)/2*$B$5</f>
        <v>0.1720203</v>
      </c>
      <c r="F185" s="42" t="n">
        <f aca="false">IF(A185&gt;$F$10,0,IF((Params!$C$21+GiaDinh_K3!$D$8*Params!$C$5*C185)&gt;=0,(Params!$C$21+GiaDinh_K3!$D$8*Params!$C$5*C185)*'Tính chọn'!$D$23/Params!$C$16,(Params!$C$21+GiaDinh_K3!$D$8*Params!$C$5*C185)*'Tính chọn'!$D$23*Params!$C$16)+Catalogue!$F$15*C185/'Tính chọn'!$D$23)</f>
        <v>-3.74346519716524</v>
      </c>
      <c r="G185" s="42" t="n">
        <f aca="false">IF(A185&gt;$F$10,0,IF(('Tính chọn'!$D$6+GiaDinh_K3!$D$8*Params!$C$6*C185)&gt;=0,('Tính chọn'!$D$6+GiaDinh_K3!$D$8*Params!$C$6*C185)*'Tính chọn'!$D$23/Params!$C$16,('Tính chọn'!$D$6+GiaDinh_K3!$D$8*Params!$C$6*C185)*'Tính chọn'!$D$23*Params!$C$16)+Catalogue!$F$15*C185/'Tính chọn'!$D$23)</f>
        <v>-1.50362083158007</v>
      </c>
      <c r="H185" s="45" t="n">
        <f aca="false">F185*D185/'Tính chọn'!$D$23</f>
        <v>-401.660506888361</v>
      </c>
    </row>
    <row r="186" customFormat="false" ht="14.25" hidden="false" customHeight="false" outlineLevel="0" collapsed="false">
      <c r="A186" s="41" t="n">
        <f aca="false">172*$B$5</f>
        <v>1.72</v>
      </c>
      <c r="B186" s="42" t="n">
        <f aca="false">IF(A186&lt;$F$4,GiaDinh_K3!$D$12,IF(A186&lt;$F$5,0,IF(A186&lt;$F$6,-GiaDinh_K3!$D$12,IF(A186&lt;$F$7,0,IF(A186&lt;$F$8,-GiaDinh_K3!$D$12,IF(A186&lt;$F$9,0,IF(A186&lt;$F$10,GiaDinh_K3!$D$12,0)))))))</f>
        <v>-1.8</v>
      </c>
      <c r="C186" s="43" t="n">
        <f aca="false">IF(A186&lt;$F$4,GiaDinh_K3!$D$12*A186,IF(A186&lt;$F$5,GiaDinh_K3!$D$11,IF(A186&lt;$F$6,GiaDinh_K3!$D$11-GiaDinh_K3!$D$12*(A186-$F$5),IF(A186&lt;$F$7,0,IF(A186&lt;$F$8,-GiaDinh_K3!$D$12*(A186-$F$7),IF(A186&lt;$F$9,-GiaDinh_K3!$D$11,IF(A186&lt;$F$10,-GiaDinh_K3!$D$11+GiaDinh_K3!$D$12*(A186-$F$9),0)))))))</f>
        <v>-0.366</v>
      </c>
      <c r="D186" s="46" t="n">
        <f aca="false">MAX(0,D185+(C185+C186)/2*$B$5)</f>
        <v>0.0827699999999999</v>
      </c>
      <c r="E186" s="46" t="n">
        <f aca="false">E185+(D185+D186)/2*$B$5</f>
        <v>0.17286585</v>
      </c>
      <c r="F186" s="42" t="n">
        <f aca="false">IF(A186&gt;$F$10,0,IF((Params!$C$21+GiaDinh_K3!$D$8*Params!$C$5*C186)&gt;=0,(Params!$C$21+GiaDinh_K3!$D$8*Params!$C$5*C186)*'Tính chọn'!$D$23/Params!$C$16,(Params!$C$21+GiaDinh_K3!$D$8*Params!$C$5*C186)*'Tính chọn'!$D$23*Params!$C$16)+Catalogue!$F$15*C186/'Tính chọn'!$D$23)</f>
        <v>-4.01560808325747</v>
      </c>
      <c r="G186" s="42" t="n">
        <f aca="false">IF(A186&gt;$F$10,0,IF(('Tính chọn'!$D$6+GiaDinh_K3!$D$8*Params!$C$6*C186)&gt;=0,('Tính chọn'!$D$6+GiaDinh_K3!$D$8*Params!$C$6*C186)*'Tính chọn'!$D$23/Params!$C$16,('Tính chọn'!$D$6+GiaDinh_K3!$D$8*Params!$C$6*C186)*'Tính chọn'!$D$23*Params!$C$16)+Catalogue!$F$15*C186/'Tính chọn'!$D$23)</f>
        <v>-1.59253993435829</v>
      </c>
      <c r="H186" s="45" t="n">
        <f aca="false">F186*D186/'Tính chọn'!$D$23</f>
        <v>-413.045184019973</v>
      </c>
    </row>
    <row r="187" customFormat="false" ht="14.25" hidden="false" customHeight="false" outlineLevel="0" collapsed="false">
      <c r="A187" s="41" t="n">
        <f aca="false">173*$B$5</f>
        <v>1.73</v>
      </c>
      <c r="B187" s="42" t="n">
        <f aca="false">IF(A187&lt;$F$4,GiaDinh_K3!$D$12,IF(A187&lt;$F$5,0,IF(A187&lt;$F$6,-GiaDinh_K3!$D$12,IF(A187&lt;$F$7,0,IF(A187&lt;$F$8,-GiaDinh_K3!$D$12,IF(A187&lt;$F$9,0,IF(A187&lt;$F$10,GiaDinh_K3!$D$12,0)))))))</f>
        <v>-1.8</v>
      </c>
      <c r="C187" s="43" t="n">
        <f aca="false">IF(A187&lt;$F$4,GiaDinh_K3!$D$12*A187,IF(A187&lt;$F$5,GiaDinh_K3!$D$11,IF(A187&lt;$F$6,GiaDinh_K3!$D$11-GiaDinh_K3!$D$12*(A187-$F$5),IF(A187&lt;$F$7,0,IF(A187&lt;$F$8,-GiaDinh_K3!$D$12*(A187-$F$7),IF(A187&lt;$F$9,-GiaDinh_K3!$D$11,IF(A187&lt;$F$10,-GiaDinh_K3!$D$11+GiaDinh_K3!$D$12*(A187-$F$9),0)))))))</f>
        <v>-0.384</v>
      </c>
      <c r="D187" s="46" t="n">
        <f aca="false">MAX(0,D186+(C186+C187)/2*$B$5)</f>
        <v>0.0790199999999999</v>
      </c>
      <c r="E187" s="46" t="n">
        <f aca="false">E186+(D186+D187)/2*$B$5</f>
        <v>0.1736748</v>
      </c>
      <c r="F187" s="42" t="n">
        <f aca="false">IF(A187&gt;$F$10,0,IF((Params!$C$21+GiaDinh_K3!$D$8*Params!$C$5*C187)&gt;=0,(Params!$C$21+GiaDinh_K3!$D$8*Params!$C$5*C187)*'Tính chọn'!$D$23/Params!$C$16,(Params!$C$21+GiaDinh_K3!$D$8*Params!$C$5*C187)*'Tính chọn'!$D$23*Params!$C$16)+Catalogue!$F$15*C187/'Tính chọn'!$D$23)</f>
        <v>-4.28775096934971</v>
      </c>
      <c r="G187" s="42" t="n">
        <f aca="false">IF(A187&gt;$F$10,0,IF(('Tính chọn'!$D$6+GiaDinh_K3!$D$8*Params!$C$6*C187)&gt;=0,('Tính chọn'!$D$6+GiaDinh_K3!$D$8*Params!$C$6*C187)*'Tính chọn'!$D$23/Params!$C$16,('Tính chọn'!$D$6+GiaDinh_K3!$D$8*Params!$C$6*C187)*'Tính chọn'!$D$23*Params!$C$16)+Catalogue!$F$15*C187/'Tính chọn'!$D$23)</f>
        <v>-1.6814590371365</v>
      </c>
      <c r="H187" s="45" t="n">
        <f aca="false">F187*D187/'Tính chọn'!$D$23</f>
        <v>-421.056006363484</v>
      </c>
    </row>
    <row r="188" customFormat="false" ht="14.25" hidden="false" customHeight="false" outlineLevel="0" collapsed="false">
      <c r="A188" s="41" t="n">
        <f aca="false">174*$B$5</f>
        <v>1.74</v>
      </c>
      <c r="B188" s="42" t="n">
        <f aca="false">IF(A188&lt;$F$4,GiaDinh_K3!$D$12,IF(A188&lt;$F$5,0,IF(A188&lt;$F$6,-GiaDinh_K3!$D$12,IF(A188&lt;$F$7,0,IF(A188&lt;$F$8,-GiaDinh_K3!$D$12,IF(A188&lt;$F$9,0,IF(A188&lt;$F$10,GiaDinh_K3!$D$12,0)))))))</f>
        <v>-1.8</v>
      </c>
      <c r="C188" s="43" t="n">
        <f aca="false">IF(A188&lt;$F$4,GiaDinh_K3!$D$12*A188,IF(A188&lt;$F$5,GiaDinh_K3!$D$11,IF(A188&lt;$F$6,GiaDinh_K3!$D$11-GiaDinh_K3!$D$12*(A188-$F$5),IF(A188&lt;$F$7,0,IF(A188&lt;$F$8,-GiaDinh_K3!$D$12*(A188-$F$7),IF(A188&lt;$F$9,-GiaDinh_K3!$D$11,IF(A188&lt;$F$10,-GiaDinh_K3!$D$11+GiaDinh_K3!$D$12*(A188-$F$9),0)))))))</f>
        <v>-0.402</v>
      </c>
      <c r="D188" s="46" t="n">
        <f aca="false">MAX(0,D187+(C187+C188)/2*$B$5)</f>
        <v>0.0750899999999999</v>
      </c>
      <c r="E188" s="46" t="n">
        <f aca="false">E187+(D187+D188)/2*$B$5</f>
        <v>0.17444535</v>
      </c>
      <c r="F188" s="42" t="n">
        <f aca="false">IF(A188&gt;$F$10,0,IF((Params!$C$21+GiaDinh_K3!$D$8*Params!$C$5*C188)&gt;=0,(Params!$C$21+GiaDinh_K3!$D$8*Params!$C$5*C188)*'Tính chọn'!$D$23/Params!$C$16,(Params!$C$21+GiaDinh_K3!$D$8*Params!$C$5*C188)*'Tính chọn'!$D$23*Params!$C$16)+Catalogue!$F$15*C188/'Tính chọn'!$D$23)</f>
        <v>-4.55989385544195</v>
      </c>
      <c r="G188" s="42" t="n">
        <f aca="false">IF(A188&gt;$F$10,0,IF(('Tính chọn'!$D$6+GiaDinh_K3!$D$8*Params!$C$6*C188)&gt;=0,('Tính chọn'!$D$6+GiaDinh_K3!$D$8*Params!$C$6*C188)*'Tính chọn'!$D$23/Params!$C$16,('Tính chọn'!$D$6+GiaDinh_K3!$D$8*Params!$C$6*C188)*'Tính chọn'!$D$23*Params!$C$16)+Catalogue!$F$15*C188/'Tính chọn'!$D$23)</f>
        <v>-1.77037813991472</v>
      </c>
      <c r="H188" s="45" t="n">
        <f aca="false">F188*D188/'Tính chọn'!$D$23</f>
        <v>-425.510347318894</v>
      </c>
    </row>
    <row r="189" customFormat="false" ht="14.25" hidden="false" customHeight="false" outlineLevel="0" collapsed="false">
      <c r="A189" s="41" t="n">
        <f aca="false">175*$B$5</f>
        <v>1.75</v>
      </c>
      <c r="B189" s="42" t="n">
        <f aca="false">IF(A189&lt;$F$4,GiaDinh_K3!$D$12,IF(A189&lt;$F$5,0,IF(A189&lt;$F$6,-GiaDinh_K3!$D$12,IF(A189&lt;$F$7,0,IF(A189&lt;$F$8,-GiaDinh_K3!$D$12,IF(A189&lt;$F$9,0,IF(A189&lt;$F$10,GiaDinh_K3!$D$12,0)))))))</f>
        <v>-1.8</v>
      </c>
      <c r="C189" s="43" t="n">
        <f aca="false">IF(A189&lt;$F$4,GiaDinh_K3!$D$12*A189,IF(A189&lt;$F$5,GiaDinh_K3!$D$11,IF(A189&lt;$F$6,GiaDinh_K3!$D$11-GiaDinh_K3!$D$12*(A189-$F$5),IF(A189&lt;$F$7,0,IF(A189&lt;$F$8,-GiaDinh_K3!$D$12*(A189-$F$7),IF(A189&lt;$F$9,-GiaDinh_K3!$D$11,IF(A189&lt;$F$10,-GiaDinh_K3!$D$11+GiaDinh_K3!$D$12*(A189-$F$9),0)))))))</f>
        <v>-0.42</v>
      </c>
      <c r="D189" s="46" t="n">
        <f aca="false">MAX(0,D188+(C188+C189)/2*$B$5)</f>
        <v>0.0709799999999999</v>
      </c>
      <c r="E189" s="46" t="n">
        <f aca="false">E188+(D188+D189)/2*$B$5</f>
        <v>0.1751757</v>
      </c>
      <c r="F189" s="42" t="n">
        <f aca="false">IF(A189&gt;$F$10,0,IF((Params!$C$21+GiaDinh_K3!$D$8*Params!$C$5*C189)&gt;=0,(Params!$C$21+GiaDinh_K3!$D$8*Params!$C$5*C189)*'Tính chọn'!$D$23/Params!$C$16,(Params!$C$21+GiaDinh_K3!$D$8*Params!$C$5*C189)*'Tính chọn'!$D$23*Params!$C$16)+Catalogue!$F$15*C189/'Tính chọn'!$D$23)</f>
        <v>-4.83203674153418</v>
      </c>
      <c r="G189" s="42" t="n">
        <f aca="false">IF(A189&gt;$F$10,0,IF(('Tính chọn'!$D$6+GiaDinh_K3!$D$8*Params!$C$6*C189)&gt;=0,('Tính chọn'!$D$6+GiaDinh_K3!$D$8*Params!$C$6*C189)*'Tính chọn'!$D$23/Params!$C$16,('Tính chọn'!$D$6+GiaDinh_K3!$D$8*Params!$C$6*C189)*'Tính chọn'!$D$23*Params!$C$16)+Catalogue!$F$15*C189/'Tính chọn'!$D$23)</f>
        <v>-1.85929724269293</v>
      </c>
      <c r="H189" s="45" t="n">
        <f aca="false">F189*D189/'Tính chọn'!$D$23</f>
        <v>-426.225580286205</v>
      </c>
    </row>
    <row r="190" customFormat="false" ht="14.25" hidden="false" customHeight="false" outlineLevel="0" collapsed="false">
      <c r="A190" s="41" t="n">
        <f aca="false">176*$B$5</f>
        <v>1.76</v>
      </c>
      <c r="B190" s="42" t="n">
        <f aca="false">IF(A190&lt;$F$4,GiaDinh_K3!$D$12,IF(A190&lt;$F$5,0,IF(A190&lt;$F$6,-GiaDinh_K3!$D$12,IF(A190&lt;$F$7,0,IF(A190&lt;$F$8,-GiaDinh_K3!$D$12,IF(A190&lt;$F$9,0,IF(A190&lt;$F$10,GiaDinh_K3!$D$12,0)))))))</f>
        <v>-1.8</v>
      </c>
      <c r="C190" s="43" t="n">
        <f aca="false">IF(A190&lt;$F$4,GiaDinh_K3!$D$12*A190,IF(A190&lt;$F$5,GiaDinh_K3!$D$11,IF(A190&lt;$F$6,GiaDinh_K3!$D$11-GiaDinh_K3!$D$12*(A190-$F$5),IF(A190&lt;$F$7,0,IF(A190&lt;$F$8,-GiaDinh_K3!$D$12*(A190-$F$7),IF(A190&lt;$F$9,-GiaDinh_K3!$D$11,IF(A190&lt;$F$10,-GiaDinh_K3!$D$11+GiaDinh_K3!$D$12*(A190-$F$9),0)))))))</f>
        <v>-0.438</v>
      </c>
      <c r="D190" s="46" t="n">
        <f aca="false">MAX(0,D189+(C189+C190)/2*$B$5)</f>
        <v>0.0666899999999999</v>
      </c>
      <c r="E190" s="46" t="n">
        <f aca="false">E189+(D189+D190)/2*$B$5</f>
        <v>0.17586405</v>
      </c>
      <c r="F190" s="42" t="n">
        <f aca="false">IF(A190&gt;$F$10,0,IF((Params!$C$21+GiaDinh_K3!$D$8*Params!$C$5*C190)&gt;=0,(Params!$C$21+GiaDinh_K3!$D$8*Params!$C$5*C190)*'Tính chọn'!$D$23/Params!$C$16,(Params!$C$21+GiaDinh_K3!$D$8*Params!$C$5*C190)*'Tính chọn'!$D$23*Params!$C$16)+Catalogue!$F$15*C190/'Tính chọn'!$D$23)</f>
        <v>-5.10417962762642</v>
      </c>
      <c r="G190" s="42" t="n">
        <f aca="false">IF(A190&gt;$F$10,0,IF(('Tính chọn'!$D$6+GiaDinh_K3!$D$8*Params!$C$6*C190)&gt;=0,('Tính chọn'!$D$6+GiaDinh_K3!$D$8*Params!$C$6*C190)*'Tính chọn'!$D$23/Params!$C$16,('Tính chọn'!$D$6+GiaDinh_K3!$D$8*Params!$C$6*C190)*'Tính chọn'!$D$23*Params!$C$16)+Catalogue!$F$15*C190/'Tính chọn'!$D$23)</f>
        <v>-1.94821634547115</v>
      </c>
      <c r="H190" s="45" t="n">
        <f aca="false">F190*D190/'Tính chọn'!$D$23</f>
        <v>-423.019078665419</v>
      </c>
    </row>
    <row r="191" customFormat="false" ht="14.25" hidden="false" customHeight="false" outlineLevel="0" collapsed="false">
      <c r="A191" s="41" t="n">
        <f aca="false">177*$B$5</f>
        <v>1.77</v>
      </c>
      <c r="B191" s="42" t="n">
        <f aca="false">IF(A191&lt;$F$4,GiaDinh_K3!$D$12,IF(A191&lt;$F$5,0,IF(A191&lt;$F$6,-GiaDinh_K3!$D$12,IF(A191&lt;$F$7,0,IF(A191&lt;$F$8,-GiaDinh_K3!$D$12,IF(A191&lt;$F$9,0,IF(A191&lt;$F$10,GiaDinh_K3!$D$12,0)))))))</f>
        <v>0</v>
      </c>
      <c r="C191" s="43" t="n">
        <f aca="false">IF(A191&lt;$F$4,GiaDinh_K3!$D$12*A191,IF(A191&lt;$F$5,GiaDinh_K3!$D$11,IF(A191&lt;$F$6,GiaDinh_K3!$D$11-GiaDinh_K3!$D$12*(A191-$F$5),IF(A191&lt;$F$7,0,IF(A191&lt;$F$8,-GiaDinh_K3!$D$12*(A191-$F$7),IF(A191&lt;$F$9,-GiaDinh_K3!$D$11,IF(A191&lt;$F$10,-GiaDinh_K3!$D$11+GiaDinh_K3!$D$12*(A191-$F$9),0)))))))</f>
        <v>-0.45</v>
      </c>
      <c r="D191" s="46" t="n">
        <f aca="false">MAX(0,D190+(C190+C191)/2*$B$5)</f>
        <v>0.0622499999999999</v>
      </c>
      <c r="E191" s="46" t="n">
        <f aca="false">E190+(D190+D191)/2*$B$5</f>
        <v>0.17650875</v>
      </c>
      <c r="F191" s="42" t="n">
        <f aca="false">IF(A191&gt;$F$10,0,IF((Params!$C$21+GiaDinh_K3!$D$8*Params!$C$5*C191)&gt;=0,(Params!$C$21+GiaDinh_K3!$D$8*Params!$C$5*C191)*'Tính chọn'!$D$23/Params!$C$16,(Params!$C$21+GiaDinh_K3!$D$8*Params!$C$5*C191)*'Tính chọn'!$D$23*Params!$C$16)+Catalogue!$F$15*C191/'Tính chọn'!$D$23)</f>
        <v>-5.28560821835458</v>
      </c>
      <c r="G191" s="42" t="n">
        <f aca="false">IF(A191&gt;$F$10,0,IF(('Tính chọn'!$D$6+GiaDinh_K3!$D$8*Params!$C$6*C191)&gt;=0,('Tính chọn'!$D$6+GiaDinh_K3!$D$8*Params!$C$6*C191)*'Tính chọn'!$D$23/Params!$C$16,('Tính chọn'!$D$6+GiaDinh_K3!$D$8*Params!$C$6*C191)*'Tính chọn'!$D$23*Params!$C$16)+Catalogue!$F$15*C191/'Tính chọn'!$D$23)</f>
        <v>-2.00749574732329</v>
      </c>
      <c r="H191" s="45" t="n">
        <f aca="false">F191*D191/'Tính chọn'!$D$23</f>
        <v>-408.891057558321</v>
      </c>
    </row>
    <row r="192" customFormat="false" ht="14.25" hidden="false" customHeight="false" outlineLevel="0" collapsed="false">
      <c r="A192" s="41" t="n">
        <f aca="false">178*$B$5</f>
        <v>1.78</v>
      </c>
      <c r="B192" s="42" t="n">
        <f aca="false">IF(A192&lt;$F$4,GiaDinh_K3!$D$12,IF(A192&lt;$F$5,0,IF(A192&lt;$F$6,-GiaDinh_K3!$D$12,IF(A192&lt;$F$7,0,IF(A192&lt;$F$8,-GiaDinh_K3!$D$12,IF(A192&lt;$F$9,0,IF(A192&lt;$F$10,GiaDinh_K3!$D$12,0)))))))</f>
        <v>0</v>
      </c>
      <c r="C192" s="43" t="n">
        <f aca="false">IF(A192&lt;$F$4,GiaDinh_K3!$D$12*A192,IF(A192&lt;$F$5,GiaDinh_K3!$D$11,IF(A192&lt;$F$6,GiaDinh_K3!$D$11-GiaDinh_K3!$D$12*(A192-$F$5),IF(A192&lt;$F$7,0,IF(A192&lt;$F$8,-GiaDinh_K3!$D$12*(A192-$F$7),IF(A192&lt;$F$9,-GiaDinh_K3!$D$11,IF(A192&lt;$F$10,-GiaDinh_K3!$D$11+GiaDinh_K3!$D$12*(A192-$F$9),0)))))))</f>
        <v>-0.45</v>
      </c>
      <c r="D192" s="46" t="n">
        <f aca="false">MAX(0,D191+(C191+C192)/2*$B$5)</f>
        <v>0.0577499999999999</v>
      </c>
      <c r="E192" s="46" t="n">
        <f aca="false">E191+(D191+D192)/2*$B$5</f>
        <v>0.17710875</v>
      </c>
      <c r="F192" s="42" t="n">
        <f aca="false">IF(A192&gt;$F$10,0,IF((Params!$C$21+GiaDinh_K3!$D$8*Params!$C$5*C192)&gt;=0,(Params!$C$21+GiaDinh_K3!$D$8*Params!$C$5*C192)*'Tính chọn'!$D$23/Params!$C$16,(Params!$C$21+GiaDinh_K3!$D$8*Params!$C$5*C192)*'Tính chọn'!$D$23*Params!$C$16)+Catalogue!$F$15*C192/'Tính chọn'!$D$23)</f>
        <v>-5.28560821835458</v>
      </c>
      <c r="G192" s="42" t="n">
        <f aca="false">IF(A192&gt;$F$10,0,IF(('Tính chọn'!$D$6+GiaDinh_K3!$D$8*Params!$C$6*C192)&gt;=0,('Tính chọn'!$D$6+GiaDinh_K3!$D$8*Params!$C$6*C192)*'Tính chọn'!$D$23/Params!$C$16,('Tính chọn'!$D$6+GiaDinh_K3!$D$8*Params!$C$6*C192)*'Tính chọn'!$D$23*Params!$C$16)+Catalogue!$F$15*C192/'Tính chọn'!$D$23)</f>
        <v>-2.00749574732329</v>
      </c>
      <c r="H192" s="45" t="n">
        <f aca="false">F192*D192/'Tính chọn'!$D$23</f>
        <v>-379.33266785531</v>
      </c>
    </row>
    <row r="193" customFormat="false" ht="14.25" hidden="false" customHeight="false" outlineLevel="0" collapsed="false">
      <c r="A193" s="41" t="n">
        <f aca="false">179*$B$5</f>
        <v>1.79</v>
      </c>
      <c r="B193" s="42" t="n">
        <f aca="false">IF(A193&lt;$F$4,GiaDinh_K3!$D$12,IF(A193&lt;$F$5,0,IF(A193&lt;$F$6,-GiaDinh_K3!$D$12,IF(A193&lt;$F$7,0,IF(A193&lt;$F$8,-GiaDinh_K3!$D$12,IF(A193&lt;$F$9,0,IF(A193&lt;$F$10,GiaDinh_K3!$D$12,0)))))))</f>
        <v>1.8</v>
      </c>
      <c r="C193" s="43" t="n">
        <f aca="false">IF(A193&lt;$F$4,GiaDinh_K3!$D$12*A193,IF(A193&lt;$F$5,GiaDinh_K3!$D$11,IF(A193&lt;$F$6,GiaDinh_K3!$D$11-GiaDinh_K3!$D$12*(A193-$F$5),IF(A193&lt;$F$7,0,IF(A193&lt;$F$8,-GiaDinh_K3!$D$12*(A193-$F$7),IF(A193&lt;$F$9,-GiaDinh_K3!$D$11,IF(A193&lt;$F$10,-GiaDinh_K3!$D$11+GiaDinh_K3!$D$12*(A193-$F$9),0)))))))</f>
        <v>-0.438</v>
      </c>
      <c r="D193" s="46" t="n">
        <f aca="false">MAX(0,D192+(C192+C193)/2*$B$5)</f>
        <v>0.0533099999999999</v>
      </c>
      <c r="E193" s="46" t="n">
        <f aca="false">E192+(D192+D193)/2*$B$5</f>
        <v>0.17766405</v>
      </c>
      <c r="F193" s="42" t="n">
        <f aca="false">IF(A193&gt;$F$10,0,IF((Params!$C$21+GiaDinh_K3!$D$8*Params!$C$5*C193)&gt;=0,(Params!$C$21+GiaDinh_K3!$D$8*Params!$C$5*C193)*'Tính chọn'!$D$23/Params!$C$16,(Params!$C$21+GiaDinh_K3!$D$8*Params!$C$5*C193)*'Tính chọn'!$D$23*Params!$C$16)+Catalogue!$F$15*C193/'Tính chọn'!$D$23)</f>
        <v>-5.10417962762642</v>
      </c>
      <c r="G193" s="42" t="n">
        <f aca="false">IF(A193&gt;$F$10,0,IF(('Tính chọn'!$D$6+GiaDinh_K3!$D$8*Params!$C$6*C193)&gt;=0,('Tính chọn'!$D$6+GiaDinh_K3!$D$8*Params!$C$6*C193)*'Tính chọn'!$D$23/Params!$C$16,('Tính chọn'!$D$6+GiaDinh_K3!$D$8*Params!$C$6*C193)*'Tính chọn'!$D$23*Params!$C$16)+Catalogue!$F$15*C193/'Tính chọn'!$D$23)</f>
        <v>-1.94821634547115</v>
      </c>
      <c r="H193" s="45" t="n">
        <f aca="false">F193*D193/'Tính chọn'!$D$23</f>
        <v>-338.148854155847</v>
      </c>
    </row>
    <row r="194" customFormat="false" ht="14.25" hidden="false" customHeight="false" outlineLevel="0" collapsed="false">
      <c r="A194" s="41" t="n">
        <f aca="false">180*$B$5</f>
        <v>1.8</v>
      </c>
      <c r="B194" s="42" t="n">
        <f aca="false">IF(A194&lt;$F$4,GiaDinh_K3!$D$12,IF(A194&lt;$F$5,0,IF(A194&lt;$F$6,-GiaDinh_K3!$D$12,IF(A194&lt;$F$7,0,IF(A194&lt;$F$8,-GiaDinh_K3!$D$12,IF(A194&lt;$F$9,0,IF(A194&lt;$F$10,GiaDinh_K3!$D$12,0)))))))</f>
        <v>1.8</v>
      </c>
      <c r="C194" s="43" t="n">
        <f aca="false">IF(A194&lt;$F$4,GiaDinh_K3!$D$12*A194,IF(A194&lt;$F$5,GiaDinh_K3!$D$11,IF(A194&lt;$F$6,GiaDinh_K3!$D$11-GiaDinh_K3!$D$12*(A194-$F$5),IF(A194&lt;$F$7,0,IF(A194&lt;$F$8,-GiaDinh_K3!$D$12*(A194-$F$7),IF(A194&lt;$F$9,-GiaDinh_K3!$D$11,IF(A194&lt;$F$10,-GiaDinh_K3!$D$11+GiaDinh_K3!$D$12*(A194-$F$9),0)))))))</f>
        <v>-0.42</v>
      </c>
      <c r="D194" s="46" t="n">
        <f aca="false">MAX(0,D193+(C193+C194)/2*$B$5)</f>
        <v>0.0490199999999999</v>
      </c>
      <c r="E194" s="46" t="n">
        <f aca="false">E193+(D193+D194)/2*$B$5</f>
        <v>0.1781757</v>
      </c>
      <c r="F194" s="42" t="n">
        <f aca="false">IF(A194&gt;$F$10,0,IF((Params!$C$21+GiaDinh_K3!$D$8*Params!$C$5*C194)&gt;=0,(Params!$C$21+GiaDinh_K3!$D$8*Params!$C$5*C194)*'Tính chọn'!$D$23/Params!$C$16,(Params!$C$21+GiaDinh_K3!$D$8*Params!$C$5*C194)*'Tính chọn'!$D$23*Params!$C$16)+Catalogue!$F$15*C194/'Tính chọn'!$D$23)</f>
        <v>-4.83203674153418</v>
      </c>
      <c r="G194" s="42" t="n">
        <f aca="false">IF(A194&gt;$F$10,0,IF(('Tính chọn'!$D$6+GiaDinh_K3!$D$8*Params!$C$6*C194)&gt;=0,('Tính chọn'!$D$6+GiaDinh_K3!$D$8*Params!$C$6*C194)*'Tính chọn'!$D$23/Params!$C$16,('Tính chọn'!$D$6+GiaDinh_K3!$D$8*Params!$C$6*C194)*'Tính chọn'!$D$23*Params!$C$16)+Catalogue!$F$15*C194/'Tính chọn'!$D$23)</f>
        <v>-1.85929724269293</v>
      </c>
      <c r="H194" s="45" t="n">
        <f aca="false">F194*D194/'Tính chọn'!$D$23</f>
        <v>-294.358663646516</v>
      </c>
    </row>
    <row r="195" customFormat="false" ht="14.25" hidden="false" customHeight="false" outlineLevel="0" collapsed="false">
      <c r="A195" s="41" t="n">
        <f aca="false">181*$B$5</f>
        <v>1.81</v>
      </c>
      <c r="B195" s="42" t="n">
        <f aca="false">IF(A195&lt;$F$4,GiaDinh_K3!$D$12,IF(A195&lt;$F$5,0,IF(A195&lt;$F$6,-GiaDinh_K3!$D$12,IF(A195&lt;$F$7,0,IF(A195&lt;$F$8,-GiaDinh_K3!$D$12,IF(A195&lt;$F$9,0,IF(A195&lt;$F$10,GiaDinh_K3!$D$12,0)))))))</f>
        <v>1.8</v>
      </c>
      <c r="C195" s="43" t="n">
        <f aca="false">IF(A195&lt;$F$4,GiaDinh_K3!$D$12*A195,IF(A195&lt;$F$5,GiaDinh_K3!$D$11,IF(A195&lt;$F$6,GiaDinh_K3!$D$11-GiaDinh_K3!$D$12*(A195-$F$5),IF(A195&lt;$F$7,0,IF(A195&lt;$F$8,-GiaDinh_K3!$D$12*(A195-$F$7),IF(A195&lt;$F$9,-GiaDinh_K3!$D$11,IF(A195&lt;$F$10,-GiaDinh_K3!$D$11+GiaDinh_K3!$D$12*(A195-$F$9),0)))))))</f>
        <v>-0.402</v>
      </c>
      <c r="D195" s="46" t="n">
        <f aca="false">MAX(0,D194+(C194+C195)/2*$B$5)</f>
        <v>0.0449099999999999</v>
      </c>
      <c r="E195" s="46" t="n">
        <f aca="false">E194+(D194+D195)/2*$B$5</f>
        <v>0.17864535</v>
      </c>
      <c r="F195" s="42" t="n">
        <f aca="false">IF(A195&gt;$F$10,0,IF((Params!$C$21+GiaDinh_K3!$D$8*Params!$C$5*C195)&gt;=0,(Params!$C$21+GiaDinh_K3!$D$8*Params!$C$5*C195)*'Tính chọn'!$D$23/Params!$C$16,(Params!$C$21+GiaDinh_K3!$D$8*Params!$C$5*C195)*'Tính chọn'!$D$23*Params!$C$16)+Catalogue!$F$15*C195/'Tính chọn'!$D$23)</f>
        <v>-4.55989385544194</v>
      </c>
      <c r="G195" s="42" t="n">
        <f aca="false">IF(A195&gt;$F$10,0,IF(('Tính chọn'!$D$6+GiaDinh_K3!$D$8*Params!$C$6*C195)&gt;=0,('Tính chọn'!$D$6+GiaDinh_K3!$D$8*Params!$C$6*C195)*'Tính chọn'!$D$23/Params!$C$16,('Tính chọn'!$D$6+GiaDinh_K3!$D$8*Params!$C$6*C195)*'Tính chọn'!$D$23*Params!$C$16)+Catalogue!$F$15*C195/'Tính chọn'!$D$23)</f>
        <v>-1.77037813991471</v>
      </c>
      <c r="H195" s="45" t="n">
        <f aca="false">F195*D195/'Tính chọn'!$D$23</f>
        <v>-254.490207725283</v>
      </c>
    </row>
    <row r="196" customFormat="false" ht="14.25" hidden="false" customHeight="false" outlineLevel="0" collapsed="false">
      <c r="A196" s="41" t="n">
        <f aca="false">182*$B$5</f>
        <v>1.82</v>
      </c>
      <c r="B196" s="42" t="n">
        <f aca="false">IF(A196&lt;$F$4,GiaDinh_K3!$D$12,IF(A196&lt;$F$5,0,IF(A196&lt;$F$6,-GiaDinh_K3!$D$12,IF(A196&lt;$F$7,0,IF(A196&lt;$F$8,-GiaDinh_K3!$D$12,IF(A196&lt;$F$9,0,IF(A196&lt;$F$10,GiaDinh_K3!$D$12,0)))))))</f>
        <v>1.8</v>
      </c>
      <c r="C196" s="43" t="n">
        <f aca="false">IF(A196&lt;$F$4,GiaDinh_K3!$D$12*A196,IF(A196&lt;$F$5,GiaDinh_K3!$D$11,IF(A196&lt;$F$6,GiaDinh_K3!$D$11-GiaDinh_K3!$D$12*(A196-$F$5),IF(A196&lt;$F$7,0,IF(A196&lt;$F$8,-GiaDinh_K3!$D$12*(A196-$F$7),IF(A196&lt;$F$9,-GiaDinh_K3!$D$11,IF(A196&lt;$F$10,-GiaDinh_K3!$D$11+GiaDinh_K3!$D$12*(A196-$F$9),0)))))))</f>
        <v>-0.384</v>
      </c>
      <c r="D196" s="46" t="n">
        <f aca="false">MAX(0,D195+(C195+C196)/2*$B$5)</f>
        <v>0.0409799999999999</v>
      </c>
      <c r="E196" s="46" t="n">
        <f aca="false">E195+(D195+D196)/2*$B$5</f>
        <v>0.1790748</v>
      </c>
      <c r="F196" s="42" t="n">
        <f aca="false">IF(A196&gt;$F$10,0,IF((Params!$C$21+GiaDinh_K3!$D$8*Params!$C$5*C196)&gt;=0,(Params!$C$21+GiaDinh_K3!$D$8*Params!$C$5*C196)*'Tính chọn'!$D$23/Params!$C$16,(Params!$C$21+GiaDinh_K3!$D$8*Params!$C$5*C196)*'Tính chọn'!$D$23*Params!$C$16)+Catalogue!$F$15*C196/'Tính chọn'!$D$23)</f>
        <v>-4.28775096934971</v>
      </c>
      <c r="G196" s="42" t="n">
        <f aca="false">IF(A196&gt;$F$10,0,IF(('Tính chọn'!$D$6+GiaDinh_K3!$D$8*Params!$C$6*C196)&gt;=0,('Tính chọn'!$D$6+GiaDinh_K3!$D$8*Params!$C$6*C196)*'Tính chọn'!$D$23/Params!$C$16,('Tính chọn'!$D$6+GiaDinh_K3!$D$8*Params!$C$6*C196)*'Tính chọn'!$D$23*Params!$C$16)+Catalogue!$F$15*C196/'Tính chọn'!$D$23)</f>
        <v>-1.6814590371365</v>
      </c>
      <c r="H196" s="45" t="n">
        <f aca="false">F196*D196/'Tính chọn'!$D$23</f>
        <v>-218.360859792148</v>
      </c>
    </row>
    <row r="197" customFormat="false" ht="14.25" hidden="false" customHeight="false" outlineLevel="0" collapsed="false">
      <c r="A197" s="41" t="n">
        <f aca="false">183*$B$5</f>
        <v>1.83</v>
      </c>
      <c r="B197" s="42" t="n">
        <f aca="false">IF(A197&lt;$F$4,GiaDinh_K3!$D$12,IF(A197&lt;$F$5,0,IF(A197&lt;$F$6,-GiaDinh_K3!$D$12,IF(A197&lt;$F$7,0,IF(A197&lt;$F$8,-GiaDinh_K3!$D$12,IF(A197&lt;$F$9,0,IF(A197&lt;$F$10,GiaDinh_K3!$D$12,0)))))))</f>
        <v>1.8</v>
      </c>
      <c r="C197" s="43" t="n">
        <f aca="false">IF(A197&lt;$F$4,GiaDinh_K3!$D$12*A197,IF(A197&lt;$F$5,GiaDinh_K3!$D$11,IF(A197&lt;$F$6,GiaDinh_K3!$D$11-GiaDinh_K3!$D$12*(A197-$F$5),IF(A197&lt;$F$7,0,IF(A197&lt;$F$8,-GiaDinh_K3!$D$12*(A197-$F$7),IF(A197&lt;$F$9,-GiaDinh_K3!$D$11,IF(A197&lt;$F$10,-GiaDinh_K3!$D$11+GiaDinh_K3!$D$12*(A197-$F$9),0)))))))</f>
        <v>-0.366</v>
      </c>
      <c r="D197" s="46" t="n">
        <f aca="false">MAX(0,D196+(C196+C197)/2*$B$5)</f>
        <v>0.0372299999999999</v>
      </c>
      <c r="E197" s="46" t="n">
        <f aca="false">E196+(D196+D197)/2*$B$5</f>
        <v>0.17946585</v>
      </c>
      <c r="F197" s="42" t="n">
        <f aca="false">IF(A197&gt;$F$10,0,IF((Params!$C$21+GiaDinh_K3!$D$8*Params!$C$5*C197)&gt;=0,(Params!$C$21+GiaDinh_K3!$D$8*Params!$C$5*C197)*'Tính chọn'!$D$23/Params!$C$16,(Params!$C$21+GiaDinh_K3!$D$8*Params!$C$5*C197)*'Tính chọn'!$D$23*Params!$C$16)+Catalogue!$F$15*C197/'Tính chọn'!$D$23)</f>
        <v>-4.01560808325747</v>
      </c>
      <c r="G197" s="42" t="n">
        <f aca="false">IF(A197&gt;$F$10,0,IF(('Tính chọn'!$D$6+GiaDinh_K3!$D$8*Params!$C$6*C197)&gt;=0,('Tính chọn'!$D$6+GiaDinh_K3!$D$8*Params!$C$6*C197)*'Tính chọn'!$D$23/Params!$C$16,('Tính chọn'!$D$6+GiaDinh_K3!$D$8*Params!$C$6*C197)*'Tính chọn'!$D$23*Params!$C$16)+Catalogue!$F$15*C197/'Tính chọn'!$D$23)</f>
        <v>-1.59253993435828</v>
      </c>
      <c r="H197" s="45" t="n">
        <f aca="false">F197*D197/'Tính chọn'!$D$23</f>
        <v>-185.787993247113</v>
      </c>
    </row>
    <row r="198" customFormat="false" ht="14.25" hidden="false" customHeight="false" outlineLevel="0" collapsed="false">
      <c r="A198" s="41" t="n">
        <f aca="false">184*$B$5</f>
        <v>1.84</v>
      </c>
      <c r="B198" s="42" t="n">
        <f aca="false">IF(A198&lt;$F$4,GiaDinh_K3!$D$12,IF(A198&lt;$F$5,0,IF(A198&lt;$F$6,-GiaDinh_K3!$D$12,IF(A198&lt;$F$7,0,IF(A198&lt;$F$8,-GiaDinh_K3!$D$12,IF(A198&lt;$F$9,0,IF(A198&lt;$F$10,GiaDinh_K3!$D$12,0)))))))</f>
        <v>1.8</v>
      </c>
      <c r="C198" s="43" t="n">
        <f aca="false">IF(A198&lt;$F$4,GiaDinh_K3!$D$12*A198,IF(A198&lt;$F$5,GiaDinh_K3!$D$11,IF(A198&lt;$F$6,GiaDinh_K3!$D$11-GiaDinh_K3!$D$12*(A198-$F$5),IF(A198&lt;$F$7,0,IF(A198&lt;$F$8,-GiaDinh_K3!$D$12*(A198-$F$7),IF(A198&lt;$F$9,-GiaDinh_K3!$D$11,IF(A198&lt;$F$10,-GiaDinh_K3!$D$11+GiaDinh_K3!$D$12*(A198-$F$9),0)))))))</f>
        <v>-0.348</v>
      </c>
      <c r="D198" s="46" t="n">
        <f aca="false">MAX(0,D197+(C197+C198)/2*$B$5)</f>
        <v>0.0336599999999999</v>
      </c>
      <c r="E198" s="46" t="n">
        <f aca="false">E197+(D197+D198)/2*$B$5</f>
        <v>0.1798203</v>
      </c>
      <c r="F198" s="42" t="n">
        <f aca="false">IF(A198&gt;$F$10,0,IF((Params!$C$21+GiaDinh_K3!$D$8*Params!$C$5*C198)&gt;=0,(Params!$C$21+GiaDinh_K3!$D$8*Params!$C$5*C198)*'Tính chọn'!$D$23/Params!$C$16,(Params!$C$21+GiaDinh_K3!$D$8*Params!$C$5*C198)*'Tính chọn'!$D$23*Params!$C$16)+Catalogue!$F$15*C198/'Tính chọn'!$D$23)</f>
        <v>-3.74346519716523</v>
      </c>
      <c r="G198" s="42" t="n">
        <f aca="false">IF(A198&gt;$F$10,0,IF(('Tính chọn'!$D$6+GiaDinh_K3!$D$8*Params!$C$6*C198)&gt;=0,('Tính chọn'!$D$6+GiaDinh_K3!$D$8*Params!$C$6*C198)*'Tính chọn'!$D$23/Params!$C$16,('Tính chọn'!$D$6+GiaDinh_K3!$D$8*Params!$C$6*C198)*'Tính chọn'!$D$23*Params!$C$16)+Catalogue!$F$15*C198/'Tính chọn'!$D$23)</f>
        <v>-1.50362083158007</v>
      </c>
      <c r="H198" s="45" t="n">
        <f aca="false">F198*D198/'Tính chọn'!$D$23</f>
        <v>-156.58898149018</v>
      </c>
    </row>
    <row r="199" customFormat="false" ht="14.25" hidden="false" customHeight="false" outlineLevel="0" collapsed="false">
      <c r="A199" s="41" t="n">
        <f aca="false">185*$B$5</f>
        <v>1.85</v>
      </c>
      <c r="B199" s="42" t="n">
        <f aca="false">IF(A199&lt;$F$4,GiaDinh_K3!$D$12,IF(A199&lt;$F$5,0,IF(A199&lt;$F$6,-GiaDinh_K3!$D$12,IF(A199&lt;$F$7,0,IF(A199&lt;$F$8,-GiaDinh_K3!$D$12,IF(A199&lt;$F$9,0,IF(A199&lt;$F$10,GiaDinh_K3!$D$12,0)))))))</f>
        <v>1.8</v>
      </c>
      <c r="C199" s="43" t="n">
        <f aca="false">IF(A199&lt;$F$4,GiaDinh_K3!$D$12*A199,IF(A199&lt;$F$5,GiaDinh_K3!$D$11,IF(A199&lt;$F$6,GiaDinh_K3!$D$11-GiaDinh_K3!$D$12*(A199-$F$5),IF(A199&lt;$F$7,0,IF(A199&lt;$F$8,-GiaDinh_K3!$D$12*(A199-$F$7),IF(A199&lt;$F$9,-GiaDinh_K3!$D$11,IF(A199&lt;$F$10,-GiaDinh_K3!$D$11+GiaDinh_K3!$D$12*(A199-$F$9),0)))))))</f>
        <v>-0.33</v>
      </c>
      <c r="D199" s="46" t="n">
        <f aca="false">MAX(0,D198+(C198+C199)/2*$B$5)</f>
        <v>0.0302699999999999</v>
      </c>
      <c r="E199" s="46" t="n">
        <f aca="false">E198+(D198+D199)/2*$B$5</f>
        <v>0.18013995</v>
      </c>
      <c r="F199" s="42" t="n">
        <f aca="false">IF(A199&gt;$F$10,0,IF((Params!$C$21+GiaDinh_K3!$D$8*Params!$C$5*C199)&gt;=0,(Params!$C$21+GiaDinh_K3!$D$8*Params!$C$5*C199)*'Tính chọn'!$D$23/Params!$C$16,(Params!$C$21+GiaDinh_K3!$D$8*Params!$C$5*C199)*'Tính chọn'!$D$23*Params!$C$16)+Catalogue!$F$15*C199/'Tính chọn'!$D$23)</f>
        <v>-3.471322311073</v>
      </c>
      <c r="G199" s="42" t="n">
        <f aca="false">IF(A199&gt;$F$10,0,IF(('Tính chọn'!$D$6+GiaDinh_K3!$D$8*Params!$C$6*C199)&gt;=0,('Tính chọn'!$D$6+GiaDinh_K3!$D$8*Params!$C$6*C199)*'Tính chọn'!$D$23/Params!$C$16,('Tính chọn'!$D$6+GiaDinh_K3!$D$8*Params!$C$6*C199)*'Tính chọn'!$D$23*Params!$C$16)+Catalogue!$F$15*C199/'Tính chọn'!$D$23)</f>
        <v>-1.41470172880185</v>
      </c>
      <c r="H199" s="45" t="n">
        <f aca="false">F199*D199/'Tính chọn'!$D$23</f>
        <v>-130.581197921351</v>
      </c>
    </row>
    <row r="200" customFormat="false" ht="14.25" hidden="false" customHeight="false" outlineLevel="0" collapsed="false">
      <c r="A200" s="41" t="n">
        <f aca="false">186*$B$5</f>
        <v>1.86</v>
      </c>
      <c r="B200" s="42" t="n">
        <f aca="false">IF(A200&lt;$F$4,GiaDinh_K3!$D$12,IF(A200&lt;$F$5,0,IF(A200&lt;$F$6,-GiaDinh_K3!$D$12,IF(A200&lt;$F$7,0,IF(A200&lt;$F$8,-GiaDinh_K3!$D$12,IF(A200&lt;$F$9,0,IF(A200&lt;$F$10,GiaDinh_K3!$D$12,0)))))))</f>
        <v>1.8</v>
      </c>
      <c r="C200" s="43" t="n">
        <f aca="false">IF(A200&lt;$F$4,GiaDinh_K3!$D$12*A200,IF(A200&lt;$F$5,GiaDinh_K3!$D$11,IF(A200&lt;$F$6,GiaDinh_K3!$D$11-GiaDinh_K3!$D$12*(A200-$F$5),IF(A200&lt;$F$7,0,IF(A200&lt;$F$8,-GiaDinh_K3!$D$12*(A200-$F$7),IF(A200&lt;$F$9,-GiaDinh_K3!$D$11,IF(A200&lt;$F$10,-GiaDinh_K3!$D$11+GiaDinh_K3!$D$12*(A200-$F$9),0)))))))</f>
        <v>-0.312</v>
      </c>
      <c r="D200" s="46" t="n">
        <f aca="false">MAX(0,D199+(C199+C200)/2*$B$5)</f>
        <v>0.0270599999999999</v>
      </c>
      <c r="E200" s="46" t="n">
        <f aca="false">E199+(D199+D200)/2*$B$5</f>
        <v>0.1804266</v>
      </c>
      <c r="F200" s="42" t="n">
        <f aca="false">IF(A200&gt;$F$10,0,IF((Params!$C$21+GiaDinh_K3!$D$8*Params!$C$5*C200)&gt;=0,(Params!$C$21+GiaDinh_K3!$D$8*Params!$C$5*C200)*'Tính chọn'!$D$23/Params!$C$16,(Params!$C$21+GiaDinh_K3!$D$8*Params!$C$5*C200)*'Tính chọn'!$D$23*Params!$C$16)+Catalogue!$F$15*C200/'Tính chọn'!$D$23)</f>
        <v>-3.19917942498076</v>
      </c>
      <c r="G200" s="42" t="n">
        <f aca="false">IF(A200&gt;$F$10,0,IF(('Tính chọn'!$D$6+GiaDinh_K3!$D$8*Params!$C$6*C200)&gt;=0,('Tính chọn'!$D$6+GiaDinh_K3!$D$8*Params!$C$6*C200)*'Tính chọn'!$D$23/Params!$C$16,('Tính chọn'!$D$6+GiaDinh_K3!$D$8*Params!$C$6*C200)*'Tính chọn'!$D$23*Params!$C$16)+Catalogue!$F$15*C200/'Tính chọn'!$D$23)</f>
        <v>-1.32578262602364</v>
      </c>
      <c r="H200" s="45" t="n">
        <f aca="false">F200*D200/'Tính chọn'!$D$23</f>
        <v>-107.582015940627</v>
      </c>
    </row>
    <row r="201" customFormat="false" ht="14.25" hidden="false" customHeight="false" outlineLevel="0" collapsed="false">
      <c r="A201" s="41" t="n">
        <f aca="false">187*$B$5</f>
        <v>1.87</v>
      </c>
      <c r="B201" s="42" t="n">
        <f aca="false">IF(A201&lt;$F$4,GiaDinh_K3!$D$12,IF(A201&lt;$F$5,0,IF(A201&lt;$F$6,-GiaDinh_K3!$D$12,IF(A201&lt;$F$7,0,IF(A201&lt;$F$8,-GiaDinh_K3!$D$12,IF(A201&lt;$F$9,0,IF(A201&lt;$F$10,GiaDinh_K3!$D$12,0)))))))</f>
        <v>1.8</v>
      </c>
      <c r="C201" s="43" t="n">
        <f aca="false">IF(A201&lt;$F$4,GiaDinh_K3!$D$12*A201,IF(A201&lt;$F$5,GiaDinh_K3!$D$11,IF(A201&lt;$F$6,GiaDinh_K3!$D$11-GiaDinh_K3!$D$12*(A201-$F$5),IF(A201&lt;$F$7,0,IF(A201&lt;$F$8,-GiaDinh_K3!$D$12*(A201-$F$7),IF(A201&lt;$F$9,-GiaDinh_K3!$D$11,IF(A201&lt;$F$10,-GiaDinh_K3!$D$11+GiaDinh_K3!$D$12*(A201-$F$9),0)))))))</f>
        <v>-0.294</v>
      </c>
      <c r="D201" s="46" t="n">
        <f aca="false">MAX(0,D200+(C200+C201)/2*$B$5)</f>
        <v>0.0240299999999999</v>
      </c>
      <c r="E201" s="46" t="n">
        <f aca="false">E200+(D200+D201)/2*$B$5</f>
        <v>0.18068205</v>
      </c>
      <c r="F201" s="42" t="n">
        <f aca="false">IF(A201&gt;$F$10,0,IF((Params!$C$21+GiaDinh_K3!$D$8*Params!$C$5*C201)&gt;=0,(Params!$C$21+GiaDinh_K3!$D$8*Params!$C$5*C201)*'Tính chọn'!$D$23/Params!$C$16,(Params!$C$21+GiaDinh_K3!$D$8*Params!$C$5*C201)*'Tính chọn'!$D$23*Params!$C$16)+Catalogue!$F$15*C201/'Tính chọn'!$D$23)</f>
        <v>-2.92703653888852</v>
      </c>
      <c r="G201" s="42" t="n">
        <f aca="false">IF(A201&gt;$F$10,0,IF(('Tính chọn'!$D$6+GiaDinh_K3!$D$8*Params!$C$6*C201)&gt;=0,('Tính chọn'!$D$6+GiaDinh_K3!$D$8*Params!$C$6*C201)*'Tính chọn'!$D$23/Params!$C$16,('Tính chọn'!$D$6+GiaDinh_K3!$D$8*Params!$C$6*C201)*'Tính chọn'!$D$23*Params!$C$16)+Catalogue!$F$15*C201/'Tính chọn'!$D$23)</f>
        <v>-1.23686352324542</v>
      </c>
      <c r="H201" s="45" t="n">
        <f aca="false">F201*D201/'Tính chọn'!$D$23</f>
        <v>-87.4088089480089</v>
      </c>
    </row>
    <row r="202" customFormat="false" ht="14.25" hidden="false" customHeight="false" outlineLevel="0" collapsed="false">
      <c r="A202" s="41" t="n">
        <f aca="false">188*$B$5</f>
        <v>1.88</v>
      </c>
      <c r="B202" s="42" t="n">
        <f aca="false">IF(A202&lt;$F$4,GiaDinh_K3!$D$12,IF(A202&lt;$F$5,0,IF(A202&lt;$F$6,-GiaDinh_K3!$D$12,IF(A202&lt;$F$7,0,IF(A202&lt;$F$8,-GiaDinh_K3!$D$12,IF(A202&lt;$F$9,0,IF(A202&lt;$F$10,GiaDinh_K3!$D$12,0)))))))</f>
        <v>1.8</v>
      </c>
      <c r="C202" s="43" t="n">
        <f aca="false">IF(A202&lt;$F$4,GiaDinh_K3!$D$12*A202,IF(A202&lt;$F$5,GiaDinh_K3!$D$11,IF(A202&lt;$F$6,GiaDinh_K3!$D$11-GiaDinh_K3!$D$12*(A202-$F$5),IF(A202&lt;$F$7,0,IF(A202&lt;$F$8,-GiaDinh_K3!$D$12*(A202-$F$7),IF(A202&lt;$F$9,-GiaDinh_K3!$D$11,IF(A202&lt;$F$10,-GiaDinh_K3!$D$11+GiaDinh_K3!$D$12*(A202-$F$9),0)))))))</f>
        <v>-0.276</v>
      </c>
      <c r="D202" s="46" t="n">
        <f aca="false">MAX(0,D201+(C201+C202)/2*$B$5)</f>
        <v>0.0211799999999999</v>
      </c>
      <c r="E202" s="46" t="n">
        <f aca="false">E201+(D201+D202)/2*$B$5</f>
        <v>0.1809081</v>
      </c>
      <c r="F202" s="42" t="n">
        <f aca="false">IF(A202&gt;$F$10,0,IF((Params!$C$21+GiaDinh_K3!$D$8*Params!$C$5*C202)&gt;=0,(Params!$C$21+GiaDinh_K3!$D$8*Params!$C$5*C202)*'Tính chọn'!$D$23/Params!$C$16,(Params!$C$21+GiaDinh_K3!$D$8*Params!$C$5*C202)*'Tính chọn'!$D$23*Params!$C$16)+Catalogue!$F$15*C202/'Tính chọn'!$D$23)</f>
        <v>-2.65489365279629</v>
      </c>
      <c r="G202" s="42" t="n">
        <f aca="false">IF(A202&gt;$F$10,0,IF(('Tính chọn'!$D$6+GiaDinh_K3!$D$8*Params!$C$6*C202)&gt;=0,('Tính chọn'!$D$6+GiaDinh_K3!$D$8*Params!$C$6*C202)*'Tính chọn'!$D$23/Params!$C$16,('Tính chọn'!$D$6+GiaDinh_K3!$D$8*Params!$C$6*C202)*'Tính chọn'!$D$23*Params!$C$16)+Catalogue!$F$15*C202/'Tính chọn'!$D$23)</f>
        <v>-1.14794442046721</v>
      </c>
      <c r="H202" s="45" t="n">
        <f aca="false">F202*D202/'Tính chọn'!$D$23</f>
        <v>-69.8789503434992</v>
      </c>
    </row>
    <row r="203" customFormat="false" ht="14.25" hidden="false" customHeight="false" outlineLevel="0" collapsed="false">
      <c r="A203" s="41" t="n">
        <f aca="false">189*$B$5</f>
        <v>1.89</v>
      </c>
      <c r="B203" s="42" t="n">
        <f aca="false">IF(A203&lt;$F$4,GiaDinh_K3!$D$12,IF(A203&lt;$F$5,0,IF(A203&lt;$F$6,-GiaDinh_K3!$D$12,IF(A203&lt;$F$7,0,IF(A203&lt;$F$8,-GiaDinh_K3!$D$12,IF(A203&lt;$F$9,0,IF(A203&lt;$F$10,GiaDinh_K3!$D$12,0)))))))</f>
        <v>1.8</v>
      </c>
      <c r="C203" s="43" t="n">
        <f aca="false">IF(A203&lt;$F$4,GiaDinh_K3!$D$12*A203,IF(A203&lt;$F$5,GiaDinh_K3!$D$11,IF(A203&lt;$F$6,GiaDinh_K3!$D$11-GiaDinh_K3!$D$12*(A203-$F$5),IF(A203&lt;$F$7,0,IF(A203&lt;$F$8,-GiaDinh_K3!$D$12*(A203-$F$7),IF(A203&lt;$F$9,-GiaDinh_K3!$D$11,IF(A203&lt;$F$10,-GiaDinh_K3!$D$11+GiaDinh_K3!$D$12*(A203-$F$9),0)))))))</f>
        <v>-0.258</v>
      </c>
      <c r="D203" s="46" t="n">
        <f aca="false">MAX(0,D202+(C202+C203)/2*$B$5)</f>
        <v>0.0185099999999999</v>
      </c>
      <c r="E203" s="46" t="n">
        <f aca="false">E202+(D202+D203)/2*$B$5</f>
        <v>0.18110655</v>
      </c>
      <c r="F203" s="42" t="n">
        <f aca="false">IF(A203&gt;$F$10,0,IF((Params!$C$21+GiaDinh_K3!$D$8*Params!$C$5*C203)&gt;=0,(Params!$C$21+GiaDinh_K3!$D$8*Params!$C$5*C203)*'Tính chọn'!$D$23/Params!$C$16,(Params!$C$21+GiaDinh_K3!$D$8*Params!$C$5*C203)*'Tính chọn'!$D$23*Params!$C$16)+Catalogue!$F$15*C203/'Tính chọn'!$D$23)</f>
        <v>-2.38275076670405</v>
      </c>
      <c r="G203" s="42" t="n">
        <f aca="false">IF(A203&gt;$F$10,0,IF(('Tính chọn'!$D$6+GiaDinh_K3!$D$8*Params!$C$6*C203)&gt;=0,('Tính chọn'!$D$6+GiaDinh_K3!$D$8*Params!$C$6*C203)*'Tính chọn'!$D$23/Params!$C$16,('Tính chọn'!$D$6+GiaDinh_K3!$D$8*Params!$C$6*C203)*'Tính chọn'!$D$23*Params!$C$16)+Catalogue!$F$15*C203/'Tính chọn'!$D$23)</f>
        <v>-1.05902531768899</v>
      </c>
      <c r="H203" s="45" t="n">
        <f aca="false">F203*D203/'Tính chọn'!$D$23</f>
        <v>-54.8098135270991</v>
      </c>
    </row>
    <row r="204" customFormat="false" ht="14.25" hidden="false" customHeight="false" outlineLevel="0" collapsed="false">
      <c r="A204" s="41" t="n">
        <f aca="false">190*$B$5</f>
        <v>1.9</v>
      </c>
      <c r="B204" s="42" t="n">
        <f aca="false">IF(A204&lt;$F$4,GiaDinh_K3!$D$12,IF(A204&lt;$F$5,0,IF(A204&lt;$F$6,-GiaDinh_K3!$D$12,IF(A204&lt;$F$7,0,IF(A204&lt;$F$8,-GiaDinh_K3!$D$12,IF(A204&lt;$F$9,0,IF(A204&lt;$F$10,GiaDinh_K3!$D$12,0)))))))</f>
        <v>1.8</v>
      </c>
      <c r="C204" s="43" t="n">
        <f aca="false">IF(A204&lt;$F$4,GiaDinh_K3!$D$12*A204,IF(A204&lt;$F$5,GiaDinh_K3!$D$11,IF(A204&lt;$F$6,GiaDinh_K3!$D$11-GiaDinh_K3!$D$12*(A204-$F$5),IF(A204&lt;$F$7,0,IF(A204&lt;$F$8,-GiaDinh_K3!$D$12*(A204-$F$7),IF(A204&lt;$F$9,-GiaDinh_K3!$D$11,IF(A204&lt;$F$10,-GiaDinh_K3!$D$11+GiaDinh_K3!$D$12*(A204-$F$9),0)))))))</f>
        <v>-0.24</v>
      </c>
      <c r="D204" s="46" t="n">
        <f aca="false">MAX(0,D203+(C203+C204)/2*$B$5)</f>
        <v>0.0160199999999999</v>
      </c>
      <c r="E204" s="46" t="n">
        <f aca="false">E203+(D203+D204)/2*$B$5</f>
        <v>0.1812792</v>
      </c>
      <c r="F204" s="42" t="n">
        <f aca="false">IF(A204&gt;$F$10,0,IF((Params!$C$21+GiaDinh_K3!$D$8*Params!$C$5*C204)&gt;=0,(Params!$C$21+GiaDinh_K3!$D$8*Params!$C$5*C204)*'Tính chọn'!$D$23/Params!$C$16,(Params!$C$21+GiaDinh_K3!$D$8*Params!$C$5*C204)*'Tính chọn'!$D$23*Params!$C$16)+Catalogue!$F$15*C204/'Tính chọn'!$D$23)</f>
        <v>-2.11060788061181</v>
      </c>
      <c r="G204" s="42" t="n">
        <f aca="false">IF(A204&gt;$F$10,0,IF(('Tính chọn'!$D$6+GiaDinh_K3!$D$8*Params!$C$6*C204)&gt;=0,('Tính chọn'!$D$6+GiaDinh_K3!$D$8*Params!$C$6*C204)*'Tính chọn'!$D$23/Params!$C$16,('Tính chọn'!$D$6+GiaDinh_K3!$D$8*Params!$C$6*C204)*'Tính chọn'!$D$23*Params!$C$16)+Catalogue!$F$15*C204/'Tính chọn'!$D$23)</f>
        <v>-0.970106214910774</v>
      </c>
      <c r="H204" s="45" t="n">
        <f aca="false">F204*D204/'Tính chọn'!$D$23</f>
        <v>-42.0187718988102</v>
      </c>
    </row>
    <row r="205" customFormat="false" ht="14.25" hidden="false" customHeight="false" outlineLevel="0" collapsed="false">
      <c r="A205" s="41" t="n">
        <f aca="false">191*$B$5</f>
        <v>1.91</v>
      </c>
      <c r="B205" s="42" t="n">
        <f aca="false">IF(A205&lt;$F$4,GiaDinh_K3!$D$12,IF(A205&lt;$F$5,0,IF(A205&lt;$F$6,-GiaDinh_K3!$D$12,IF(A205&lt;$F$7,0,IF(A205&lt;$F$8,-GiaDinh_K3!$D$12,IF(A205&lt;$F$9,0,IF(A205&lt;$F$10,GiaDinh_K3!$D$12,0)))))))</f>
        <v>1.8</v>
      </c>
      <c r="C205" s="43" t="n">
        <f aca="false">IF(A205&lt;$F$4,GiaDinh_K3!$D$12*A205,IF(A205&lt;$F$5,GiaDinh_K3!$D$11,IF(A205&lt;$F$6,GiaDinh_K3!$D$11-GiaDinh_K3!$D$12*(A205-$F$5),IF(A205&lt;$F$7,0,IF(A205&lt;$F$8,-GiaDinh_K3!$D$12*(A205-$F$7),IF(A205&lt;$F$9,-GiaDinh_K3!$D$11,IF(A205&lt;$F$10,-GiaDinh_K3!$D$11+GiaDinh_K3!$D$12*(A205-$F$9),0)))))))</f>
        <v>-0.222</v>
      </c>
      <c r="D205" s="46" t="n">
        <f aca="false">MAX(0,D204+(C204+C205)/2*$B$5)</f>
        <v>0.0137099999999999</v>
      </c>
      <c r="E205" s="46" t="n">
        <f aca="false">E204+(D204+D205)/2*$B$5</f>
        <v>0.18142785</v>
      </c>
      <c r="F205" s="42" t="n">
        <f aca="false">IF(A205&gt;$F$10,0,IF((Params!$C$21+GiaDinh_K3!$D$8*Params!$C$5*C205)&gt;=0,(Params!$C$21+GiaDinh_K3!$D$8*Params!$C$5*C205)*'Tính chọn'!$D$23/Params!$C$16,(Params!$C$21+GiaDinh_K3!$D$8*Params!$C$5*C205)*'Tính chọn'!$D$23*Params!$C$16)+Catalogue!$F$15*C205/'Tính chọn'!$D$23)</f>
        <v>-1.83846499451958</v>
      </c>
      <c r="G205" s="42" t="n">
        <f aca="false">IF(A205&gt;$F$10,0,IF(('Tính chọn'!$D$6+GiaDinh_K3!$D$8*Params!$C$6*C205)&gt;=0,('Tính chọn'!$D$6+GiaDinh_K3!$D$8*Params!$C$6*C205)*'Tính chọn'!$D$23/Params!$C$16,('Tính chọn'!$D$6+GiaDinh_K3!$D$8*Params!$C$6*C205)*'Tính chọn'!$D$23*Params!$C$16)+Catalogue!$F$15*C205/'Tính chọn'!$D$23)</f>
        <v>-0.881187112132558</v>
      </c>
      <c r="H205" s="45" t="n">
        <f aca="false">F205*D205/'Tính chọn'!$D$23</f>
        <v>-31.323198858634</v>
      </c>
    </row>
    <row r="206" customFormat="false" ht="14.25" hidden="false" customHeight="false" outlineLevel="0" collapsed="false">
      <c r="A206" s="41" t="n">
        <f aca="false">192*$B$5</f>
        <v>1.92</v>
      </c>
      <c r="B206" s="42" t="n">
        <f aca="false">IF(A206&lt;$F$4,GiaDinh_K3!$D$12,IF(A206&lt;$F$5,0,IF(A206&lt;$F$6,-GiaDinh_K3!$D$12,IF(A206&lt;$F$7,0,IF(A206&lt;$F$8,-GiaDinh_K3!$D$12,IF(A206&lt;$F$9,0,IF(A206&lt;$F$10,GiaDinh_K3!$D$12,0)))))))</f>
        <v>1.8</v>
      </c>
      <c r="C206" s="43" t="n">
        <f aca="false">IF(A206&lt;$F$4,GiaDinh_K3!$D$12*A206,IF(A206&lt;$F$5,GiaDinh_K3!$D$11,IF(A206&lt;$F$6,GiaDinh_K3!$D$11-GiaDinh_K3!$D$12*(A206-$F$5),IF(A206&lt;$F$7,0,IF(A206&lt;$F$8,-GiaDinh_K3!$D$12*(A206-$F$7),IF(A206&lt;$F$9,-GiaDinh_K3!$D$11,IF(A206&lt;$F$10,-GiaDinh_K3!$D$11+GiaDinh_K3!$D$12*(A206-$F$9),0)))))))</f>
        <v>-0.204</v>
      </c>
      <c r="D206" s="46" t="n">
        <f aca="false">MAX(0,D205+(C205+C206)/2*$B$5)</f>
        <v>0.0115799999999999</v>
      </c>
      <c r="E206" s="46" t="n">
        <f aca="false">E205+(D205+D206)/2*$B$5</f>
        <v>0.1815543</v>
      </c>
      <c r="F206" s="42" t="n">
        <f aca="false">IF(A206&gt;$F$10,0,IF((Params!$C$21+GiaDinh_K3!$D$8*Params!$C$5*C206)&gt;=0,(Params!$C$21+GiaDinh_K3!$D$8*Params!$C$5*C206)*'Tính chọn'!$D$23/Params!$C$16,(Params!$C$21+GiaDinh_K3!$D$8*Params!$C$5*C206)*'Tính chọn'!$D$23*Params!$C$16)+Catalogue!$F$15*C206/'Tính chọn'!$D$23)</f>
        <v>-1.56632210842734</v>
      </c>
      <c r="G206" s="42" t="n">
        <f aca="false">IF(A206&gt;$F$10,0,IF(('Tính chọn'!$D$6+GiaDinh_K3!$D$8*Params!$C$6*C206)&gt;=0,('Tính chọn'!$D$6+GiaDinh_K3!$D$8*Params!$C$6*C206)*'Tính chọn'!$D$23/Params!$C$16,('Tính chọn'!$D$6+GiaDinh_K3!$D$8*Params!$C$6*C206)*'Tính chọn'!$D$23*Params!$C$16)+Catalogue!$F$15*C206/'Tính chọn'!$D$23)</f>
        <v>-0.792268009354345</v>
      </c>
      <c r="H206" s="45" t="n">
        <f aca="false">F206*D206/'Tính chọn'!$D$23</f>
        <v>-22.5404678065722</v>
      </c>
    </row>
    <row r="207" customFormat="false" ht="14.25" hidden="false" customHeight="false" outlineLevel="0" collapsed="false">
      <c r="A207" s="41" t="n">
        <f aca="false">193*$B$5</f>
        <v>1.93</v>
      </c>
      <c r="B207" s="42" t="n">
        <f aca="false">IF(A207&lt;$F$4,GiaDinh_K3!$D$12,IF(A207&lt;$F$5,0,IF(A207&lt;$F$6,-GiaDinh_K3!$D$12,IF(A207&lt;$F$7,0,IF(A207&lt;$F$8,-GiaDinh_K3!$D$12,IF(A207&lt;$F$9,0,IF(A207&lt;$F$10,GiaDinh_K3!$D$12,0)))))))</f>
        <v>1.8</v>
      </c>
      <c r="C207" s="43" t="n">
        <f aca="false">IF(A207&lt;$F$4,GiaDinh_K3!$D$12*A207,IF(A207&lt;$F$5,GiaDinh_K3!$D$11,IF(A207&lt;$F$6,GiaDinh_K3!$D$11-GiaDinh_K3!$D$12*(A207-$F$5),IF(A207&lt;$F$7,0,IF(A207&lt;$F$8,-GiaDinh_K3!$D$12*(A207-$F$7),IF(A207&lt;$F$9,-GiaDinh_K3!$D$11,IF(A207&lt;$F$10,-GiaDinh_K3!$D$11+GiaDinh_K3!$D$12*(A207-$F$9),0)))))))</f>
        <v>-0.186</v>
      </c>
      <c r="D207" s="46" t="n">
        <f aca="false">MAX(0,D206+(C206+C207)/2*$B$5)</f>
        <v>0.00962999999999992</v>
      </c>
      <c r="E207" s="46" t="n">
        <f aca="false">E206+(D206+D207)/2*$B$5</f>
        <v>0.18166035</v>
      </c>
      <c r="F207" s="42" t="n">
        <f aca="false">IF(A207&gt;$F$10,0,IF((Params!$C$21+GiaDinh_K3!$D$8*Params!$C$5*C207)&gt;=0,(Params!$C$21+GiaDinh_K3!$D$8*Params!$C$5*C207)*'Tính chọn'!$D$23/Params!$C$16,(Params!$C$21+GiaDinh_K3!$D$8*Params!$C$5*C207)*'Tính chọn'!$D$23*Params!$C$16)+Catalogue!$F$15*C207/'Tính chọn'!$D$23)</f>
        <v>-1.29417922233511</v>
      </c>
      <c r="G207" s="42" t="n">
        <f aca="false">IF(A207&gt;$F$10,0,IF(('Tính chọn'!$D$6+GiaDinh_K3!$D$8*Params!$C$6*C207)&gt;=0,('Tính chọn'!$D$6+GiaDinh_K3!$D$8*Params!$C$6*C207)*'Tính chọn'!$D$23/Params!$C$16,('Tính chọn'!$D$6+GiaDinh_K3!$D$8*Params!$C$6*C207)*'Tính chọn'!$D$23*Params!$C$16)+Catalogue!$F$15*C207/'Tính chọn'!$D$23)</f>
        <v>-0.703348906576129</v>
      </c>
      <c r="H207" s="45" t="n">
        <f aca="false">F207*D207/'Tính chọn'!$D$23</f>
        <v>-15.487952142626</v>
      </c>
    </row>
    <row r="208" customFormat="false" ht="14.25" hidden="false" customHeight="false" outlineLevel="0" collapsed="false">
      <c r="A208" s="41" t="n">
        <f aca="false">194*$B$5</f>
        <v>1.94</v>
      </c>
      <c r="B208" s="42" t="n">
        <f aca="false">IF(A208&lt;$F$4,GiaDinh_K3!$D$12,IF(A208&lt;$F$5,0,IF(A208&lt;$F$6,-GiaDinh_K3!$D$12,IF(A208&lt;$F$7,0,IF(A208&lt;$F$8,-GiaDinh_K3!$D$12,IF(A208&lt;$F$9,0,IF(A208&lt;$F$10,GiaDinh_K3!$D$12,0)))))))</f>
        <v>1.8</v>
      </c>
      <c r="C208" s="43" t="n">
        <f aca="false">IF(A208&lt;$F$4,GiaDinh_K3!$D$12*A208,IF(A208&lt;$F$5,GiaDinh_K3!$D$11,IF(A208&lt;$F$6,GiaDinh_K3!$D$11-GiaDinh_K3!$D$12*(A208-$F$5),IF(A208&lt;$F$7,0,IF(A208&lt;$F$8,-GiaDinh_K3!$D$12*(A208-$F$7),IF(A208&lt;$F$9,-GiaDinh_K3!$D$11,IF(A208&lt;$F$10,-GiaDinh_K3!$D$11+GiaDinh_K3!$D$12*(A208-$F$9),0)))))))</f>
        <v>-0.168</v>
      </c>
      <c r="D208" s="46" t="n">
        <f aca="false">MAX(0,D207+(C207+C208)/2*$B$5)</f>
        <v>0.00785999999999992</v>
      </c>
      <c r="E208" s="46" t="n">
        <f aca="false">E207+(D207+D208)/2*$B$5</f>
        <v>0.1817478</v>
      </c>
      <c r="F208" s="42" t="n">
        <f aca="false">IF(A208&gt;$F$10,0,IF((Params!$C$21+GiaDinh_K3!$D$8*Params!$C$5*C208)&gt;=0,(Params!$C$21+GiaDinh_K3!$D$8*Params!$C$5*C208)*'Tính chọn'!$D$23/Params!$C$16,(Params!$C$21+GiaDinh_K3!$D$8*Params!$C$5*C208)*'Tính chọn'!$D$23*Params!$C$16)+Catalogue!$F$15*C208/'Tính chọn'!$D$23)</f>
        <v>-1.02203633624287</v>
      </c>
      <c r="G208" s="42" t="n">
        <f aca="false">IF(A208&gt;$F$10,0,IF(('Tính chọn'!$D$6+GiaDinh_K3!$D$8*Params!$C$6*C208)&gt;=0,('Tính chọn'!$D$6+GiaDinh_K3!$D$8*Params!$C$6*C208)*'Tính chọn'!$D$23/Params!$C$16,('Tính chọn'!$D$6+GiaDinh_K3!$D$8*Params!$C$6*C208)*'Tính chọn'!$D$23*Params!$C$16)+Catalogue!$F$15*C208/'Tính chọn'!$D$23)</f>
        <v>-0.614429803797914</v>
      </c>
      <c r="H208" s="45" t="n">
        <f aca="false">F208*D208/'Tính chọn'!$D$23</f>
        <v>-9.98302526679723</v>
      </c>
    </row>
    <row r="209" customFormat="false" ht="14.25" hidden="false" customHeight="false" outlineLevel="0" collapsed="false">
      <c r="A209" s="41" t="n">
        <f aca="false">195*$B$5</f>
        <v>1.95</v>
      </c>
      <c r="B209" s="42" t="n">
        <f aca="false">IF(A209&lt;$F$4,GiaDinh_K3!$D$12,IF(A209&lt;$F$5,0,IF(A209&lt;$F$6,-GiaDinh_K3!$D$12,IF(A209&lt;$F$7,0,IF(A209&lt;$F$8,-GiaDinh_K3!$D$12,IF(A209&lt;$F$9,0,IF(A209&lt;$F$10,GiaDinh_K3!$D$12,0)))))))</f>
        <v>1.8</v>
      </c>
      <c r="C209" s="43" t="n">
        <f aca="false">IF(A209&lt;$F$4,GiaDinh_K3!$D$12*A209,IF(A209&lt;$F$5,GiaDinh_K3!$D$11,IF(A209&lt;$F$6,GiaDinh_K3!$D$11-GiaDinh_K3!$D$12*(A209-$F$5),IF(A209&lt;$F$7,0,IF(A209&lt;$F$8,-GiaDinh_K3!$D$12*(A209-$F$7),IF(A209&lt;$F$9,-GiaDinh_K3!$D$11,IF(A209&lt;$F$10,-GiaDinh_K3!$D$11+GiaDinh_K3!$D$12*(A209-$F$9),0)))))))</f>
        <v>-0.15</v>
      </c>
      <c r="D209" s="46" t="n">
        <f aca="false">MAX(0,D208+(C208+C209)/2*$B$5)</f>
        <v>0.00626999999999992</v>
      </c>
      <c r="E209" s="46" t="n">
        <f aca="false">E208+(D208+D209)/2*$B$5</f>
        <v>0.18181845</v>
      </c>
      <c r="F209" s="42" t="n">
        <f aca="false">IF(A209&gt;$F$10,0,IF((Params!$C$21+GiaDinh_K3!$D$8*Params!$C$5*C209)&gt;=0,(Params!$C$21+GiaDinh_K3!$D$8*Params!$C$5*C209)*'Tính chọn'!$D$23/Params!$C$16,(Params!$C$21+GiaDinh_K3!$D$8*Params!$C$5*C209)*'Tính chọn'!$D$23*Params!$C$16)+Catalogue!$F$15*C209/'Tính chọn'!$D$23)</f>
        <v>-0.749893450150635</v>
      </c>
      <c r="G209" s="42" t="n">
        <f aca="false">IF(A209&gt;$F$10,0,IF(('Tính chọn'!$D$6+GiaDinh_K3!$D$8*Params!$C$6*C209)&gt;=0,('Tính chọn'!$D$6+GiaDinh_K3!$D$8*Params!$C$6*C209)*'Tính chọn'!$D$23/Params!$C$16,('Tính chọn'!$D$6+GiaDinh_K3!$D$8*Params!$C$6*C209)*'Tính chọn'!$D$23*Params!$C$16)+Catalogue!$F$15*C209/'Tính chọn'!$D$23)</f>
        <v>-0.525510701019698</v>
      </c>
      <c r="H209" s="45" t="n">
        <f aca="false">F209*D209/'Tính chọn'!$D$23</f>
        <v>-5.84306057908733</v>
      </c>
    </row>
    <row r="210" customFormat="false" ht="14.25" hidden="false" customHeight="false" outlineLevel="0" collapsed="false">
      <c r="A210" s="41" t="n">
        <f aca="false">196*$B$5</f>
        <v>1.96</v>
      </c>
      <c r="B210" s="42" t="n">
        <f aca="false">IF(A210&lt;$F$4,GiaDinh_K3!$D$12,IF(A210&lt;$F$5,0,IF(A210&lt;$F$6,-GiaDinh_K3!$D$12,IF(A210&lt;$F$7,0,IF(A210&lt;$F$8,-GiaDinh_K3!$D$12,IF(A210&lt;$F$9,0,IF(A210&lt;$F$10,GiaDinh_K3!$D$12,0)))))))</f>
        <v>1.8</v>
      </c>
      <c r="C210" s="43" t="n">
        <f aca="false">IF(A210&lt;$F$4,GiaDinh_K3!$D$12*A210,IF(A210&lt;$F$5,GiaDinh_K3!$D$11,IF(A210&lt;$F$6,GiaDinh_K3!$D$11-GiaDinh_K3!$D$12*(A210-$F$5),IF(A210&lt;$F$7,0,IF(A210&lt;$F$8,-GiaDinh_K3!$D$12*(A210-$F$7),IF(A210&lt;$F$9,-GiaDinh_K3!$D$11,IF(A210&lt;$F$10,-GiaDinh_K3!$D$11+GiaDinh_K3!$D$12*(A210-$F$9),0)))))))</f>
        <v>-0.132</v>
      </c>
      <c r="D210" s="46" t="n">
        <f aca="false">MAX(0,D209+(C209+C210)/2*$B$5)</f>
        <v>0.00485999999999993</v>
      </c>
      <c r="E210" s="46" t="n">
        <f aca="false">E209+(D209+D210)/2*$B$5</f>
        <v>0.1818741</v>
      </c>
      <c r="F210" s="42" t="n">
        <f aca="false">IF(A210&gt;$F$10,0,IF((Params!$C$21+GiaDinh_K3!$D$8*Params!$C$5*C210)&gt;=0,(Params!$C$21+GiaDinh_K3!$D$8*Params!$C$5*C210)*'Tính chọn'!$D$23/Params!$C$16,(Params!$C$21+GiaDinh_K3!$D$8*Params!$C$5*C210)*'Tính chọn'!$D$23*Params!$C$16)+Catalogue!$F$15*C210/'Tính chọn'!$D$23)</f>
        <v>-0.477750564058398</v>
      </c>
      <c r="G210" s="42" t="n">
        <f aca="false">IF(A210&gt;$F$10,0,IF(('Tính chọn'!$D$6+GiaDinh_K3!$D$8*Params!$C$6*C210)&gt;=0,('Tính chọn'!$D$6+GiaDinh_K3!$D$8*Params!$C$6*C210)*'Tính chọn'!$D$23/Params!$C$16,('Tính chọn'!$D$6+GiaDinh_K3!$D$8*Params!$C$6*C210)*'Tính chọn'!$D$23*Params!$C$16)+Catalogue!$F$15*C210/'Tính chọn'!$D$23)</f>
        <v>-0.436591598241482</v>
      </c>
      <c r="H210" s="45" t="n">
        <f aca="false">F210*D210/'Tính chọn'!$D$23</f>
        <v>-2.88543147949789</v>
      </c>
    </row>
    <row r="211" customFormat="false" ht="14.25" hidden="false" customHeight="false" outlineLevel="0" collapsed="false">
      <c r="A211" s="41" t="n">
        <f aca="false">197*$B$5</f>
        <v>1.97</v>
      </c>
      <c r="B211" s="42" t="n">
        <f aca="false">IF(A211&lt;$F$4,GiaDinh_K3!$D$12,IF(A211&lt;$F$5,0,IF(A211&lt;$F$6,-GiaDinh_K3!$D$12,IF(A211&lt;$F$7,0,IF(A211&lt;$F$8,-GiaDinh_K3!$D$12,IF(A211&lt;$F$9,0,IF(A211&lt;$F$10,GiaDinh_K3!$D$12,0)))))))</f>
        <v>1.8</v>
      </c>
      <c r="C211" s="43" t="n">
        <f aca="false">IF(A211&lt;$F$4,GiaDinh_K3!$D$12*A211,IF(A211&lt;$F$5,GiaDinh_K3!$D$11,IF(A211&lt;$F$6,GiaDinh_K3!$D$11-GiaDinh_K3!$D$12*(A211-$F$5),IF(A211&lt;$F$7,0,IF(A211&lt;$F$8,-GiaDinh_K3!$D$12*(A211-$F$7),IF(A211&lt;$F$9,-GiaDinh_K3!$D$11,IF(A211&lt;$F$10,-GiaDinh_K3!$D$11+GiaDinh_K3!$D$12*(A211-$F$9),0)))))))</f>
        <v>-0.114</v>
      </c>
      <c r="D211" s="46" t="n">
        <f aca="false">MAX(0,D210+(C210+C211)/2*$B$5)</f>
        <v>0.00362999999999993</v>
      </c>
      <c r="E211" s="46" t="n">
        <f aca="false">E210+(D210+D211)/2*$B$5</f>
        <v>0.18191655</v>
      </c>
      <c r="F211" s="42" t="n">
        <f aca="false">IF(A211&gt;$F$10,0,IF((Params!$C$21+GiaDinh_K3!$D$8*Params!$C$5*C211)&gt;=0,(Params!$C$21+GiaDinh_K3!$D$8*Params!$C$5*C211)*'Tính chọn'!$D$23/Params!$C$16,(Params!$C$21+GiaDinh_K3!$D$8*Params!$C$5*C211)*'Tính chọn'!$D$23*Params!$C$16)+Catalogue!$F$15*C211/'Tính chọn'!$D$23)</f>
        <v>-0.166770755731064</v>
      </c>
      <c r="G211" s="42" t="n">
        <f aca="false">IF(A211&gt;$F$10,0,IF(('Tính chọn'!$D$6+GiaDinh_K3!$D$8*Params!$C$6*C211)&gt;=0,('Tính chọn'!$D$6+GiaDinh_K3!$D$8*Params!$C$6*C211)*'Tính chọn'!$D$23/Params!$C$16,('Tính chọn'!$D$6+GiaDinh_K3!$D$8*Params!$C$6*C211)*'Tính chọn'!$D$23*Params!$C$16)+Catalogue!$F$15*C211/'Tính chọn'!$D$23)</f>
        <v>-0.342159419307737</v>
      </c>
      <c r="H211" s="45" t="n">
        <f aca="false">F211*D211/'Tính chọn'!$D$23</f>
        <v>-0.752315153430435</v>
      </c>
    </row>
    <row r="212" customFormat="false" ht="14.25" hidden="false" customHeight="false" outlineLevel="0" collapsed="false">
      <c r="A212" s="41" t="n">
        <f aca="false">198*$B$5</f>
        <v>1.98</v>
      </c>
      <c r="B212" s="42" t="n">
        <f aca="false">IF(A212&lt;$F$4,GiaDinh_K3!$D$12,IF(A212&lt;$F$5,0,IF(A212&lt;$F$6,-GiaDinh_K3!$D$12,IF(A212&lt;$F$7,0,IF(A212&lt;$F$8,-GiaDinh_K3!$D$12,IF(A212&lt;$F$9,0,IF(A212&lt;$F$10,GiaDinh_K3!$D$12,0)))))))</f>
        <v>1.8</v>
      </c>
      <c r="C212" s="43" t="n">
        <f aca="false">IF(A212&lt;$F$4,GiaDinh_K3!$D$12*A212,IF(A212&lt;$F$5,GiaDinh_K3!$D$11,IF(A212&lt;$F$6,GiaDinh_K3!$D$11-GiaDinh_K3!$D$12*(A212-$F$5),IF(A212&lt;$F$7,0,IF(A212&lt;$F$8,-GiaDinh_K3!$D$12*(A212-$F$7),IF(A212&lt;$F$9,-GiaDinh_K3!$D$11,IF(A212&lt;$F$10,-GiaDinh_K3!$D$11+GiaDinh_K3!$D$12*(A212-$F$9),0)))))))</f>
        <v>-0.0959999999999998</v>
      </c>
      <c r="D212" s="46" t="n">
        <f aca="false">MAX(0,D211+(C211+C212)/2*$B$5)</f>
        <v>0.00257999999999993</v>
      </c>
      <c r="E212" s="46" t="n">
        <f aca="false">E211+(D211+D212)/2*$B$5</f>
        <v>0.1819476</v>
      </c>
      <c r="F212" s="42" t="n">
        <f aca="false">IF(A212&gt;$F$10,0,IF((Params!$C$21+GiaDinh_K3!$D$8*Params!$C$5*C212)&gt;=0,(Params!$C$21+GiaDinh_K3!$D$8*Params!$C$5*C212)*'Tính chọn'!$D$23/Params!$C$16,(Params!$C$21+GiaDinh_K3!$D$8*Params!$C$5*C212)*'Tính chọn'!$D$23*Params!$C$16)+Catalogue!$F$15*C212/'Tính chọn'!$D$23)</f>
        <v>0.155460871187747</v>
      </c>
      <c r="G212" s="42" t="n">
        <f aca="false">IF(A212&gt;$F$10,0,IF(('Tính chọn'!$D$6+GiaDinh_K3!$D$8*Params!$C$6*C212)&gt;=0,('Tính chọn'!$D$6+GiaDinh_K3!$D$8*Params!$C$6*C212)*'Tính chọn'!$D$23/Params!$C$16,('Tính chọn'!$D$6+GiaDinh_K3!$D$8*Params!$C$6*C212)*'Tính chọn'!$D$23*Params!$C$16)+Catalogue!$F$15*C212/'Tính chọn'!$D$23)</f>
        <v>-0.246129994011174</v>
      </c>
      <c r="H212" s="45" t="n">
        <f aca="false">F212*D212/'Tính chọn'!$D$23</f>
        <v>0.498441381313473</v>
      </c>
    </row>
    <row r="213" customFormat="false" ht="14.25" hidden="false" customHeight="false" outlineLevel="0" collapsed="false">
      <c r="A213" s="41" t="n">
        <f aca="false">199*$B$5</f>
        <v>1.99</v>
      </c>
      <c r="B213" s="42" t="n">
        <f aca="false">IF(A213&lt;$F$4,GiaDinh_K3!$D$12,IF(A213&lt;$F$5,0,IF(A213&lt;$F$6,-GiaDinh_K3!$D$12,IF(A213&lt;$F$7,0,IF(A213&lt;$F$8,-GiaDinh_K3!$D$12,IF(A213&lt;$F$9,0,IF(A213&lt;$F$10,GiaDinh_K3!$D$12,0)))))))</f>
        <v>1.8</v>
      </c>
      <c r="C213" s="43" t="n">
        <f aca="false">IF(A213&lt;$F$4,GiaDinh_K3!$D$12*A213,IF(A213&lt;$F$5,GiaDinh_K3!$D$11,IF(A213&lt;$F$6,GiaDinh_K3!$D$11-GiaDinh_K3!$D$12*(A213-$F$5),IF(A213&lt;$F$7,0,IF(A213&lt;$F$8,-GiaDinh_K3!$D$12*(A213-$F$7),IF(A213&lt;$F$9,-GiaDinh_K3!$D$11,IF(A213&lt;$F$10,-GiaDinh_K3!$D$11+GiaDinh_K3!$D$12*(A213-$F$9),0)))))))</f>
        <v>-0.0779999999999998</v>
      </c>
      <c r="D213" s="46" t="n">
        <f aca="false">MAX(0,D212+(C212+C213)/2*$B$5)</f>
        <v>0.00170999999999993</v>
      </c>
      <c r="E213" s="46" t="n">
        <f aca="false">E212+(D212+D213)/2*$B$5</f>
        <v>0.18196905</v>
      </c>
      <c r="F213" s="42" t="n">
        <f aca="false">IF(A213&gt;$F$10,0,IF((Params!$C$21+GiaDinh_K3!$D$8*Params!$C$5*C213)&gt;=0,(Params!$C$21+GiaDinh_K3!$D$8*Params!$C$5*C213)*'Tính chọn'!$D$23/Params!$C$16,(Params!$C$21+GiaDinh_K3!$D$8*Params!$C$5*C213)*'Tính chọn'!$D$23*Params!$C$16)+Catalogue!$F$15*C213/'Tính chọn'!$D$23)</f>
        <v>0.477692498106557</v>
      </c>
      <c r="G213" s="42" t="n">
        <f aca="false">IF(A213&gt;$F$10,0,IF(('Tính chọn'!$D$6+GiaDinh_K3!$D$8*Params!$C$6*C213)&gt;=0,('Tính chọn'!$D$6+GiaDinh_K3!$D$8*Params!$C$6*C213)*'Tính chọn'!$D$23/Params!$C$16,('Tính chọn'!$D$6+GiaDinh_K3!$D$8*Params!$C$6*C213)*'Tính chọn'!$D$23*Params!$C$16)+Catalogue!$F$15*C213/'Tính chọn'!$D$23)</f>
        <v>-0.150100568714612</v>
      </c>
      <c r="H213" s="45" t="n">
        <f aca="false">F213*D213/'Tính chọn'!$D$23</f>
        <v>1.0151210163323</v>
      </c>
    </row>
    <row r="214" customFormat="false" ht="14.25" hidden="false" customHeight="false" outlineLevel="0" collapsed="false">
      <c r="A214" s="41" t="n">
        <f aca="false">200*$B$5</f>
        <v>2</v>
      </c>
      <c r="B214" s="42" t="n">
        <f aca="false">IF(A214&lt;$F$4,GiaDinh_K3!$D$12,IF(A214&lt;$F$5,0,IF(A214&lt;$F$6,-GiaDinh_K3!$D$12,IF(A214&lt;$F$7,0,IF(A214&lt;$F$8,-GiaDinh_K3!$D$12,IF(A214&lt;$F$9,0,IF(A214&lt;$F$10,GiaDinh_K3!$D$12,0)))))))</f>
        <v>1.8</v>
      </c>
      <c r="C214" s="43" t="n">
        <f aca="false">IF(A214&lt;$F$4,GiaDinh_K3!$D$12*A214,IF(A214&lt;$F$5,GiaDinh_K3!$D$11,IF(A214&lt;$F$6,GiaDinh_K3!$D$11-GiaDinh_K3!$D$12*(A214-$F$5),IF(A214&lt;$F$7,0,IF(A214&lt;$F$8,-GiaDinh_K3!$D$12*(A214-$F$7),IF(A214&lt;$F$9,-GiaDinh_K3!$D$11,IF(A214&lt;$F$10,-GiaDinh_K3!$D$11+GiaDinh_K3!$D$12*(A214-$F$9),0)))))))</f>
        <v>-0.0599999999999998</v>
      </c>
      <c r="D214" s="46" t="n">
        <f aca="false">MAX(0,D213+(C213+C214)/2*$B$5)</f>
        <v>0.00101999999999993</v>
      </c>
      <c r="E214" s="46" t="n">
        <f aca="false">E213+(D213+D214)/2*$B$5</f>
        <v>0.1819827</v>
      </c>
      <c r="F214" s="42" t="n">
        <f aca="false">IF(A214&gt;$F$10,0,IF((Params!$C$21+GiaDinh_K3!$D$8*Params!$C$5*C214)&gt;=0,(Params!$C$21+GiaDinh_K3!$D$8*Params!$C$5*C214)*'Tính chọn'!$D$23/Params!$C$16,(Params!$C$21+GiaDinh_K3!$D$8*Params!$C$5*C214)*'Tính chọn'!$D$23*Params!$C$16)+Catalogue!$F$15*C214/'Tính chọn'!$D$23)</f>
        <v>0.799924125025368</v>
      </c>
      <c r="G214" s="42" t="n">
        <f aca="false">IF(A214&gt;$F$10,0,IF(('Tính chọn'!$D$6+GiaDinh_K3!$D$8*Params!$C$6*C214)&gt;=0,('Tính chọn'!$D$6+GiaDinh_K3!$D$8*Params!$C$6*C214)*'Tính chọn'!$D$23/Params!$C$16,('Tính chọn'!$D$6+GiaDinh_K3!$D$8*Params!$C$6*C214)*'Tính chọn'!$D$23*Params!$C$16)+Catalogue!$F$15*C214/'Tính chọn'!$D$23)</f>
        <v>-0.0540711434180495</v>
      </c>
      <c r="H214" s="45" t="n">
        <f aca="false">F214*D214/'Tính chọn'!$D$23</f>
        <v>1.01396334282449</v>
      </c>
    </row>
    <row r="215" customFormat="false" ht="14.25" hidden="false" customHeight="false" outlineLevel="0" collapsed="false">
      <c r="A215" s="41" t="n">
        <f aca="false">201*$B$5</f>
        <v>2.01</v>
      </c>
      <c r="B215" s="42" t="n">
        <f aca="false">IF(A215&lt;$F$4,GiaDinh_K3!$D$12,IF(A215&lt;$F$5,0,IF(A215&lt;$F$6,-GiaDinh_K3!$D$12,IF(A215&lt;$F$7,0,IF(A215&lt;$F$8,-GiaDinh_K3!$D$12,IF(A215&lt;$F$9,0,IF(A215&lt;$F$10,GiaDinh_K3!$D$12,0)))))))</f>
        <v>1.8</v>
      </c>
      <c r="C215" s="43" t="n">
        <f aca="false">IF(A215&lt;$F$4,GiaDinh_K3!$D$12*A215,IF(A215&lt;$F$5,GiaDinh_K3!$D$11,IF(A215&lt;$F$6,GiaDinh_K3!$D$11-GiaDinh_K3!$D$12*(A215-$F$5),IF(A215&lt;$F$7,0,IF(A215&lt;$F$8,-GiaDinh_K3!$D$12*(A215-$F$7),IF(A215&lt;$F$9,-GiaDinh_K3!$D$11,IF(A215&lt;$F$10,-GiaDinh_K3!$D$11+GiaDinh_K3!$D$12*(A215-$F$9),0)))))))</f>
        <v>-0.0419999999999994</v>
      </c>
      <c r="D215" s="46" t="n">
        <f aca="false">MAX(0,D214+(C214+C215)/2*$B$5)</f>
        <v>0.000509999999999937</v>
      </c>
      <c r="E215" s="46" t="n">
        <f aca="false">E214+(D214+D215)/2*$B$5</f>
        <v>0.18199035</v>
      </c>
      <c r="F215" s="42" t="n">
        <f aca="false">IF(A215&gt;$F$10,0,IF((Params!$C$21+GiaDinh_K3!$D$8*Params!$C$5*C215)&gt;=0,(Params!$C$21+GiaDinh_K3!$D$8*Params!$C$5*C215)*'Tính chọn'!$D$23/Params!$C$16,(Params!$C$21+GiaDinh_K3!$D$8*Params!$C$5*C215)*'Tính chọn'!$D$23*Params!$C$16)+Catalogue!$F$15*C215/'Tính chọn'!$D$23)</f>
        <v>1.12215575194419</v>
      </c>
      <c r="G215" s="42" t="n">
        <f aca="false">IF(A215&gt;$F$10,0,IF(('Tính chọn'!$D$6+GiaDinh_K3!$D$8*Params!$C$6*C215)&gt;=0,('Tính chọn'!$D$6+GiaDinh_K3!$D$8*Params!$C$6*C215)*'Tính chọn'!$D$23/Params!$C$16,('Tính chọn'!$D$6+GiaDinh_K3!$D$8*Params!$C$6*C215)*'Tính chọn'!$D$23*Params!$C$16)+Catalogue!$F$15*C215/'Tính chọn'!$D$23)</f>
        <v>0.041958281878515</v>
      </c>
      <c r="H215" s="45" t="n">
        <f aca="false">F215*D215/'Tính chọn'!$D$23</f>
        <v>0.711207951988512</v>
      </c>
    </row>
    <row r="216" customFormat="false" ht="14.25" hidden="false" customHeight="false" outlineLevel="0" collapsed="false">
      <c r="A216" s="41" t="n">
        <f aca="false">202*$B$5</f>
        <v>2.02</v>
      </c>
      <c r="B216" s="42" t="n">
        <f aca="false">IF(A216&lt;$F$4,GiaDinh_K3!$D$12,IF(A216&lt;$F$5,0,IF(A216&lt;$F$6,-GiaDinh_K3!$D$12,IF(A216&lt;$F$7,0,IF(A216&lt;$F$8,-GiaDinh_K3!$D$12,IF(A216&lt;$F$9,0,IF(A216&lt;$F$10,GiaDinh_K3!$D$12,0)))))))</f>
        <v>1.8</v>
      </c>
      <c r="C216" s="43" t="n">
        <f aca="false">IF(A216&lt;$F$4,GiaDinh_K3!$D$12*A216,IF(A216&lt;$F$5,GiaDinh_K3!$D$11,IF(A216&lt;$F$6,GiaDinh_K3!$D$11-GiaDinh_K3!$D$12*(A216-$F$5),IF(A216&lt;$F$7,0,IF(A216&lt;$F$8,-GiaDinh_K3!$D$12*(A216-$F$7),IF(A216&lt;$F$9,-GiaDinh_K3!$D$11,IF(A216&lt;$F$10,-GiaDinh_K3!$D$11+GiaDinh_K3!$D$12*(A216-$F$9),0)))))))</f>
        <v>-0.0239999999999997</v>
      </c>
      <c r="D216" s="46" t="n">
        <f aca="false">MAX(0,D215+(C215+C216)/2*$B$5)</f>
        <v>0.000179999999999942</v>
      </c>
      <c r="E216" s="46" t="n">
        <f aca="false">E215+(D215+D216)/2*$B$5</f>
        <v>0.1819938</v>
      </c>
      <c r="F216" s="42" t="n">
        <f aca="false">IF(A216&gt;$F$10,0,IF((Params!$C$21+GiaDinh_K3!$D$8*Params!$C$5*C216)&gt;=0,(Params!$C$21+GiaDinh_K3!$D$8*Params!$C$5*C216)*'Tính chọn'!$D$23/Params!$C$16,(Params!$C$21+GiaDinh_K3!$D$8*Params!$C$5*C216)*'Tính chọn'!$D$23*Params!$C$16)+Catalogue!$F$15*C216/'Tính chọn'!$D$23)</f>
        <v>1.44438737886299</v>
      </c>
      <c r="G216" s="42" t="n">
        <f aca="false">IF(A216&gt;$F$10,0,IF(('Tính chọn'!$D$6+GiaDinh_K3!$D$8*Params!$C$6*C216)&gt;=0,('Tính chọn'!$D$6+GiaDinh_K3!$D$8*Params!$C$6*C216)*'Tính chọn'!$D$23/Params!$C$16,('Tính chọn'!$D$6+GiaDinh_K3!$D$8*Params!$C$6*C216)*'Tính chọn'!$D$23*Params!$C$16)+Catalogue!$F$15*C216/'Tính chọn'!$D$23)</f>
        <v>0.137987707175075</v>
      </c>
      <c r="H216" s="45" t="n">
        <f aca="false">F216*D216/'Tính chọn'!$D$23</f>
        <v>0.323094435022806</v>
      </c>
    </row>
    <row r="217" customFormat="false" ht="14.25" hidden="false" customHeight="false" outlineLevel="0" collapsed="false">
      <c r="A217" s="41" t="n">
        <f aca="false">203*$B$5</f>
        <v>2.03</v>
      </c>
      <c r="B217" s="42" t="n">
        <f aca="false">IF(A217&lt;$F$4,GiaDinh_K3!$D$12,IF(A217&lt;$F$5,0,IF(A217&lt;$F$6,-GiaDinh_K3!$D$12,IF(A217&lt;$F$7,0,IF(A217&lt;$F$8,-GiaDinh_K3!$D$12,IF(A217&lt;$F$9,0,IF(A217&lt;$F$10,GiaDinh_K3!$D$12,0)))))))</f>
        <v>1.8</v>
      </c>
      <c r="C217" s="43" t="n">
        <f aca="false">IF(A217&lt;$F$4,GiaDinh_K3!$D$12*A217,IF(A217&lt;$F$5,GiaDinh_K3!$D$11,IF(A217&lt;$F$6,GiaDinh_K3!$D$11-GiaDinh_K3!$D$12*(A217-$F$5),IF(A217&lt;$F$7,0,IF(A217&lt;$F$8,-GiaDinh_K3!$D$12*(A217-$F$7),IF(A217&lt;$F$9,-GiaDinh_K3!$D$11,IF(A217&lt;$F$10,-GiaDinh_K3!$D$11+GiaDinh_K3!$D$12*(A217-$F$9),0)))))))</f>
        <v>-0.00599999999999934</v>
      </c>
      <c r="D217" s="46" t="n">
        <f aca="false">MAX(0,D216+(C216+C217)/2*$B$5)</f>
        <v>2.99999999999461E-005</v>
      </c>
      <c r="E217" s="46" t="n">
        <f aca="false">E216+(D216+D217)/2*$B$5</f>
        <v>0.18199485</v>
      </c>
      <c r="F217" s="42" t="n">
        <f aca="false">IF(A217&gt;$F$10,0,IF((Params!$C$21+GiaDinh_K3!$D$8*Params!$C$5*C217)&gt;=0,(Params!$C$21+GiaDinh_K3!$D$8*Params!$C$5*C217)*'Tính chọn'!$D$23/Params!$C$16,(Params!$C$21+GiaDinh_K3!$D$8*Params!$C$5*C217)*'Tính chọn'!$D$23*Params!$C$16)+Catalogue!$F$15*C217/'Tính chọn'!$D$23)</f>
        <v>1.76661900578181</v>
      </c>
      <c r="G217" s="42" t="n">
        <f aca="false">IF(A217&gt;$F$10,0,IF(('Tính chọn'!$D$6+GiaDinh_K3!$D$8*Params!$C$6*C217)&gt;=0,('Tính chọn'!$D$6+GiaDinh_K3!$D$8*Params!$C$6*C217)*'Tính chọn'!$D$23/Params!$C$16,('Tính chọn'!$D$6+GiaDinh_K3!$D$8*Params!$C$6*C217)*'Tính chọn'!$D$23*Params!$C$16)+Catalogue!$F$15*C217/'Tính chọn'!$D$23)</f>
        <v>0.23401713247164</v>
      </c>
      <c r="H217" s="45" t="n">
        <f aca="false">F217*D217/'Tính chọn'!$D$23</f>
        <v>0.0658623831258368</v>
      </c>
    </row>
    <row r="218" customFormat="false" ht="14.25" hidden="false" customHeight="false" outlineLevel="0" collapsed="false">
      <c r="A218" s="41" t="n">
        <f aca="false">204*$B$5</f>
        <v>2.04</v>
      </c>
      <c r="B218" s="42" t="n">
        <f aca="false">IF(A218&lt;$F$4,GiaDinh_K3!$D$12,IF(A218&lt;$F$5,0,IF(A218&lt;$F$6,-GiaDinh_K3!$D$12,IF(A218&lt;$F$7,0,IF(A218&lt;$F$8,-GiaDinh_K3!$D$12,IF(A218&lt;$F$9,0,IF(A218&lt;$F$10,GiaDinh_K3!$D$12,0)))))))</f>
        <v>0</v>
      </c>
      <c r="C218" s="43" t="n">
        <f aca="false">IF(A218&lt;$F$4,GiaDinh_K3!$D$12*A218,IF(A218&lt;$F$5,GiaDinh_K3!$D$11,IF(A218&lt;$F$6,GiaDinh_K3!$D$11-GiaDinh_K3!$D$12*(A218-$F$5),IF(A218&lt;$F$7,0,IF(A218&lt;$F$8,-GiaDinh_K3!$D$12*(A218-$F$7),IF(A218&lt;$F$9,-GiaDinh_K3!$D$11,IF(A218&lt;$F$10,-GiaDinh_K3!$D$11+GiaDinh_K3!$D$12*(A218-$F$9),0)))))))</f>
        <v>0</v>
      </c>
      <c r="D218" s="46" t="n">
        <f aca="false">MAX(0,D217+(C217+C218)/2*$B$5)</f>
        <v>0</v>
      </c>
      <c r="E218" s="46" t="n">
        <f aca="false">E217+(D217+D218)/2*$B$5</f>
        <v>0.181995</v>
      </c>
      <c r="F218" s="42" t="n">
        <f aca="false">IF(A218&gt;$F$10,0,IF((Params!$C$21+GiaDinh_K3!$D$8*Params!$C$5*C218)&gt;=0,(Params!$C$21+GiaDinh_K3!$D$8*Params!$C$5*C218)*'Tính chọn'!$D$23/Params!$C$16,(Params!$C$21+GiaDinh_K3!$D$8*Params!$C$5*C218)*'Tính chọn'!$D$23*Params!$C$16)+Catalogue!$F$15*C218/'Tính chọn'!$D$23)</f>
        <v>0</v>
      </c>
      <c r="G218" s="42" t="n">
        <f aca="false">IF(A218&gt;$F$10,0,IF(('Tính chọn'!$D$6+GiaDinh_K3!$D$8*Params!$C$6*C218)&gt;=0,('Tính chọn'!$D$6+GiaDinh_K3!$D$8*Params!$C$6*C218)*'Tính chọn'!$D$23/Params!$C$16,('Tính chọn'!$D$6+GiaDinh_K3!$D$8*Params!$C$6*C218)*'Tính chọn'!$D$23*Params!$C$16)+Catalogue!$F$15*C218/'Tính chọn'!$D$23)</f>
        <v>0</v>
      </c>
      <c r="H218" s="45" t="n">
        <f aca="false">F218*D218/'Tính chọn'!$D$23</f>
        <v>0</v>
      </c>
    </row>
    <row r="219" customFormat="false" ht="14.25" hidden="false" customHeight="false" outlineLevel="0" collapsed="false">
      <c r="A219" s="41" t="n">
        <f aca="false">205*$B$5</f>
        <v>2.05</v>
      </c>
      <c r="B219" s="42" t="n">
        <f aca="false">IF(A219&lt;$F$4,GiaDinh_K3!$D$12,IF(A219&lt;$F$5,0,IF(A219&lt;$F$6,-GiaDinh_K3!$D$12,IF(A219&lt;$F$7,0,IF(A219&lt;$F$8,-GiaDinh_K3!$D$12,IF(A219&lt;$F$9,0,IF(A219&lt;$F$10,GiaDinh_K3!$D$12,0)))))))</f>
        <v>0</v>
      </c>
      <c r="C219" s="43" t="n">
        <f aca="false">IF(A219&lt;$F$4,GiaDinh_K3!$D$12*A219,IF(A219&lt;$F$5,GiaDinh_K3!$D$11,IF(A219&lt;$F$6,GiaDinh_K3!$D$11-GiaDinh_K3!$D$12*(A219-$F$5),IF(A219&lt;$F$7,0,IF(A219&lt;$F$8,-GiaDinh_K3!$D$12*(A219-$F$7),IF(A219&lt;$F$9,-GiaDinh_K3!$D$11,IF(A219&lt;$F$10,-GiaDinh_K3!$D$11+GiaDinh_K3!$D$12*(A219-$F$9),0)))))))</f>
        <v>0</v>
      </c>
      <c r="D219" s="46" t="n">
        <f aca="false">MAX(0,D218+(C218+C219)/2*$B$5)</f>
        <v>0</v>
      </c>
      <c r="E219" s="46" t="n">
        <f aca="false">E218+(D218+D219)/2*$B$5</f>
        <v>0.181995</v>
      </c>
      <c r="F219" s="42" t="n">
        <f aca="false">IF(A219&gt;$F$10,0,IF((Params!$C$21+GiaDinh_K3!$D$8*Params!$C$5*C219)&gt;=0,(Params!$C$21+GiaDinh_K3!$D$8*Params!$C$5*C219)*'Tính chọn'!$D$23/Params!$C$16,(Params!$C$21+GiaDinh_K3!$D$8*Params!$C$5*C219)*'Tính chọn'!$D$23*Params!$C$16)+Catalogue!$F$15*C219/'Tính chọn'!$D$23)</f>
        <v>0</v>
      </c>
      <c r="G219" s="42" t="n">
        <f aca="false">IF(A219&gt;$F$10,0,IF(('Tính chọn'!$D$6+GiaDinh_K3!$D$8*Params!$C$6*C219)&gt;=0,('Tính chọn'!$D$6+GiaDinh_K3!$D$8*Params!$C$6*C219)*'Tính chọn'!$D$23/Params!$C$16,('Tính chọn'!$D$6+GiaDinh_K3!$D$8*Params!$C$6*C219)*'Tính chọn'!$D$23*Params!$C$16)+Catalogue!$F$15*C219/'Tính chọn'!$D$23)</f>
        <v>0</v>
      </c>
      <c r="H219" s="45" t="n">
        <f aca="false">F219*D219/'Tính chọn'!$D$23</f>
        <v>0</v>
      </c>
    </row>
    <row r="220" customFormat="false" ht="14.25" hidden="false" customHeight="false" outlineLevel="0" collapsed="false">
      <c r="A220" s="41" t="n">
        <f aca="false">206*$B$5</f>
        <v>2.06</v>
      </c>
      <c r="B220" s="42" t="n">
        <f aca="false">IF(A220&lt;$F$4,GiaDinh_K3!$D$12,IF(A220&lt;$F$5,0,IF(A220&lt;$F$6,-GiaDinh_K3!$D$12,IF(A220&lt;$F$7,0,IF(A220&lt;$F$8,-GiaDinh_K3!$D$12,IF(A220&lt;$F$9,0,IF(A220&lt;$F$10,GiaDinh_K3!$D$12,0)))))))</f>
        <v>0</v>
      </c>
      <c r="C220" s="43" t="n">
        <f aca="false">IF(A220&lt;$F$4,GiaDinh_K3!$D$12*A220,IF(A220&lt;$F$5,GiaDinh_K3!$D$11,IF(A220&lt;$F$6,GiaDinh_K3!$D$11-GiaDinh_K3!$D$12*(A220-$F$5),IF(A220&lt;$F$7,0,IF(A220&lt;$F$8,-GiaDinh_K3!$D$12*(A220-$F$7),IF(A220&lt;$F$9,-GiaDinh_K3!$D$11,IF(A220&lt;$F$10,-GiaDinh_K3!$D$11+GiaDinh_K3!$D$12*(A220-$F$9),0)))))))</f>
        <v>0</v>
      </c>
      <c r="D220" s="46" t="n">
        <f aca="false">MAX(0,D219+(C219+C220)/2*$B$5)</f>
        <v>0</v>
      </c>
      <c r="E220" s="46" t="n">
        <f aca="false">E219+(D219+D220)/2*$B$5</f>
        <v>0.181995</v>
      </c>
      <c r="F220" s="42" t="n">
        <f aca="false">IF(A220&gt;$F$10,0,IF((Params!$C$21+GiaDinh_K3!$D$8*Params!$C$5*C220)&gt;=0,(Params!$C$21+GiaDinh_K3!$D$8*Params!$C$5*C220)*'Tính chọn'!$D$23/Params!$C$16,(Params!$C$21+GiaDinh_K3!$D$8*Params!$C$5*C220)*'Tính chọn'!$D$23*Params!$C$16)+Catalogue!$F$15*C220/'Tính chọn'!$D$23)</f>
        <v>0</v>
      </c>
      <c r="G220" s="42" t="n">
        <f aca="false">IF(A220&gt;$F$10,0,IF(('Tính chọn'!$D$6+GiaDinh_K3!$D$8*Params!$C$6*C220)&gt;=0,('Tính chọn'!$D$6+GiaDinh_K3!$D$8*Params!$C$6*C220)*'Tính chọn'!$D$23/Params!$C$16,('Tính chọn'!$D$6+GiaDinh_K3!$D$8*Params!$C$6*C220)*'Tính chọn'!$D$23*Params!$C$16)+Catalogue!$F$15*C220/'Tính chọn'!$D$23)</f>
        <v>0</v>
      </c>
      <c r="H220" s="45" t="n">
        <f aca="false">F220*D220/'Tính chọn'!$D$23</f>
        <v>0</v>
      </c>
    </row>
    <row r="221" customFormat="false" ht="14.25" hidden="false" customHeight="false" outlineLevel="0" collapsed="false">
      <c r="A221" s="41" t="n">
        <f aca="false">207*$B$5</f>
        <v>2.07</v>
      </c>
      <c r="B221" s="42" t="n">
        <f aca="false">IF(A221&lt;$F$4,GiaDinh_K3!$D$12,IF(A221&lt;$F$5,0,IF(A221&lt;$F$6,-GiaDinh_K3!$D$12,IF(A221&lt;$F$7,0,IF(A221&lt;$F$8,-GiaDinh_K3!$D$12,IF(A221&lt;$F$9,0,IF(A221&lt;$F$10,GiaDinh_K3!$D$12,0)))))))</f>
        <v>0</v>
      </c>
      <c r="C221" s="43" t="n">
        <f aca="false">IF(A221&lt;$F$4,GiaDinh_K3!$D$12*A221,IF(A221&lt;$F$5,GiaDinh_K3!$D$11,IF(A221&lt;$F$6,GiaDinh_K3!$D$11-GiaDinh_K3!$D$12*(A221-$F$5),IF(A221&lt;$F$7,0,IF(A221&lt;$F$8,-GiaDinh_K3!$D$12*(A221-$F$7),IF(A221&lt;$F$9,-GiaDinh_K3!$D$11,IF(A221&lt;$F$10,-GiaDinh_K3!$D$11+GiaDinh_K3!$D$12*(A221-$F$9),0)))))))</f>
        <v>0</v>
      </c>
      <c r="D221" s="46" t="n">
        <f aca="false">MAX(0,D220+(C220+C221)/2*$B$5)</f>
        <v>0</v>
      </c>
      <c r="E221" s="46" t="n">
        <f aca="false">E220+(D220+D221)/2*$B$5</f>
        <v>0.181995</v>
      </c>
      <c r="F221" s="42" t="n">
        <f aca="false">IF(A221&gt;$F$10,0,IF((Params!$C$21+GiaDinh_K3!$D$8*Params!$C$5*C221)&gt;=0,(Params!$C$21+GiaDinh_K3!$D$8*Params!$C$5*C221)*'Tính chọn'!$D$23/Params!$C$16,(Params!$C$21+GiaDinh_K3!$D$8*Params!$C$5*C221)*'Tính chọn'!$D$23*Params!$C$16)+Catalogue!$F$15*C221/'Tính chọn'!$D$23)</f>
        <v>0</v>
      </c>
      <c r="G221" s="42" t="n">
        <f aca="false">IF(A221&gt;$F$10,0,IF(('Tính chọn'!$D$6+GiaDinh_K3!$D$8*Params!$C$6*C221)&gt;=0,('Tính chọn'!$D$6+GiaDinh_K3!$D$8*Params!$C$6*C221)*'Tính chọn'!$D$23/Params!$C$16,('Tính chọn'!$D$6+GiaDinh_K3!$D$8*Params!$C$6*C221)*'Tính chọn'!$D$23*Params!$C$16)+Catalogue!$F$15*C221/'Tính chọn'!$D$23)</f>
        <v>0</v>
      </c>
      <c r="H221" s="45" t="n">
        <f aca="false">F221*D221/'Tính chọn'!$D$23</f>
        <v>0</v>
      </c>
    </row>
    <row r="222" customFormat="false" ht="14.25" hidden="false" customHeight="false" outlineLevel="0" collapsed="false">
      <c r="A222" s="41" t="n">
        <f aca="false">208*$B$5</f>
        <v>2.08</v>
      </c>
      <c r="B222" s="42" t="n">
        <f aca="false">IF(A222&lt;$F$4,GiaDinh_K3!$D$12,IF(A222&lt;$F$5,0,IF(A222&lt;$F$6,-GiaDinh_K3!$D$12,IF(A222&lt;$F$7,0,IF(A222&lt;$F$8,-GiaDinh_K3!$D$12,IF(A222&lt;$F$9,0,IF(A222&lt;$F$10,GiaDinh_K3!$D$12,0)))))))</f>
        <v>0</v>
      </c>
      <c r="C222" s="43" t="n">
        <f aca="false">IF(A222&lt;$F$4,GiaDinh_K3!$D$12*A222,IF(A222&lt;$F$5,GiaDinh_K3!$D$11,IF(A222&lt;$F$6,GiaDinh_K3!$D$11-GiaDinh_K3!$D$12*(A222-$F$5),IF(A222&lt;$F$7,0,IF(A222&lt;$F$8,-GiaDinh_K3!$D$12*(A222-$F$7),IF(A222&lt;$F$9,-GiaDinh_K3!$D$11,IF(A222&lt;$F$10,-GiaDinh_K3!$D$11+GiaDinh_K3!$D$12*(A222-$F$9),0)))))))</f>
        <v>0</v>
      </c>
      <c r="D222" s="46" t="n">
        <f aca="false">MAX(0,D221+(C221+C222)/2*$B$5)</f>
        <v>0</v>
      </c>
      <c r="E222" s="46" t="n">
        <f aca="false">E221+(D221+D222)/2*$B$5</f>
        <v>0.181995</v>
      </c>
      <c r="F222" s="42" t="n">
        <f aca="false">IF(A222&gt;$F$10,0,IF((Params!$C$21+GiaDinh_K3!$D$8*Params!$C$5*C222)&gt;=0,(Params!$C$21+GiaDinh_K3!$D$8*Params!$C$5*C222)*'Tính chọn'!$D$23/Params!$C$16,(Params!$C$21+GiaDinh_K3!$D$8*Params!$C$5*C222)*'Tính chọn'!$D$23*Params!$C$16)+Catalogue!$F$15*C222/'Tính chọn'!$D$23)</f>
        <v>0</v>
      </c>
      <c r="G222" s="42" t="n">
        <f aca="false">IF(A222&gt;$F$10,0,IF(('Tính chọn'!$D$6+GiaDinh_K3!$D$8*Params!$C$6*C222)&gt;=0,('Tính chọn'!$D$6+GiaDinh_K3!$D$8*Params!$C$6*C222)*'Tính chọn'!$D$23/Params!$C$16,('Tính chọn'!$D$6+GiaDinh_K3!$D$8*Params!$C$6*C222)*'Tính chọn'!$D$23*Params!$C$16)+Catalogue!$F$15*C222/'Tính chọn'!$D$23)</f>
        <v>0</v>
      </c>
      <c r="H222" s="45" t="n">
        <f aca="false">F222*D222/'Tính chọn'!$D$23</f>
        <v>0</v>
      </c>
    </row>
    <row r="223" customFormat="false" ht="14.25" hidden="false" customHeight="false" outlineLevel="0" collapsed="false">
      <c r="A223" s="41" t="n">
        <f aca="false">209*$B$5</f>
        <v>2.09</v>
      </c>
      <c r="B223" s="42" t="n">
        <f aca="false">IF(A223&lt;$F$4,GiaDinh_K3!$D$12,IF(A223&lt;$F$5,0,IF(A223&lt;$F$6,-GiaDinh_K3!$D$12,IF(A223&lt;$F$7,0,IF(A223&lt;$F$8,-GiaDinh_K3!$D$12,IF(A223&lt;$F$9,0,IF(A223&lt;$F$10,GiaDinh_K3!$D$12,0)))))))</f>
        <v>0</v>
      </c>
      <c r="C223" s="43" t="n">
        <f aca="false">IF(A223&lt;$F$4,GiaDinh_K3!$D$12*A223,IF(A223&lt;$F$5,GiaDinh_K3!$D$11,IF(A223&lt;$F$6,GiaDinh_K3!$D$11-GiaDinh_K3!$D$12*(A223-$F$5),IF(A223&lt;$F$7,0,IF(A223&lt;$F$8,-GiaDinh_K3!$D$12*(A223-$F$7),IF(A223&lt;$F$9,-GiaDinh_K3!$D$11,IF(A223&lt;$F$10,-GiaDinh_K3!$D$11+GiaDinh_K3!$D$12*(A223-$F$9),0)))))))</f>
        <v>0</v>
      </c>
      <c r="D223" s="46" t="n">
        <f aca="false">MAX(0,D222+(C222+C223)/2*$B$5)</f>
        <v>0</v>
      </c>
      <c r="E223" s="46" t="n">
        <f aca="false">E222+(D222+D223)/2*$B$5</f>
        <v>0.181995</v>
      </c>
      <c r="F223" s="42" t="n">
        <f aca="false">IF(A223&gt;$F$10,0,IF((Params!$C$21+GiaDinh_K3!$D$8*Params!$C$5*C223)&gt;=0,(Params!$C$21+GiaDinh_K3!$D$8*Params!$C$5*C223)*'Tính chọn'!$D$23/Params!$C$16,(Params!$C$21+GiaDinh_K3!$D$8*Params!$C$5*C223)*'Tính chọn'!$D$23*Params!$C$16)+Catalogue!$F$15*C223/'Tính chọn'!$D$23)</f>
        <v>0</v>
      </c>
      <c r="G223" s="42" t="n">
        <f aca="false">IF(A223&gt;$F$10,0,IF(('Tính chọn'!$D$6+GiaDinh_K3!$D$8*Params!$C$6*C223)&gt;=0,('Tính chọn'!$D$6+GiaDinh_K3!$D$8*Params!$C$6*C223)*'Tính chọn'!$D$23/Params!$C$16,('Tính chọn'!$D$6+GiaDinh_K3!$D$8*Params!$C$6*C223)*'Tính chọn'!$D$23*Params!$C$16)+Catalogue!$F$15*C223/'Tính chọn'!$D$23)</f>
        <v>0</v>
      </c>
      <c r="H223" s="45" t="n">
        <f aca="false">F223*D223/'Tính chọn'!$D$23</f>
        <v>0</v>
      </c>
    </row>
    <row r="224" customFormat="false" ht="14.25" hidden="false" customHeight="false" outlineLevel="0" collapsed="false">
      <c r="A224" s="41" t="n">
        <f aca="false">210*$B$5</f>
        <v>2.1</v>
      </c>
      <c r="B224" s="42" t="n">
        <f aca="false">IF(A224&lt;$F$4,GiaDinh_K3!$D$12,IF(A224&lt;$F$5,0,IF(A224&lt;$F$6,-GiaDinh_K3!$D$12,IF(A224&lt;$F$7,0,IF(A224&lt;$F$8,-GiaDinh_K3!$D$12,IF(A224&lt;$F$9,0,IF(A224&lt;$F$10,GiaDinh_K3!$D$12,0)))))))</f>
        <v>0</v>
      </c>
      <c r="C224" s="43" t="n">
        <f aca="false">IF(A224&lt;$F$4,GiaDinh_K3!$D$12*A224,IF(A224&lt;$F$5,GiaDinh_K3!$D$11,IF(A224&lt;$F$6,GiaDinh_K3!$D$11-GiaDinh_K3!$D$12*(A224-$F$5),IF(A224&lt;$F$7,0,IF(A224&lt;$F$8,-GiaDinh_K3!$D$12*(A224-$F$7),IF(A224&lt;$F$9,-GiaDinh_K3!$D$11,IF(A224&lt;$F$10,-GiaDinh_K3!$D$11+GiaDinh_K3!$D$12*(A224-$F$9),0)))))))</f>
        <v>0</v>
      </c>
      <c r="D224" s="46" t="n">
        <f aca="false">MAX(0,D223+(C223+C224)/2*$B$5)</f>
        <v>0</v>
      </c>
      <c r="E224" s="46" t="n">
        <f aca="false">E223+(D223+D224)/2*$B$5</f>
        <v>0.181995</v>
      </c>
      <c r="F224" s="42" t="n">
        <f aca="false">IF(A224&gt;$F$10,0,IF((Params!$C$21+GiaDinh_K3!$D$8*Params!$C$5*C224)&gt;=0,(Params!$C$21+GiaDinh_K3!$D$8*Params!$C$5*C224)*'Tính chọn'!$D$23/Params!$C$16,(Params!$C$21+GiaDinh_K3!$D$8*Params!$C$5*C224)*'Tính chọn'!$D$23*Params!$C$16)+Catalogue!$F$15*C224/'Tính chọn'!$D$23)</f>
        <v>0</v>
      </c>
      <c r="G224" s="42" t="n">
        <f aca="false">IF(A224&gt;$F$10,0,IF(('Tính chọn'!$D$6+GiaDinh_K3!$D$8*Params!$C$6*C224)&gt;=0,('Tính chọn'!$D$6+GiaDinh_K3!$D$8*Params!$C$6*C224)*'Tính chọn'!$D$23/Params!$C$16,('Tính chọn'!$D$6+GiaDinh_K3!$D$8*Params!$C$6*C224)*'Tính chọn'!$D$23*Params!$C$16)+Catalogue!$F$15*C224/'Tính chọn'!$D$23)</f>
        <v>0</v>
      </c>
      <c r="H224" s="45" t="n">
        <f aca="false">F224*D224/'Tính chọn'!$D$23</f>
        <v>0</v>
      </c>
    </row>
    <row r="225" customFormat="false" ht="14.25" hidden="false" customHeight="false" outlineLevel="0" collapsed="false">
      <c r="A225" s="41" t="n">
        <f aca="false">211*$B$5</f>
        <v>2.11</v>
      </c>
      <c r="B225" s="42" t="n">
        <f aca="false">IF(A225&lt;$F$4,GiaDinh_K3!$D$12,IF(A225&lt;$F$5,0,IF(A225&lt;$F$6,-GiaDinh_K3!$D$12,IF(A225&lt;$F$7,0,IF(A225&lt;$F$8,-GiaDinh_K3!$D$12,IF(A225&lt;$F$9,0,IF(A225&lt;$F$10,GiaDinh_K3!$D$12,0)))))))</f>
        <v>0</v>
      </c>
      <c r="C225" s="43" t="n">
        <f aca="false">IF(A225&lt;$F$4,GiaDinh_K3!$D$12*A225,IF(A225&lt;$F$5,GiaDinh_K3!$D$11,IF(A225&lt;$F$6,GiaDinh_K3!$D$11-GiaDinh_K3!$D$12*(A225-$F$5),IF(A225&lt;$F$7,0,IF(A225&lt;$F$8,-GiaDinh_K3!$D$12*(A225-$F$7),IF(A225&lt;$F$9,-GiaDinh_K3!$D$11,IF(A225&lt;$F$10,-GiaDinh_K3!$D$11+GiaDinh_K3!$D$12*(A225-$F$9),0)))))))</f>
        <v>0</v>
      </c>
      <c r="D225" s="46" t="n">
        <f aca="false">MAX(0,D224+(C224+C225)/2*$B$5)</f>
        <v>0</v>
      </c>
      <c r="E225" s="46" t="n">
        <f aca="false">E224+(D224+D225)/2*$B$5</f>
        <v>0.181995</v>
      </c>
      <c r="F225" s="42" t="n">
        <f aca="false">IF(A225&gt;$F$10,0,IF((Params!$C$21+GiaDinh_K3!$D$8*Params!$C$5*C225)&gt;=0,(Params!$C$21+GiaDinh_K3!$D$8*Params!$C$5*C225)*'Tính chọn'!$D$23/Params!$C$16,(Params!$C$21+GiaDinh_K3!$D$8*Params!$C$5*C225)*'Tính chọn'!$D$23*Params!$C$16)+Catalogue!$F$15*C225/'Tính chọn'!$D$23)</f>
        <v>0</v>
      </c>
      <c r="G225" s="42" t="n">
        <f aca="false">IF(A225&gt;$F$10,0,IF(('Tính chọn'!$D$6+GiaDinh_K3!$D$8*Params!$C$6*C225)&gt;=0,('Tính chọn'!$D$6+GiaDinh_K3!$D$8*Params!$C$6*C225)*'Tính chọn'!$D$23/Params!$C$16,('Tính chọn'!$D$6+GiaDinh_K3!$D$8*Params!$C$6*C225)*'Tính chọn'!$D$23*Params!$C$16)+Catalogue!$F$15*C225/'Tính chọn'!$D$23)</f>
        <v>0</v>
      </c>
      <c r="H225" s="45" t="n">
        <f aca="false">F225*D225/'Tính chọn'!$D$23</f>
        <v>0</v>
      </c>
    </row>
    <row r="226" customFormat="false" ht="14.25" hidden="false" customHeight="false" outlineLevel="0" collapsed="false">
      <c r="A226" s="41" t="n">
        <f aca="false">212*$B$5</f>
        <v>2.12</v>
      </c>
      <c r="B226" s="42" t="n">
        <f aca="false">IF(A226&lt;$F$4,GiaDinh_K3!$D$12,IF(A226&lt;$F$5,0,IF(A226&lt;$F$6,-GiaDinh_K3!$D$12,IF(A226&lt;$F$7,0,IF(A226&lt;$F$8,-GiaDinh_K3!$D$12,IF(A226&lt;$F$9,0,IF(A226&lt;$F$10,GiaDinh_K3!$D$12,0)))))))</f>
        <v>0</v>
      </c>
      <c r="C226" s="43" t="n">
        <f aca="false">IF(A226&lt;$F$4,GiaDinh_K3!$D$12*A226,IF(A226&lt;$F$5,GiaDinh_K3!$D$11,IF(A226&lt;$F$6,GiaDinh_K3!$D$11-GiaDinh_K3!$D$12*(A226-$F$5),IF(A226&lt;$F$7,0,IF(A226&lt;$F$8,-GiaDinh_K3!$D$12*(A226-$F$7),IF(A226&lt;$F$9,-GiaDinh_K3!$D$11,IF(A226&lt;$F$10,-GiaDinh_K3!$D$11+GiaDinh_K3!$D$12*(A226-$F$9),0)))))))</f>
        <v>0</v>
      </c>
      <c r="D226" s="46" t="n">
        <f aca="false">MAX(0,D225+(C225+C226)/2*$B$5)</f>
        <v>0</v>
      </c>
      <c r="E226" s="46" t="n">
        <f aca="false">E225+(D225+D226)/2*$B$5</f>
        <v>0.181995</v>
      </c>
      <c r="F226" s="42" t="n">
        <f aca="false">IF(A226&gt;$F$10,0,IF((Params!$C$21+GiaDinh_K3!$D$8*Params!$C$5*C226)&gt;=0,(Params!$C$21+GiaDinh_K3!$D$8*Params!$C$5*C226)*'Tính chọn'!$D$23/Params!$C$16,(Params!$C$21+GiaDinh_K3!$D$8*Params!$C$5*C226)*'Tính chọn'!$D$23*Params!$C$16)+Catalogue!$F$15*C226/'Tính chọn'!$D$23)</f>
        <v>0</v>
      </c>
      <c r="G226" s="42" t="n">
        <f aca="false">IF(A226&gt;$F$10,0,IF(('Tính chọn'!$D$6+GiaDinh_K3!$D$8*Params!$C$6*C226)&gt;=0,('Tính chọn'!$D$6+GiaDinh_K3!$D$8*Params!$C$6*C226)*'Tính chọn'!$D$23/Params!$C$16,('Tính chọn'!$D$6+GiaDinh_K3!$D$8*Params!$C$6*C226)*'Tính chọn'!$D$23*Params!$C$16)+Catalogue!$F$15*C226/'Tính chọn'!$D$23)</f>
        <v>0</v>
      </c>
      <c r="H226" s="45" t="n">
        <f aca="false">F226*D226/'Tính chọn'!$D$23</f>
        <v>0</v>
      </c>
    </row>
    <row r="227" customFormat="false" ht="14.25" hidden="false" customHeight="false" outlineLevel="0" collapsed="false">
      <c r="A227" s="41" t="n">
        <f aca="false">213*$B$5</f>
        <v>2.13</v>
      </c>
      <c r="B227" s="42" t="n">
        <f aca="false">IF(A227&lt;$F$4,GiaDinh_K3!$D$12,IF(A227&lt;$F$5,0,IF(A227&lt;$F$6,-GiaDinh_K3!$D$12,IF(A227&lt;$F$7,0,IF(A227&lt;$F$8,-GiaDinh_K3!$D$12,IF(A227&lt;$F$9,0,IF(A227&lt;$F$10,GiaDinh_K3!$D$12,0)))))))</f>
        <v>0</v>
      </c>
      <c r="C227" s="43" t="n">
        <f aca="false">IF(A227&lt;$F$4,GiaDinh_K3!$D$12*A227,IF(A227&lt;$F$5,GiaDinh_K3!$D$11,IF(A227&lt;$F$6,GiaDinh_K3!$D$11-GiaDinh_K3!$D$12*(A227-$F$5),IF(A227&lt;$F$7,0,IF(A227&lt;$F$8,-GiaDinh_K3!$D$12*(A227-$F$7),IF(A227&lt;$F$9,-GiaDinh_K3!$D$11,IF(A227&lt;$F$10,-GiaDinh_K3!$D$11+GiaDinh_K3!$D$12*(A227-$F$9),0)))))))</f>
        <v>0</v>
      </c>
      <c r="D227" s="46" t="n">
        <f aca="false">MAX(0,D226+(C226+C227)/2*$B$5)</f>
        <v>0</v>
      </c>
      <c r="E227" s="46" t="n">
        <f aca="false">E226+(D226+D227)/2*$B$5</f>
        <v>0.181995</v>
      </c>
      <c r="F227" s="42" t="n">
        <f aca="false">IF(A227&gt;$F$10,0,IF((Params!$C$21+GiaDinh_K3!$D$8*Params!$C$5*C227)&gt;=0,(Params!$C$21+GiaDinh_K3!$D$8*Params!$C$5*C227)*'Tính chọn'!$D$23/Params!$C$16,(Params!$C$21+GiaDinh_K3!$D$8*Params!$C$5*C227)*'Tính chọn'!$D$23*Params!$C$16)+Catalogue!$F$15*C227/'Tính chọn'!$D$23)</f>
        <v>0</v>
      </c>
      <c r="G227" s="42" t="n">
        <f aca="false">IF(A227&gt;$F$10,0,IF(('Tính chọn'!$D$6+GiaDinh_K3!$D$8*Params!$C$6*C227)&gt;=0,('Tính chọn'!$D$6+GiaDinh_K3!$D$8*Params!$C$6*C227)*'Tính chọn'!$D$23/Params!$C$16,('Tính chọn'!$D$6+GiaDinh_K3!$D$8*Params!$C$6*C227)*'Tính chọn'!$D$23*Params!$C$16)+Catalogue!$F$15*C227/'Tính chọn'!$D$23)</f>
        <v>0</v>
      </c>
      <c r="H227" s="45" t="n">
        <f aca="false">F227*D227/'Tính chọn'!$D$23</f>
        <v>0</v>
      </c>
    </row>
    <row r="228" customFormat="false" ht="14.25" hidden="false" customHeight="false" outlineLevel="0" collapsed="false">
      <c r="A228" s="41" t="n">
        <f aca="false">214*$B$5</f>
        <v>2.14</v>
      </c>
      <c r="B228" s="42" t="n">
        <f aca="false">IF(A228&lt;$F$4,GiaDinh_K3!$D$12,IF(A228&lt;$F$5,0,IF(A228&lt;$F$6,-GiaDinh_K3!$D$12,IF(A228&lt;$F$7,0,IF(A228&lt;$F$8,-GiaDinh_K3!$D$12,IF(A228&lt;$F$9,0,IF(A228&lt;$F$10,GiaDinh_K3!$D$12,0)))))))</f>
        <v>0</v>
      </c>
      <c r="C228" s="43" t="n">
        <f aca="false">IF(A228&lt;$F$4,GiaDinh_K3!$D$12*A228,IF(A228&lt;$F$5,GiaDinh_K3!$D$11,IF(A228&lt;$F$6,GiaDinh_K3!$D$11-GiaDinh_K3!$D$12*(A228-$F$5),IF(A228&lt;$F$7,0,IF(A228&lt;$F$8,-GiaDinh_K3!$D$12*(A228-$F$7),IF(A228&lt;$F$9,-GiaDinh_K3!$D$11,IF(A228&lt;$F$10,-GiaDinh_K3!$D$11+GiaDinh_K3!$D$12*(A228-$F$9),0)))))))</f>
        <v>0</v>
      </c>
      <c r="D228" s="46" t="n">
        <f aca="false">MAX(0,D227+(C227+C228)/2*$B$5)</f>
        <v>0</v>
      </c>
      <c r="E228" s="46" t="n">
        <f aca="false">E227+(D227+D228)/2*$B$5</f>
        <v>0.181995</v>
      </c>
      <c r="F228" s="42" t="n">
        <f aca="false">IF(A228&gt;$F$10,0,IF((Params!$C$21+GiaDinh_K3!$D$8*Params!$C$5*C228)&gt;=0,(Params!$C$21+GiaDinh_K3!$D$8*Params!$C$5*C228)*'Tính chọn'!$D$23/Params!$C$16,(Params!$C$21+GiaDinh_K3!$D$8*Params!$C$5*C228)*'Tính chọn'!$D$23*Params!$C$16)+Catalogue!$F$15*C228/'Tính chọn'!$D$23)</f>
        <v>0</v>
      </c>
      <c r="G228" s="42" t="n">
        <f aca="false">IF(A228&gt;$F$10,0,IF(('Tính chọn'!$D$6+GiaDinh_K3!$D$8*Params!$C$6*C228)&gt;=0,('Tính chọn'!$D$6+GiaDinh_K3!$D$8*Params!$C$6*C228)*'Tính chọn'!$D$23/Params!$C$16,('Tính chọn'!$D$6+GiaDinh_K3!$D$8*Params!$C$6*C228)*'Tính chọn'!$D$23*Params!$C$16)+Catalogue!$F$15*C228/'Tính chọn'!$D$23)</f>
        <v>0</v>
      </c>
      <c r="H228" s="45" t="n">
        <f aca="false">F228*D228/'Tính chọn'!$D$23</f>
        <v>0</v>
      </c>
    </row>
    <row r="229" customFormat="false" ht="14.25" hidden="false" customHeight="false" outlineLevel="0" collapsed="false">
      <c r="A229" s="41" t="n">
        <f aca="false">215*$B$5</f>
        <v>2.15</v>
      </c>
      <c r="B229" s="42" t="n">
        <f aca="false">IF(A229&lt;$F$4,GiaDinh_K3!$D$12,IF(A229&lt;$F$5,0,IF(A229&lt;$F$6,-GiaDinh_K3!$D$12,IF(A229&lt;$F$7,0,IF(A229&lt;$F$8,-GiaDinh_K3!$D$12,IF(A229&lt;$F$9,0,IF(A229&lt;$F$10,GiaDinh_K3!$D$12,0)))))))</f>
        <v>0</v>
      </c>
      <c r="C229" s="43" t="n">
        <f aca="false">IF(A229&lt;$F$4,GiaDinh_K3!$D$12*A229,IF(A229&lt;$F$5,GiaDinh_K3!$D$11,IF(A229&lt;$F$6,GiaDinh_K3!$D$11-GiaDinh_K3!$D$12*(A229-$F$5),IF(A229&lt;$F$7,0,IF(A229&lt;$F$8,-GiaDinh_K3!$D$12*(A229-$F$7),IF(A229&lt;$F$9,-GiaDinh_K3!$D$11,IF(A229&lt;$F$10,-GiaDinh_K3!$D$11+GiaDinh_K3!$D$12*(A229-$F$9),0)))))))</f>
        <v>0</v>
      </c>
      <c r="D229" s="46" t="n">
        <f aca="false">MAX(0,D228+(C228+C229)/2*$B$5)</f>
        <v>0</v>
      </c>
      <c r="E229" s="46" t="n">
        <f aca="false">E228+(D228+D229)/2*$B$5</f>
        <v>0.181995</v>
      </c>
      <c r="F229" s="42" t="n">
        <f aca="false">IF(A229&gt;$F$10,0,IF((Params!$C$21+GiaDinh_K3!$D$8*Params!$C$5*C229)&gt;=0,(Params!$C$21+GiaDinh_K3!$D$8*Params!$C$5*C229)*'Tính chọn'!$D$23/Params!$C$16,(Params!$C$21+GiaDinh_K3!$D$8*Params!$C$5*C229)*'Tính chọn'!$D$23*Params!$C$16)+Catalogue!$F$15*C229/'Tính chọn'!$D$23)</f>
        <v>0</v>
      </c>
      <c r="G229" s="42" t="n">
        <f aca="false">IF(A229&gt;$F$10,0,IF(('Tính chọn'!$D$6+GiaDinh_K3!$D$8*Params!$C$6*C229)&gt;=0,('Tính chọn'!$D$6+GiaDinh_K3!$D$8*Params!$C$6*C229)*'Tính chọn'!$D$23/Params!$C$16,('Tính chọn'!$D$6+GiaDinh_K3!$D$8*Params!$C$6*C229)*'Tính chọn'!$D$23*Params!$C$16)+Catalogue!$F$15*C229/'Tính chọn'!$D$23)</f>
        <v>0</v>
      </c>
      <c r="H229" s="45" t="n">
        <f aca="false">F229*D229/'Tính chọn'!$D$23</f>
        <v>0</v>
      </c>
    </row>
    <row r="230" customFormat="false" ht="14.25" hidden="false" customHeight="false" outlineLevel="0" collapsed="false">
      <c r="A230" s="41" t="n">
        <f aca="false">216*$B$5</f>
        <v>2.16</v>
      </c>
      <c r="B230" s="42" t="n">
        <f aca="false">IF(A230&lt;$F$4,GiaDinh_K3!$D$12,IF(A230&lt;$F$5,0,IF(A230&lt;$F$6,-GiaDinh_K3!$D$12,IF(A230&lt;$F$7,0,IF(A230&lt;$F$8,-GiaDinh_K3!$D$12,IF(A230&lt;$F$9,0,IF(A230&lt;$F$10,GiaDinh_K3!$D$12,0)))))))</f>
        <v>0</v>
      </c>
      <c r="C230" s="43" t="n">
        <f aca="false">IF(A230&lt;$F$4,GiaDinh_K3!$D$12*A230,IF(A230&lt;$F$5,GiaDinh_K3!$D$11,IF(A230&lt;$F$6,GiaDinh_K3!$D$11-GiaDinh_K3!$D$12*(A230-$F$5),IF(A230&lt;$F$7,0,IF(A230&lt;$F$8,-GiaDinh_K3!$D$12*(A230-$F$7),IF(A230&lt;$F$9,-GiaDinh_K3!$D$11,IF(A230&lt;$F$10,-GiaDinh_K3!$D$11+GiaDinh_K3!$D$12*(A230-$F$9),0)))))))</f>
        <v>0</v>
      </c>
      <c r="D230" s="46" t="n">
        <f aca="false">MAX(0,D229+(C229+C230)/2*$B$5)</f>
        <v>0</v>
      </c>
      <c r="E230" s="46" t="n">
        <f aca="false">E229+(D229+D230)/2*$B$5</f>
        <v>0.181995</v>
      </c>
      <c r="F230" s="42" t="n">
        <f aca="false">IF(A230&gt;$F$10,0,IF((Params!$C$21+GiaDinh_K3!$D$8*Params!$C$5*C230)&gt;=0,(Params!$C$21+GiaDinh_K3!$D$8*Params!$C$5*C230)*'Tính chọn'!$D$23/Params!$C$16,(Params!$C$21+GiaDinh_K3!$D$8*Params!$C$5*C230)*'Tính chọn'!$D$23*Params!$C$16)+Catalogue!$F$15*C230/'Tính chọn'!$D$23)</f>
        <v>0</v>
      </c>
      <c r="G230" s="42" t="n">
        <f aca="false">IF(A230&gt;$F$10,0,IF(('Tính chọn'!$D$6+GiaDinh_K3!$D$8*Params!$C$6*C230)&gt;=0,('Tính chọn'!$D$6+GiaDinh_K3!$D$8*Params!$C$6*C230)*'Tính chọn'!$D$23/Params!$C$16,('Tính chọn'!$D$6+GiaDinh_K3!$D$8*Params!$C$6*C230)*'Tính chọn'!$D$23*Params!$C$16)+Catalogue!$F$15*C230/'Tính chọn'!$D$23)</f>
        <v>0</v>
      </c>
      <c r="H230" s="45" t="n">
        <f aca="false">F230*D230/'Tính chọn'!$D$23</f>
        <v>0</v>
      </c>
    </row>
    <row r="231" customFormat="false" ht="14.25" hidden="false" customHeight="false" outlineLevel="0" collapsed="false">
      <c r="A231" s="41" t="n">
        <f aca="false">217*$B$5</f>
        <v>2.17</v>
      </c>
      <c r="B231" s="42" t="n">
        <f aca="false">IF(A231&lt;$F$4,GiaDinh_K3!$D$12,IF(A231&lt;$F$5,0,IF(A231&lt;$F$6,-GiaDinh_K3!$D$12,IF(A231&lt;$F$7,0,IF(A231&lt;$F$8,-GiaDinh_K3!$D$12,IF(A231&lt;$F$9,0,IF(A231&lt;$F$10,GiaDinh_K3!$D$12,0)))))))</f>
        <v>0</v>
      </c>
      <c r="C231" s="43" t="n">
        <f aca="false">IF(A231&lt;$F$4,GiaDinh_K3!$D$12*A231,IF(A231&lt;$F$5,GiaDinh_K3!$D$11,IF(A231&lt;$F$6,GiaDinh_K3!$D$11-GiaDinh_K3!$D$12*(A231-$F$5),IF(A231&lt;$F$7,0,IF(A231&lt;$F$8,-GiaDinh_K3!$D$12*(A231-$F$7),IF(A231&lt;$F$9,-GiaDinh_K3!$D$11,IF(A231&lt;$F$10,-GiaDinh_K3!$D$11+GiaDinh_K3!$D$12*(A231-$F$9),0)))))))</f>
        <v>0</v>
      </c>
      <c r="D231" s="46" t="n">
        <f aca="false">MAX(0,D230+(C230+C231)/2*$B$5)</f>
        <v>0</v>
      </c>
      <c r="E231" s="46" t="n">
        <f aca="false">E230+(D230+D231)/2*$B$5</f>
        <v>0.181995</v>
      </c>
      <c r="F231" s="42" t="n">
        <f aca="false">IF(A231&gt;$F$10,0,IF((Params!$C$21+GiaDinh_K3!$D$8*Params!$C$5*C231)&gt;=0,(Params!$C$21+GiaDinh_K3!$D$8*Params!$C$5*C231)*'Tính chọn'!$D$23/Params!$C$16,(Params!$C$21+GiaDinh_K3!$D$8*Params!$C$5*C231)*'Tính chọn'!$D$23*Params!$C$16)+Catalogue!$F$15*C231/'Tính chọn'!$D$23)</f>
        <v>0</v>
      </c>
      <c r="G231" s="42" t="n">
        <f aca="false">IF(A231&gt;$F$10,0,IF(('Tính chọn'!$D$6+GiaDinh_K3!$D$8*Params!$C$6*C231)&gt;=0,('Tính chọn'!$D$6+GiaDinh_K3!$D$8*Params!$C$6*C231)*'Tính chọn'!$D$23/Params!$C$16,('Tính chọn'!$D$6+GiaDinh_K3!$D$8*Params!$C$6*C231)*'Tính chọn'!$D$23*Params!$C$16)+Catalogue!$F$15*C231/'Tính chọn'!$D$23)</f>
        <v>0</v>
      </c>
      <c r="H231" s="45" t="n">
        <f aca="false">F231*D231/'Tính chọn'!$D$23</f>
        <v>0</v>
      </c>
    </row>
    <row r="232" customFormat="false" ht="14.25" hidden="false" customHeight="false" outlineLevel="0" collapsed="false">
      <c r="A232" s="41" t="n">
        <f aca="false">218*$B$5</f>
        <v>2.18</v>
      </c>
      <c r="B232" s="42" t="n">
        <f aca="false">IF(A232&lt;$F$4,GiaDinh_K3!$D$12,IF(A232&lt;$F$5,0,IF(A232&lt;$F$6,-GiaDinh_K3!$D$12,IF(A232&lt;$F$7,0,IF(A232&lt;$F$8,-GiaDinh_K3!$D$12,IF(A232&lt;$F$9,0,IF(A232&lt;$F$10,GiaDinh_K3!$D$12,0)))))))</f>
        <v>0</v>
      </c>
      <c r="C232" s="43" t="n">
        <f aca="false">IF(A232&lt;$F$4,GiaDinh_K3!$D$12*A232,IF(A232&lt;$F$5,GiaDinh_K3!$D$11,IF(A232&lt;$F$6,GiaDinh_K3!$D$11-GiaDinh_K3!$D$12*(A232-$F$5),IF(A232&lt;$F$7,0,IF(A232&lt;$F$8,-GiaDinh_K3!$D$12*(A232-$F$7),IF(A232&lt;$F$9,-GiaDinh_K3!$D$11,IF(A232&lt;$F$10,-GiaDinh_K3!$D$11+GiaDinh_K3!$D$12*(A232-$F$9),0)))))))</f>
        <v>0</v>
      </c>
      <c r="D232" s="46" t="n">
        <f aca="false">MAX(0,D231+(C231+C232)/2*$B$5)</f>
        <v>0</v>
      </c>
      <c r="E232" s="46" t="n">
        <f aca="false">E231+(D231+D232)/2*$B$5</f>
        <v>0.181995</v>
      </c>
      <c r="F232" s="42" t="n">
        <f aca="false">IF(A232&gt;$F$10,0,IF((Params!$C$21+GiaDinh_K3!$D$8*Params!$C$5*C232)&gt;=0,(Params!$C$21+GiaDinh_K3!$D$8*Params!$C$5*C232)*'Tính chọn'!$D$23/Params!$C$16,(Params!$C$21+GiaDinh_K3!$D$8*Params!$C$5*C232)*'Tính chọn'!$D$23*Params!$C$16)+Catalogue!$F$15*C232/'Tính chọn'!$D$23)</f>
        <v>0</v>
      </c>
      <c r="G232" s="42" t="n">
        <f aca="false">IF(A232&gt;$F$10,0,IF(('Tính chọn'!$D$6+GiaDinh_K3!$D$8*Params!$C$6*C232)&gt;=0,('Tính chọn'!$D$6+GiaDinh_K3!$D$8*Params!$C$6*C232)*'Tính chọn'!$D$23/Params!$C$16,('Tính chọn'!$D$6+GiaDinh_K3!$D$8*Params!$C$6*C232)*'Tính chọn'!$D$23*Params!$C$16)+Catalogue!$F$15*C232/'Tính chọn'!$D$23)</f>
        <v>0</v>
      </c>
      <c r="H232" s="45" t="n">
        <f aca="false">F232*D232/'Tính chọn'!$D$23</f>
        <v>0</v>
      </c>
    </row>
    <row r="233" customFormat="false" ht="14.25" hidden="false" customHeight="false" outlineLevel="0" collapsed="false">
      <c r="A233" s="41" t="n">
        <f aca="false">219*$B$5</f>
        <v>2.19</v>
      </c>
      <c r="B233" s="42" t="n">
        <f aca="false">IF(A233&lt;$F$4,GiaDinh_K3!$D$12,IF(A233&lt;$F$5,0,IF(A233&lt;$F$6,-GiaDinh_K3!$D$12,IF(A233&lt;$F$7,0,IF(A233&lt;$F$8,-GiaDinh_K3!$D$12,IF(A233&lt;$F$9,0,IF(A233&lt;$F$10,GiaDinh_K3!$D$12,0)))))))</f>
        <v>0</v>
      </c>
      <c r="C233" s="43" t="n">
        <f aca="false">IF(A233&lt;$F$4,GiaDinh_K3!$D$12*A233,IF(A233&lt;$F$5,GiaDinh_K3!$D$11,IF(A233&lt;$F$6,GiaDinh_K3!$D$11-GiaDinh_K3!$D$12*(A233-$F$5),IF(A233&lt;$F$7,0,IF(A233&lt;$F$8,-GiaDinh_K3!$D$12*(A233-$F$7),IF(A233&lt;$F$9,-GiaDinh_K3!$D$11,IF(A233&lt;$F$10,-GiaDinh_K3!$D$11+GiaDinh_K3!$D$12*(A233-$F$9),0)))))))</f>
        <v>0</v>
      </c>
      <c r="D233" s="46" t="n">
        <f aca="false">MAX(0,D232+(C232+C233)/2*$B$5)</f>
        <v>0</v>
      </c>
      <c r="E233" s="46" t="n">
        <f aca="false">E232+(D232+D233)/2*$B$5</f>
        <v>0.181995</v>
      </c>
      <c r="F233" s="42" t="n">
        <f aca="false">IF(A233&gt;$F$10,0,IF((Params!$C$21+GiaDinh_K3!$D$8*Params!$C$5*C233)&gt;=0,(Params!$C$21+GiaDinh_K3!$D$8*Params!$C$5*C233)*'Tính chọn'!$D$23/Params!$C$16,(Params!$C$21+GiaDinh_K3!$D$8*Params!$C$5*C233)*'Tính chọn'!$D$23*Params!$C$16)+Catalogue!$F$15*C233/'Tính chọn'!$D$23)</f>
        <v>0</v>
      </c>
      <c r="G233" s="42" t="n">
        <f aca="false">IF(A233&gt;$F$10,0,IF(('Tính chọn'!$D$6+GiaDinh_K3!$D$8*Params!$C$6*C233)&gt;=0,('Tính chọn'!$D$6+GiaDinh_K3!$D$8*Params!$C$6*C233)*'Tính chọn'!$D$23/Params!$C$16,('Tính chọn'!$D$6+GiaDinh_K3!$D$8*Params!$C$6*C233)*'Tính chọn'!$D$23*Params!$C$16)+Catalogue!$F$15*C233/'Tính chọn'!$D$23)</f>
        <v>0</v>
      </c>
      <c r="H233" s="45" t="n">
        <f aca="false">F233*D233/'Tính chọn'!$D$23</f>
        <v>0</v>
      </c>
    </row>
    <row r="234" customFormat="false" ht="14.25" hidden="false" customHeight="false" outlineLevel="0" collapsed="false">
      <c r="A234" s="41" t="n">
        <f aca="false">220*$B$5</f>
        <v>2.2</v>
      </c>
      <c r="B234" s="42" t="n">
        <f aca="false">IF(A234&lt;$F$4,GiaDinh_K3!$D$12,IF(A234&lt;$F$5,0,IF(A234&lt;$F$6,-GiaDinh_K3!$D$12,IF(A234&lt;$F$7,0,IF(A234&lt;$F$8,-GiaDinh_K3!$D$12,IF(A234&lt;$F$9,0,IF(A234&lt;$F$10,GiaDinh_K3!$D$12,0)))))))</f>
        <v>0</v>
      </c>
      <c r="C234" s="43" t="n">
        <f aca="false">IF(A234&lt;$F$4,GiaDinh_K3!$D$12*A234,IF(A234&lt;$F$5,GiaDinh_K3!$D$11,IF(A234&lt;$F$6,GiaDinh_K3!$D$11-GiaDinh_K3!$D$12*(A234-$F$5),IF(A234&lt;$F$7,0,IF(A234&lt;$F$8,-GiaDinh_K3!$D$12*(A234-$F$7),IF(A234&lt;$F$9,-GiaDinh_K3!$D$11,IF(A234&lt;$F$10,-GiaDinh_K3!$D$11+GiaDinh_K3!$D$12*(A234-$F$9),0)))))))</f>
        <v>0</v>
      </c>
      <c r="D234" s="46" t="n">
        <f aca="false">MAX(0,D233+(C233+C234)/2*$B$5)</f>
        <v>0</v>
      </c>
      <c r="E234" s="46" t="n">
        <f aca="false">E233+(D233+D234)/2*$B$5</f>
        <v>0.181995</v>
      </c>
      <c r="F234" s="42" t="n">
        <f aca="false">IF(A234&gt;$F$10,0,IF((Params!$C$21+GiaDinh_K3!$D$8*Params!$C$5*C234)&gt;=0,(Params!$C$21+GiaDinh_K3!$D$8*Params!$C$5*C234)*'Tính chọn'!$D$23/Params!$C$16,(Params!$C$21+GiaDinh_K3!$D$8*Params!$C$5*C234)*'Tính chọn'!$D$23*Params!$C$16)+Catalogue!$F$15*C234/'Tính chọn'!$D$23)</f>
        <v>0</v>
      </c>
      <c r="G234" s="42" t="n">
        <f aca="false">IF(A234&gt;$F$10,0,IF(('Tính chọn'!$D$6+GiaDinh_K3!$D$8*Params!$C$6*C234)&gt;=0,('Tính chọn'!$D$6+GiaDinh_K3!$D$8*Params!$C$6*C234)*'Tính chọn'!$D$23/Params!$C$16,('Tính chọn'!$D$6+GiaDinh_K3!$D$8*Params!$C$6*C234)*'Tính chọn'!$D$23*Params!$C$16)+Catalogue!$F$15*C234/'Tính chọn'!$D$23)</f>
        <v>0</v>
      </c>
      <c r="H234" s="45" t="n">
        <f aca="false">F234*D234/'Tính chọn'!$D$23</f>
        <v>0</v>
      </c>
    </row>
    <row r="235" customFormat="false" ht="14.25" hidden="false" customHeight="false" outlineLevel="0" collapsed="false">
      <c r="A235" s="41" t="n">
        <f aca="false">221*$B$5</f>
        <v>2.21</v>
      </c>
      <c r="B235" s="42" t="n">
        <f aca="false">IF(A235&lt;$F$4,GiaDinh_K3!$D$12,IF(A235&lt;$F$5,0,IF(A235&lt;$F$6,-GiaDinh_K3!$D$12,IF(A235&lt;$F$7,0,IF(A235&lt;$F$8,-GiaDinh_K3!$D$12,IF(A235&lt;$F$9,0,IF(A235&lt;$F$10,GiaDinh_K3!$D$12,0)))))))</f>
        <v>0</v>
      </c>
      <c r="C235" s="43" t="n">
        <f aca="false">IF(A235&lt;$F$4,GiaDinh_K3!$D$12*A235,IF(A235&lt;$F$5,GiaDinh_K3!$D$11,IF(A235&lt;$F$6,GiaDinh_K3!$D$11-GiaDinh_K3!$D$12*(A235-$F$5),IF(A235&lt;$F$7,0,IF(A235&lt;$F$8,-GiaDinh_K3!$D$12*(A235-$F$7),IF(A235&lt;$F$9,-GiaDinh_K3!$D$11,IF(A235&lt;$F$10,-GiaDinh_K3!$D$11+GiaDinh_K3!$D$12*(A235-$F$9),0)))))))</f>
        <v>0</v>
      </c>
      <c r="D235" s="46" t="n">
        <f aca="false">MAX(0,D234+(C234+C235)/2*$B$5)</f>
        <v>0</v>
      </c>
      <c r="E235" s="46" t="n">
        <f aca="false">E234+(D234+D235)/2*$B$5</f>
        <v>0.181995</v>
      </c>
      <c r="F235" s="42" t="n">
        <f aca="false">IF(A235&gt;$F$10,0,IF((Params!$C$21+GiaDinh_K3!$D$8*Params!$C$5*C235)&gt;=0,(Params!$C$21+GiaDinh_K3!$D$8*Params!$C$5*C235)*'Tính chọn'!$D$23/Params!$C$16,(Params!$C$21+GiaDinh_K3!$D$8*Params!$C$5*C235)*'Tính chọn'!$D$23*Params!$C$16)+Catalogue!$F$15*C235/'Tính chọn'!$D$23)</f>
        <v>0</v>
      </c>
      <c r="G235" s="42" t="n">
        <f aca="false">IF(A235&gt;$F$10,0,IF(('Tính chọn'!$D$6+GiaDinh_K3!$D$8*Params!$C$6*C235)&gt;=0,('Tính chọn'!$D$6+GiaDinh_K3!$D$8*Params!$C$6*C235)*'Tính chọn'!$D$23/Params!$C$16,('Tính chọn'!$D$6+GiaDinh_K3!$D$8*Params!$C$6*C235)*'Tính chọn'!$D$23*Params!$C$16)+Catalogue!$F$15*C235/'Tính chọn'!$D$23)</f>
        <v>0</v>
      </c>
      <c r="H235" s="45" t="n">
        <f aca="false">F235*D235/'Tính chọn'!$D$23</f>
        <v>0</v>
      </c>
    </row>
    <row r="236" customFormat="false" ht="14.25" hidden="false" customHeight="false" outlineLevel="0" collapsed="false">
      <c r="A236" s="41" t="n">
        <f aca="false">222*$B$5</f>
        <v>2.22</v>
      </c>
      <c r="B236" s="42" t="n">
        <f aca="false">IF(A236&lt;$F$4,GiaDinh_K3!$D$12,IF(A236&lt;$F$5,0,IF(A236&lt;$F$6,-GiaDinh_K3!$D$12,IF(A236&lt;$F$7,0,IF(A236&lt;$F$8,-GiaDinh_K3!$D$12,IF(A236&lt;$F$9,0,IF(A236&lt;$F$10,GiaDinh_K3!$D$12,0)))))))</f>
        <v>0</v>
      </c>
      <c r="C236" s="43" t="n">
        <f aca="false">IF(A236&lt;$F$4,GiaDinh_K3!$D$12*A236,IF(A236&lt;$F$5,GiaDinh_K3!$D$11,IF(A236&lt;$F$6,GiaDinh_K3!$D$11-GiaDinh_K3!$D$12*(A236-$F$5),IF(A236&lt;$F$7,0,IF(A236&lt;$F$8,-GiaDinh_K3!$D$12*(A236-$F$7),IF(A236&lt;$F$9,-GiaDinh_K3!$D$11,IF(A236&lt;$F$10,-GiaDinh_K3!$D$11+GiaDinh_K3!$D$12*(A236-$F$9),0)))))))</f>
        <v>0</v>
      </c>
      <c r="D236" s="46" t="n">
        <f aca="false">MAX(0,D235+(C235+C236)/2*$B$5)</f>
        <v>0</v>
      </c>
      <c r="E236" s="46" t="n">
        <f aca="false">E235+(D235+D236)/2*$B$5</f>
        <v>0.181995</v>
      </c>
      <c r="F236" s="42" t="n">
        <f aca="false">IF(A236&gt;$F$10,0,IF((Params!$C$21+GiaDinh_K3!$D$8*Params!$C$5*C236)&gt;=0,(Params!$C$21+GiaDinh_K3!$D$8*Params!$C$5*C236)*'Tính chọn'!$D$23/Params!$C$16,(Params!$C$21+GiaDinh_K3!$D$8*Params!$C$5*C236)*'Tính chọn'!$D$23*Params!$C$16)+Catalogue!$F$15*C236/'Tính chọn'!$D$23)</f>
        <v>0</v>
      </c>
      <c r="G236" s="42" t="n">
        <f aca="false">IF(A236&gt;$F$10,0,IF(('Tính chọn'!$D$6+GiaDinh_K3!$D$8*Params!$C$6*C236)&gt;=0,('Tính chọn'!$D$6+GiaDinh_K3!$D$8*Params!$C$6*C236)*'Tính chọn'!$D$23/Params!$C$16,('Tính chọn'!$D$6+GiaDinh_K3!$D$8*Params!$C$6*C236)*'Tính chọn'!$D$23*Params!$C$16)+Catalogue!$F$15*C236/'Tính chọn'!$D$23)</f>
        <v>0</v>
      </c>
      <c r="H236" s="45" t="n">
        <f aca="false">F236*D236/'Tính chọn'!$D$23</f>
        <v>0</v>
      </c>
    </row>
    <row r="237" customFormat="false" ht="14.25" hidden="false" customHeight="false" outlineLevel="0" collapsed="false">
      <c r="A237" s="41" t="n">
        <f aca="false">223*$B$5</f>
        <v>2.23</v>
      </c>
      <c r="B237" s="42" t="n">
        <f aca="false">IF(A237&lt;$F$4,GiaDinh_K3!$D$12,IF(A237&lt;$F$5,0,IF(A237&lt;$F$6,-GiaDinh_K3!$D$12,IF(A237&lt;$F$7,0,IF(A237&lt;$F$8,-GiaDinh_K3!$D$12,IF(A237&lt;$F$9,0,IF(A237&lt;$F$10,GiaDinh_K3!$D$12,0)))))))</f>
        <v>0</v>
      </c>
      <c r="C237" s="43" t="n">
        <f aca="false">IF(A237&lt;$F$4,GiaDinh_K3!$D$12*A237,IF(A237&lt;$F$5,GiaDinh_K3!$D$11,IF(A237&lt;$F$6,GiaDinh_K3!$D$11-GiaDinh_K3!$D$12*(A237-$F$5),IF(A237&lt;$F$7,0,IF(A237&lt;$F$8,-GiaDinh_K3!$D$12*(A237-$F$7),IF(A237&lt;$F$9,-GiaDinh_K3!$D$11,IF(A237&lt;$F$10,-GiaDinh_K3!$D$11+GiaDinh_K3!$D$12*(A237-$F$9),0)))))))</f>
        <v>0</v>
      </c>
      <c r="D237" s="46" t="n">
        <f aca="false">MAX(0,D236+(C236+C237)/2*$B$5)</f>
        <v>0</v>
      </c>
      <c r="E237" s="46" t="n">
        <f aca="false">E236+(D236+D237)/2*$B$5</f>
        <v>0.181995</v>
      </c>
      <c r="F237" s="42" t="n">
        <f aca="false">IF(A237&gt;$F$10,0,IF((Params!$C$21+GiaDinh_K3!$D$8*Params!$C$5*C237)&gt;=0,(Params!$C$21+GiaDinh_K3!$D$8*Params!$C$5*C237)*'Tính chọn'!$D$23/Params!$C$16,(Params!$C$21+GiaDinh_K3!$D$8*Params!$C$5*C237)*'Tính chọn'!$D$23*Params!$C$16)+Catalogue!$F$15*C237/'Tính chọn'!$D$23)</f>
        <v>0</v>
      </c>
      <c r="G237" s="42" t="n">
        <f aca="false">IF(A237&gt;$F$10,0,IF(('Tính chọn'!$D$6+GiaDinh_K3!$D$8*Params!$C$6*C237)&gt;=0,('Tính chọn'!$D$6+GiaDinh_K3!$D$8*Params!$C$6*C237)*'Tính chọn'!$D$23/Params!$C$16,('Tính chọn'!$D$6+GiaDinh_K3!$D$8*Params!$C$6*C237)*'Tính chọn'!$D$23*Params!$C$16)+Catalogue!$F$15*C237/'Tính chọn'!$D$23)</f>
        <v>0</v>
      </c>
      <c r="H237" s="45" t="n">
        <f aca="false">F237*D237/'Tính chọn'!$D$23</f>
        <v>0</v>
      </c>
    </row>
    <row r="238" customFormat="false" ht="14.25" hidden="false" customHeight="false" outlineLevel="0" collapsed="false">
      <c r="A238" s="41" t="n">
        <f aca="false">224*$B$5</f>
        <v>2.24</v>
      </c>
      <c r="B238" s="42" t="n">
        <f aca="false">IF(A238&lt;$F$4,GiaDinh_K3!$D$12,IF(A238&lt;$F$5,0,IF(A238&lt;$F$6,-GiaDinh_K3!$D$12,IF(A238&lt;$F$7,0,IF(A238&lt;$F$8,-GiaDinh_K3!$D$12,IF(A238&lt;$F$9,0,IF(A238&lt;$F$10,GiaDinh_K3!$D$12,0)))))))</f>
        <v>0</v>
      </c>
      <c r="C238" s="43" t="n">
        <f aca="false">IF(A238&lt;$F$4,GiaDinh_K3!$D$12*A238,IF(A238&lt;$F$5,GiaDinh_K3!$D$11,IF(A238&lt;$F$6,GiaDinh_K3!$D$11-GiaDinh_K3!$D$12*(A238-$F$5),IF(A238&lt;$F$7,0,IF(A238&lt;$F$8,-GiaDinh_K3!$D$12*(A238-$F$7),IF(A238&lt;$F$9,-GiaDinh_K3!$D$11,IF(A238&lt;$F$10,-GiaDinh_K3!$D$11+GiaDinh_K3!$D$12*(A238-$F$9),0)))))))</f>
        <v>0</v>
      </c>
      <c r="D238" s="46" t="n">
        <f aca="false">MAX(0,D237+(C237+C238)/2*$B$5)</f>
        <v>0</v>
      </c>
      <c r="E238" s="46" t="n">
        <f aca="false">E237+(D237+D238)/2*$B$5</f>
        <v>0.181995</v>
      </c>
      <c r="F238" s="42" t="n">
        <f aca="false">IF(A238&gt;$F$10,0,IF((Params!$C$21+GiaDinh_K3!$D$8*Params!$C$5*C238)&gt;=0,(Params!$C$21+GiaDinh_K3!$D$8*Params!$C$5*C238)*'Tính chọn'!$D$23/Params!$C$16,(Params!$C$21+GiaDinh_K3!$D$8*Params!$C$5*C238)*'Tính chọn'!$D$23*Params!$C$16)+Catalogue!$F$15*C238/'Tính chọn'!$D$23)</f>
        <v>0</v>
      </c>
      <c r="G238" s="42" t="n">
        <f aca="false">IF(A238&gt;$F$10,0,IF(('Tính chọn'!$D$6+GiaDinh_K3!$D$8*Params!$C$6*C238)&gt;=0,('Tính chọn'!$D$6+GiaDinh_K3!$D$8*Params!$C$6*C238)*'Tính chọn'!$D$23/Params!$C$16,('Tính chọn'!$D$6+GiaDinh_K3!$D$8*Params!$C$6*C238)*'Tính chọn'!$D$23*Params!$C$16)+Catalogue!$F$15*C238/'Tính chọn'!$D$23)</f>
        <v>0</v>
      </c>
      <c r="H238" s="45" t="n">
        <f aca="false">F238*D238/'Tính chọn'!$D$23</f>
        <v>0</v>
      </c>
    </row>
    <row r="239" customFormat="false" ht="14.25" hidden="false" customHeight="false" outlineLevel="0" collapsed="false">
      <c r="A239" s="41" t="n">
        <f aca="false">225*$B$5</f>
        <v>2.25</v>
      </c>
      <c r="B239" s="42" t="n">
        <f aca="false">IF(A239&lt;$F$4,GiaDinh_K3!$D$12,IF(A239&lt;$F$5,0,IF(A239&lt;$F$6,-GiaDinh_K3!$D$12,IF(A239&lt;$F$7,0,IF(A239&lt;$F$8,-GiaDinh_K3!$D$12,IF(A239&lt;$F$9,0,IF(A239&lt;$F$10,GiaDinh_K3!$D$12,0)))))))</f>
        <v>0</v>
      </c>
      <c r="C239" s="43" t="n">
        <f aca="false">IF(A239&lt;$F$4,GiaDinh_K3!$D$12*A239,IF(A239&lt;$F$5,GiaDinh_K3!$D$11,IF(A239&lt;$F$6,GiaDinh_K3!$D$11-GiaDinh_K3!$D$12*(A239-$F$5),IF(A239&lt;$F$7,0,IF(A239&lt;$F$8,-GiaDinh_K3!$D$12*(A239-$F$7),IF(A239&lt;$F$9,-GiaDinh_K3!$D$11,IF(A239&lt;$F$10,-GiaDinh_K3!$D$11+GiaDinh_K3!$D$12*(A239-$F$9),0)))))))</f>
        <v>0</v>
      </c>
      <c r="D239" s="46" t="n">
        <f aca="false">MAX(0,D238+(C238+C239)/2*$B$5)</f>
        <v>0</v>
      </c>
      <c r="E239" s="46" t="n">
        <f aca="false">E238+(D238+D239)/2*$B$5</f>
        <v>0.181995</v>
      </c>
      <c r="F239" s="42" t="n">
        <f aca="false">IF(A239&gt;$F$10,0,IF((Params!$C$21+GiaDinh_K3!$D$8*Params!$C$5*C239)&gt;=0,(Params!$C$21+GiaDinh_K3!$D$8*Params!$C$5*C239)*'Tính chọn'!$D$23/Params!$C$16,(Params!$C$21+GiaDinh_K3!$D$8*Params!$C$5*C239)*'Tính chọn'!$D$23*Params!$C$16)+Catalogue!$F$15*C239/'Tính chọn'!$D$23)</f>
        <v>0</v>
      </c>
      <c r="G239" s="42" t="n">
        <f aca="false">IF(A239&gt;$F$10,0,IF(('Tính chọn'!$D$6+GiaDinh_K3!$D$8*Params!$C$6*C239)&gt;=0,('Tính chọn'!$D$6+GiaDinh_K3!$D$8*Params!$C$6*C239)*'Tính chọn'!$D$23/Params!$C$16,('Tính chọn'!$D$6+GiaDinh_K3!$D$8*Params!$C$6*C239)*'Tính chọn'!$D$23*Params!$C$16)+Catalogue!$F$15*C239/'Tính chọn'!$D$23)</f>
        <v>0</v>
      </c>
      <c r="H239" s="45" t="n">
        <f aca="false">F239*D239/'Tính chọn'!$D$23</f>
        <v>0</v>
      </c>
    </row>
    <row r="240" customFormat="false" ht="14.25" hidden="false" customHeight="false" outlineLevel="0" collapsed="false">
      <c r="A240" s="41" t="n">
        <f aca="false">226*$B$5</f>
        <v>2.26</v>
      </c>
      <c r="B240" s="42" t="n">
        <f aca="false">IF(A240&lt;$F$4,GiaDinh_K3!$D$12,IF(A240&lt;$F$5,0,IF(A240&lt;$F$6,-GiaDinh_K3!$D$12,IF(A240&lt;$F$7,0,IF(A240&lt;$F$8,-GiaDinh_K3!$D$12,IF(A240&lt;$F$9,0,IF(A240&lt;$F$10,GiaDinh_K3!$D$12,0)))))))</f>
        <v>0</v>
      </c>
      <c r="C240" s="43" t="n">
        <f aca="false">IF(A240&lt;$F$4,GiaDinh_K3!$D$12*A240,IF(A240&lt;$F$5,GiaDinh_K3!$D$11,IF(A240&lt;$F$6,GiaDinh_K3!$D$11-GiaDinh_K3!$D$12*(A240-$F$5),IF(A240&lt;$F$7,0,IF(A240&lt;$F$8,-GiaDinh_K3!$D$12*(A240-$F$7),IF(A240&lt;$F$9,-GiaDinh_K3!$D$11,IF(A240&lt;$F$10,-GiaDinh_K3!$D$11+GiaDinh_K3!$D$12*(A240-$F$9),0)))))))</f>
        <v>0</v>
      </c>
      <c r="D240" s="46" t="n">
        <f aca="false">MAX(0,D239+(C239+C240)/2*$B$5)</f>
        <v>0</v>
      </c>
      <c r="E240" s="46" t="n">
        <f aca="false">E239+(D239+D240)/2*$B$5</f>
        <v>0.181995</v>
      </c>
      <c r="F240" s="42" t="n">
        <f aca="false">IF(A240&gt;$F$10,0,IF((Params!$C$21+GiaDinh_K3!$D$8*Params!$C$5*C240)&gt;=0,(Params!$C$21+GiaDinh_K3!$D$8*Params!$C$5*C240)*'Tính chọn'!$D$23/Params!$C$16,(Params!$C$21+GiaDinh_K3!$D$8*Params!$C$5*C240)*'Tính chọn'!$D$23*Params!$C$16)+Catalogue!$F$15*C240/'Tính chọn'!$D$23)</f>
        <v>0</v>
      </c>
      <c r="G240" s="42" t="n">
        <f aca="false">IF(A240&gt;$F$10,0,IF(('Tính chọn'!$D$6+GiaDinh_K3!$D$8*Params!$C$6*C240)&gt;=0,('Tính chọn'!$D$6+GiaDinh_K3!$D$8*Params!$C$6*C240)*'Tính chọn'!$D$23/Params!$C$16,('Tính chọn'!$D$6+GiaDinh_K3!$D$8*Params!$C$6*C240)*'Tính chọn'!$D$23*Params!$C$16)+Catalogue!$F$15*C240/'Tính chọn'!$D$23)</f>
        <v>0</v>
      </c>
      <c r="H240" s="45" t="n">
        <f aca="false">F240*D240/'Tính chọn'!$D$23</f>
        <v>0</v>
      </c>
    </row>
    <row r="241" customFormat="false" ht="14.25" hidden="false" customHeight="false" outlineLevel="0" collapsed="false">
      <c r="A241" s="41" t="n">
        <f aca="false">227*$B$5</f>
        <v>2.27</v>
      </c>
      <c r="B241" s="42" t="n">
        <f aca="false">IF(A241&lt;$F$4,GiaDinh_K3!$D$12,IF(A241&lt;$F$5,0,IF(A241&lt;$F$6,-GiaDinh_K3!$D$12,IF(A241&lt;$F$7,0,IF(A241&lt;$F$8,-GiaDinh_K3!$D$12,IF(A241&lt;$F$9,0,IF(A241&lt;$F$10,GiaDinh_K3!$D$12,0)))))))</f>
        <v>0</v>
      </c>
      <c r="C241" s="43" t="n">
        <f aca="false">IF(A241&lt;$F$4,GiaDinh_K3!$D$12*A241,IF(A241&lt;$F$5,GiaDinh_K3!$D$11,IF(A241&lt;$F$6,GiaDinh_K3!$D$11-GiaDinh_K3!$D$12*(A241-$F$5),IF(A241&lt;$F$7,0,IF(A241&lt;$F$8,-GiaDinh_K3!$D$12*(A241-$F$7),IF(A241&lt;$F$9,-GiaDinh_K3!$D$11,IF(A241&lt;$F$10,-GiaDinh_K3!$D$11+GiaDinh_K3!$D$12*(A241-$F$9),0)))))))</f>
        <v>0</v>
      </c>
      <c r="D241" s="46" t="n">
        <f aca="false">MAX(0,D240+(C240+C241)/2*$B$5)</f>
        <v>0</v>
      </c>
      <c r="E241" s="46" t="n">
        <f aca="false">E240+(D240+D241)/2*$B$5</f>
        <v>0.181995</v>
      </c>
      <c r="F241" s="42" t="n">
        <f aca="false">IF(A241&gt;$F$10,0,IF((Params!$C$21+GiaDinh_K3!$D$8*Params!$C$5*C241)&gt;=0,(Params!$C$21+GiaDinh_K3!$D$8*Params!$C$5*C241)*'Tính chọn'!$D$23/Params!$C$16,(Params!$C$21+GiaDinh_K3!$D$8*Params!$C$5*C241)*'Tính chọn'!$D$23*Params!$C$16)+Catalogue!$F$15*C241/'Tính chọn'!$D$23)</f>
        <v>0</v>
      </c>
      <c r="G241" s="42" t="n">
        <f aca="false">IF(A241&gt;$F$10,0,IF(('Tính chọn'!$D$6+GiaDinh_K3!$D$8*Params!$C$6*C241)&gt;=0,('Tính chọn'!$D$6+GiaDinh_K3!$D$8*Params!$C$6*C241)*'Tính chọn'!$D$23/Params!$C$16,('Tính chọn'!$D$6+GiaDinh_K3!$D$8*Params!$C$6*C241)*'Tính chọn'!$D$23*Params!$C$16)+Catalogue!$F$15*C241/'Tính chọn'!$D$23)</f>
        <v>0</v>
      </c>
      <c r="H241" s="45" t="n">
        <f aca="false">F241*D241/'Tính chọn'!$D$23</f>
        <v>0</v>
      </c>
    </row>
    <row r="242" customFormat="false" ht="14.25" hidden="false" customHeight="false" outlineLevel="0" collapsed="false">
      <c r="A242" s="41" t="n">
        <f aca="false">228*$B$5</f>
        <v>2.28</v>
      </c>
      <c r="B242" s="42" t="n">
        <f aca="false">IF(A242&lt;$F$4,GiaDinh_K3!$D$12,IF(A242&lt;$F$5,0,IF(A242&lt;$F$6,-GiaDinh_K3!$D$12,IF(A242&lt;$F$7,0,IF(A242&lt;$F$8,-GiaDinh_K3!$D$12,IF(A242&lt;$F$9,0,IF(A242&lt;$F$10,GiaDinh_K3!$D$12,0)))))))</f>
        <v>0</v>
      </c>
      <c r="C242" s="43" t="n">
        <f aca="false">IF(A242&lt;$F$4,GiaDinh_K3!$D$12*A242,IF(A242&lt;$F$5,GiaDinh_K3!$D$11,IF(A242&lt;$F$6,GiaDinh_K3!$D$11-GiaDinh_K3!$D$12*(A242-$F$5),IF(A242&lt;$F$7,0,IF(A242&lt;$F$8,-GiaDinh_K3!$D$12*(A242-$F$7),IF(A242&lt;$F$9,-GiaDinh_K3!$D$11,IF(A242&lt;$F$10,-GiaDinh_K3!$D$11+GiaDinh_K3!$D$12*(A242-$F$9),0)))))))</f>
        <v>0</v>
      </c>
      <c r="D242" s="46" t="n">
        <f aca="false">MAX(0,D241+(C241+C242)/2*$B$5)</f>
        <v>0</v>
      </c>
      <c r="E242" s="46" t="n">
        <f aca="false">E241+(D241+D242)/2*$B$5</f>
        <v>0.181995</v>
      </c>
      <c r="F242" s="42" t="n">
        <f aca="false">IF(A242&gt;$F$10,0,IF((Params!$C$21+GiaDinh_K3!$D$8*Params!$C$5*C242)&gt;=0,(Params!$C$21+GiaDinh_K3!$D$8*Params!$C$5*C242)*'Tính chọn'!$D$23/Params!$C$16,(Params!$C$21+GiaDinh_K3!$D$8*Params!$C$5*C242)*'Tính chọn'!$D$23*Params!$C$16)+Catalogue!$F$15*C242/'Tính chọn'!$D$23)</f>
        <v>0</v>
      </c>
      <c r="G242" s="42" t="n">
        <f aca="false">IF(A242&gt;$F$10,0,IF(('Tính chọn'!$D$6+GiaDinh_K3!$D$8*Params!$C$6*C242)&gt;=0,('Tính chọn'!$D$6+GiaDinh_K3!$D$8*Params!$C$6*C242)*'Tính chọn'!$D$23/Params!$C$16,('Tính chọn'!$D$6+GiaDinh_K3!$D$8*Params!$C$6*C242)*'Tính chọn'!$D$23*Params!$C$16)+Catalogue!$F$15*C242/'Tính chọn'!$D$23)</f>
        <v>0</v>
      </c>
      <c r="H242" s="45" t="n">
        <f aca="false">F242*D242/'Tính chọn'!$D$23</f>
        <v>0</v>
      </c>
    </row>
    <row r="243" customFormat="false" ht="14.25" hidden="false" customHeight="false" outlineLevel="0" collapsed="false">
      <c r="A243" s="41" t="n">
        <f aca="false">229*$B$5</f>
        <v>2.29</v>
      </c>
      <c r="B243" s="42" t="n">
        <f aca="false">IF(A243&lt;$F$4,GiaDinh_K3!$D$12,IF(A243&lt;$F$5,0,IF(A243&lt;$F$6,-GiaDinh_K3!$D$12,IF(A243&lt;$F$7,0,IF(A243&lt;$F$8,-GiaDinh_K3!$D$12,IF(A243&lt;$F$9,0,IF(A243&lt;$F$10,GiaDinh_K3!$D$12,0)))))))</f>
        <v>0</v>
      </c>
      <c r="C243" s="43" t="n">
        <f aca="false">IF(A243&lt;$F$4,GiaDinh_K3!$D$12*A243,IF(A243&lt;$F$5,GiaDinh_K3!$D$11,IF(A243&lt;$F$6,GiaDinh_K3!$D$11-GiaDinh_K3!$D$12*(A243-$F$5),IF(A243&lt;$F$7,0,IF(A243&lt;$F$8,-GiaDinh_K3!$D$12*(A243-$F$7),IF(A243&lt;$F$9,-GiaDinh_K3!$D$11,IF(A243&lt;$F$10,-GiaDinh_K3!$D$11+GiaDinh_K3!$D$12*(A243-$F$9),0)))))))</f>
        <v>0</v>
      </c>
      <c r="D243" s="46" t="n">
        <f aca="false">MAX(0,D242+(C242+C243)/2*$B$5)</f>
        <v>0</v>
      </c>
      <c r="E243" s="46" t="n">
        <f aca="false">E242+(D242+D243)/2*$B$5</f>
        <v>0.181995</v>
      </c>
      <c r="F243" s="42" t="n">
        <f aca="false">IF(A243&gt;$F$10,0,IF((Params!$C$21+GiaDinh_K3!$D$8*Params!$C$5*C243)&gt;=0,(Params!$C$21+GiaDinh_K3!$D$8*Params!$C$5*C243)*'Tính chọn'!$D$23/Params!$C$16,(Params!$C$21+GiaDinh_K3!$D$8*Params!$C$5*C243)*'Tính chọn'!$D$23*Params!$C$16)+Catalogue!$F$15*C243/'Tính chọn'!$D$23)</f>
        <v>0</v>
      </c>
      <c r="G243" s="42" t="n">
        <f aca="false">IF(A243&gt;$F$10,0,IF(('Tính chọn'!$D$6+GiaDinh_K3!$D$8*Params!$C$6*C243)&gt;=0,('Tính chọn'!$D$6+GiaDinh_K3!$D$8*Params!$C$6*C243)*'Tính chọn'!$D$23/Params!$C$16,('Tính chọn'!$D$6+GiaDinh_K3!$D$8*Params!$C$6*C243)*'Tính chọn'!$D$23*Params!$C$16)+Catalogue!$F$15*C243/'Tính chọn'!$D$23)</f>
        <v>0</v>
      </c>
      <c r="H243" s="45" t="n">
        <f aca="false">F243*D243/'Tính chọn'!$D$23</f>
        <v>0</v>
      </c>
    </row>
    <row r="244" customFormat="false" ht="14.25" hidden="false" customHeight="false" outlineLevel="0" collapsed="false">
      <c r="A244" s="41" t="n">
        <f aca="false">230*$B$5</f>
        <v>2.3</v>
      </c>
      <c r="B244" s="42" t="n">
        <f aca="false">IF(A244&lt;$F$4,GiaDinh_K3!$D$12,IF(A244&lt;$F$5,0,IF(A244&lt;$F$6,-GiaDinh_K3!$D$12,IF(A244&lt;$F$7,0,IF(A244&lt;$F$8,-GiaDinh_K3!$D$12,IF(A244&lt;$F$9,0,IF(A244&lt;$F$10,GiaDinh_K3!$D$12,0)))))))</f>
        <v>0</v>
      </c>
      <c r="C244" s="43" t="n">
        <f aca="false">IF(A244&lt;$F$4,GiaDinh_K3!$D$12*A244,IF(A244&lt;$F$5,GiaDinh_K3!$D$11,IF(A244&lt;$F$6,GiaDinh_K3!$D$11-GiaDinh_K3!$D$12*(A244-$F$5),IF(A244&lt;$F$7,0,IF(A244&lt;$F$8,-GiaDinh_K3!$D$12*(A244-$F$7),IF(A244&lt;$F$9,-GiaDinh_K3!$D$11,IF(A244&lt;$F$10,-GiaDinh_K3!$D$11+GiaDinh_K3!$D$12*(A244-$F$9),0)))))))</f>
        <v>0</v>
      </c>
      <c r="D244" s="46" t="n">
        <f aca="false">MAX(0,D243+(C243+C244)/2*$B$5)</f>
        <v>0</v>
      </c>
      <c r="E244" s="46" t="n">
        <f aca="false">E243+(D243+D244)/2*$B$5</f>
        <v>0.181995</v>
      </c>
      <c r="F244" s="42" t="n">
        <f aca="false">IF(A244&gt;$F$10,0,IF((Params!$C$21+GiaDinh_K3!$D$8*Params!$C$5*C244)&gt;=0,(Params!$C$21+GiaDinh_K3!$D$8*Params!$C$5*C244)*'Tính chọn'!$D$23/Params!$C$16,(Params!$C$21+GiaDinh_K3!$D$8*Params!$C$5*C244)*'Tính chọn'!$D$23*Params!$C$16)+Catalogue!$F$15*C244/'Tính chọn'!$D$23)</f>
        <v>0</v>
      </c>
      <c r="G244" s="42" t="n">
        <f aca="false">IF(A244&gt;$F$10,0,IF(('Tính chọn'!$D$6+GiaDinh_K3!$D$8*Params!$C$6*C244)&gt;=0,('Tính chọn'!$D$6+GiaDinh_K3!$D$8*Params!$C$6*C244)*'Tính chọn'!$D$23/Params!$C$16,('Tính chọn'!$D$6+GiaDinh_K3!$D$8*Params!$C$6*C244)*'Tính chọn'!$D$23*Params!$C$16)+Catalogue!$F$15*C244/'Tính chọn'!$D$23)</f>
        <v>0</v>
      </c>
      <c r="H244" s="45" t="n">
        <f aca="false">F244*D244/'Tính chọn'!$D$23</f>
        <v>0</v>
      </c>
    </row>
    <row r="245" customFormat="false" ht="14.25" hidden="false" customHeight="false" outlineLevel="0" collapsed="false">
      <c r="A245" s="41" t="n">
        <f aca="false">231*$B$5</f>
        <v>2.31</v>
      </c>
      <c r="B245" s="42" t="n">
        <f aca="false">IF(A245&lt;$F$4,GiaDinh_K3!$D$12,IF(A245&lt;$F$5,0,IF(A245&lt;$F$6,-GiaDinh_K3!$D$12,IF(A245&lt;$F$7,0,IF(A245&lt;$F$8,-GiaDinh_K3!$D$12,IF(A245&lt;$F$9,0,IF(A245&lt;$F$10,GiaDinh_K3!$D$12,0)))))))</f>
        <v>0</v>
      </c>
      <c r="C245" s="43" t="n">
        <f aca="false">IF(A245&lt;$F$4,GiaDinh_K3!$D$12*A245,IF(A245&lt;$F$5,GiaDinh_K3!$D$11,IF(A245&lt;$F$6,GiaDinh_K3!$D$11-GiaDinh_K3!$D$12*(A245-$F$5),IF(A245&lt;$F$7,0,IF(A245&lt;$F$8,-GiaDinh_K3!$D$12*(A245-$F$7),IF(A245&lt;$F$9,-GiaDinh_K3!$D$11,IF(A245&lt;$F$10,-GiaDinh_K3!$D$11+GiaDinh_K3!$D$12*(A245-$F$9),0)))))))</f>
        <v>0</v>
      </c>
      <c r="D245" s="46" t="n">
        <f aca="false">MAX(0,D244+(C244+C245)/2*$B$5)</f>
        <v>0</v>
      </c>
      <c r="E245" s="46" t="n">
        <f aca="false">E244+(D244+D245)/2*$B$5</f>
        <v>0.181995</v>
      </c>
      <c r="F245" s="42" t="n">
        <f aca="false">IF(A245&gt;$F$10,0,IF((Params!$C$21+GiaDinh_K3!$D$8*Params!$C$5*C245)&gt;=0,(Params!$C$21+GiaDinh_K3!$D$8*Params!$C$5*C245)*'Tính chọn'!$D$23/Params!$C$16,(Params!$C$21+GiaDinh_K3!$D$8*Params!$C$5*C245)*'Tính chọn'!$D$23*Params!$C$16)+Catalogue!$F$15*C245/'Tính chọn'!$D$23)</f>
        <v>0</v>
      </c>
      <c r="G245" s="42" t="n">
        <f aca="false">IF(A245&gt;$F$10,0,IF(('Tính chọn'!$D$6+GiaDinh_K3!$D$8*Params!$C$6*C245)&gt;=0,('Tính chọn'!$D$6+GiaDinh_K3!$D$8*Params!$C$6*C245)*'Tính chọn'!$D$23/Params!$C$16,('Tính chọn'!$D$6+GiaDinh_K3!$D$8*Params!$C$6*C245)*'Tính chọn'!$D$23*Params!$C$16)+Catalogue!$F$15*C245/'Tính chọn'!$D$23)</f>
        <v>0</v>
      </c>
      <c r="H245" s="45" t="n">
        <f aca="false">F245*D245/'Tính chọn'!$D$23</f>
        <v>0</v>
      </c>
    </row>
    <row r="246" customFormat="false" ht="14.25" hidden="false" customHeight="false" outlineLevel="0" collapsed="false">
      <c r="A246" s="41" t="n">
        <f aca="false">232*$B$5</f>
        <v>2.32</v>
      </c>
      <c r="B246" s="42" t="n">
        <f aca="false">IF(A246&lt;$F$4,GiaDinh_K3!$D$12,IF(A246&lt;$F$5,0,IF(A246&lt;$F$6,-GiaDinh_K3!$D$12,IF(A246&lt;$F$7,0,IF(A246&lt;$F$8,-GiaDinh_K3!$D$12,IF(A246&lt;$F$9,0,IF(A246&lt;$F$10,GiaDinh_K3!$D$12,0)))))))</f>
        <v>0</v>
      </c>
      <c r="C246" s="43" t="n">
        <f aca="false">IF(A246&lt;$F$4,GiaDinh_K3!$D$12*A246,IF(A246&lt;$F$5,GiaDinh_K3!$D$11,IF(A246&lt;$F$6,GiaDinh_K3!$D$11-GiaDinh_K3!$D$12*(A246-$F$5),IF(A246&lt;$F$7,0,IF(A246&lt;$F$8,-GiaDinh_K3!$D$12*(A246-$F$7),IF(A246&lt;$F$9,-GiaDinh_K3!$D$11,IF(A246&lt;$F$10,-GiaDinh_K3!$D$11+GiaDinh_K3!$D$12*(A246-$F$9),0)))))))</f>
        <v>0</v>
      </c>
      <c r="D246" s="46" t="n">
        <f aca="false">MAX(0,D245+(C245+C246)/2*$B$5)</f>
        <v>0</v>
      </c>
      <c r="E246" s="46" t="n">
        <f aca="false">E245+(D245+D246)/2*$B$5</f>
        <v>0.181995</v>
      </c>
      <c r="F246" s="42" t="n">
        <f aca="false">IF(A246&gt;$F$10,0,IF((Params!$C$21+GiaDinh_K3!$D$8*Params!$C$5*C246)&gt;=0,(Params!$C$21+GiaDinh_K3!$D$8*Params!$C$5*C246)*'Tính chọn'!$D$23/Params!$C$16,(Params!$C$21+GiaDinh_K3!$D$8*Params!$C$5*C246)*'Tính chọn'!$D$23*Params!$C$16)+Catalogue!$F$15*C246/'Tính chọn'!$D$23)</f>
        <v>0</v>
      </c>
      <c r="G246" s="42" t="n">
        <f aca="false">IF(A246&gt;$F$10,0,IF(('Tính chọn'!$D$6+GiaDinh_K3!$D$8*Params!$C$6*C246)&gt;=0,('Tính chọn'!$D$6+GiaDinh_K3!$D$8*Params!$C$6*C246)*'Tính chọn'!$D$23/Params!$C$16,('Tính chọn'!$D$6+GiaDinh_K3!$D$8*Params!$C$6*C246)*'Tính chọn'!$D$23*Params!$C$16)+Catalogue!$F$15*C246/'Tính chọn'!$D$23)</f>
        <v>0</v>
      </c>
      <c r="H246" s="45" t="n">
        <f aca="false">F246*D246/'Tính chọn'!$D$23</f>
        <v>0</v>
      </c>
    </row>
    <row r="247" customFormat="false" ht="14.25" hidden="false" customHeight="false" outlineLevel="0" collapsed="false">
      <c r="A247" s="41" t="n">
        <f aca="false">233*$B$5</f>
        <v>2.33</v>
      </c>
      <c r="B247" s="42" t="n">
        <f aca="false">IF(A247&lt;$F$4,GiaDinh_K3!$D$12,IF(A247&lt;$F$5,0,IF(A247&lt;$F$6,-GiaDinh_K3!$D$12,IF(A247&lt;$F$7,0,IF(A247&lt;$F$8,-GiaDinh_K3!$D$12,IF(A247&lt;$F$9,0,IF(A247&lt;$F$10,GiaDinh_K3!$D$12,0)))))))</f>
        <v>0</v>
      </c>
      <c r="C247" s="43" t="n">
        <f aca="false">IF(A247&lt;$F$4,GiaDinh_K3!$D$12*A247,IF(A247&lt;$F$5,GiaDinh_K3!$D$11,IF(A247&lt;$F$6,GiaDinh_K3!$D$11-GiaDinh_K3!$D$12*(A247-$F$5),IF(A247&lt;$F$7,0,IF(A247&lt;$F$8,-GiaDinh_K3!$D$12*(A247-$F$7),IF(A247&lt;$F$9,-GiaDinh_K3!$D$11,IF(A247&lt;$F$10,-GiaDinh_K3!$D$11+GiaDinh_K3!$D$12*(A247-$F$9),0)))))))</f>
        <v>0</v>
      </c>
      <c r="D247" s="46" t="n">
        <f aca="false">MAX(0,D246+(C246+C247)/2*$B$5)</f>
        <v>0</v>
      </c>
      <c r="E247" s="46" t="n">
        <f aca="false">E246+(D246+D247)/2*$B$5</f>
        <v>0.181995</v>
      </c>
      <c r="F247" s="42" t="n">
        <f aca="false">IF(A247&gt;$F$10,0,IF((Params!$C$21+GiaDinh_K3!$D$8*Params!$C$5*C247)&gt;=0,(Params!$C$21+GiaDinh_K3!$D$8*Params!$C$5*C247)*'Tính chọn'!$D$23/Params!$C$16,(Params!$C$21+GiaDinh_K3!$D$8*Params!$C$5*C247)*'Tính chọn'!$D$23*Params!$C$16)+Catalogue!$F$15*C247/'Tính chọn'!$D$23)</f>
        <v>0</v>
      </c>
      <c r="G247" s="42" t="n">
        <f aca="false">IF(A247&gt;$F$10,0,IF(('Tính chọn'!$D$6+GiaDinh_K3!$D$8*Params!$C$6*C247)&gt;=0,('Tính chọn'!$D$6+GiaDinh_K3!$D$8*Params!$C$6*C247)*'Tính chọn'!$D$23/Params!$C$16,('Tính chọn'!$D$6+GiaDinh_K3!$D$8*Params!$C$6*C247)*'Tính chọn'!$D$23*Params!$C$16)+Catalogue!$F$15*C247/'Tính chọn'!$D$23)</f>
        <v>0</v>
      </c>
      <c r="H247" s="45" t="n">
        <f aca="false">F247*D247/'Tính chọn'!$D$23</f>
        <v>0</v>
      </c>
    </row>
    <row r="248" customFormat="false" ht="14.25" hidden="false" customHeight="false" outlineLevel="0" collapsed="false">
      <c r="A248" s="41" t="n">
        <f aca="false">234*$B$5</f>
        <v>2.34</v>
      </c>
      <c r="B248" s="42" t="n">
        <f aca="false">IF(A248&lt;$F$4,GiaDinh_K3!$D$12,IF(A248&lt;$F$5,0,IF(A248&lt;$F$6,-GiaDinh_K3!$D$12,IF(A248&lt;$F$7,0,IF(A248&lt;$F$8,-GiaDinh_K3!$D$12,IF(A248&lt;$F$9,0,IF(A248&lt;$F$10,GiaDinh_K3!$D$12,0)))))))</f>
        <v>0</v>
      </c>
      <c r="C248" s="43" t="n">
        <f aca="false">IF(A248&lt;$F$4,GiaDinh_K3!$D$12*A248,IF(A248&lt;$F$5,GiaDinh_K3!$D$11,IF(A248&lt;$F$6,GiaDinh_K3!$D$11-GiaDinh_K3!$D$12*(A248-$F$5),IF(A248&lt;$F$7,0,IF(A248&lt;$F$8,-GiaDinh_K3!$D$12*(A248-$F$7),IF(A248&lt;$F$9,-GiaDinh_K3!$D$11,IF(A248&lt;$F$10,-GiaDinh_K3!$D$11+GiaDinh_K3!$D$12*(A248-$F$9),0)))))))</f>
        <v>0</v>
      </c>
      <c r="D248" s="46" t="n">
        <f aca="false">MAX(0,D247+(C247+C248)/2*$B$5)</f>
        <v>0</v>
      </c>
      <c r="E248" s="46" t="n">
        <f aca="false">E247+(D247+D248)/2*$B$5</f>
        <v>0.181995</v>
      </c>
      <c r="F248" s="42" t="n">
        <f aca="false">IF(A248&gt;$F$10,0,IF((Params!$C$21+GiaDinh_K3!$D$8*Params!$C$5*C248)&gt;=0,(Params!$C$21+GiaDinh_K3!$D$8*Params!$C$5*C248)*'Tính chọn'!$D$23/Params!$C$16,(Params!$C$21+GiaDinh_K3!$D$8*Params!$C$5*C248)*'Tính chọn'!$D$23*Params!$C$16)+Catalogue!$F$15*C248/'Tính chọn'!$D$23)</f>
        <v>0</v>
      </c>
      <c r="G248" s="42" t="n">
        <f aca="false">IF(A248&gt;$F$10,0,IF(('Tính chọn'!$D$6+GiaDinh_K3!$D$8*Params!$C$6*C248)&gt;=0,('Tính chọn'!$D$6+GiaDinh_K3!$D$8*Params!$C$6*C248)*'Tính chọn'!$D$23/Params!$C$16,('Tính chọn'!$D$6+GiaDinh_K3!$D$8*Params!$C$6*C248)*'Tính chọn'!$D$23*Params!$C$16)+Catalogue!$F$15*C248/'Tính chọn'!$D$23)</f>
        <v>0</v>
      </c>
      <c r="H248" s="45" t="n">
        <f aca="false">F248*D248/'Tính chọn'!$D$23</f>
        <v>0</v>
      </c>
    </row>
    <row r="249" customFormat="false" ht="14.25" hidden="false" customHeight="false" outlineLevel="0" collapsed="false">
      <c r="A249" s="41" t="n">
        <f aca="false">235*$B$5</f>
        <v>2.35</v>
      </c>
      <c r="B249" s="42" t="n">
        <f aca="false">IF(A249&lt;$F$4,GiaDinh_K3!$D$12,IF(A249&lt;$F$5,0,IF(A249&lt;$F$6,-GiaDinh_K3!$D$12,IF(A249&lt;$F$7,0,IF(A249&lt;$F$8,-GiaDinh_K3!$D$12,IF(A249&lt;$F$9,0,IF(A249&lt;$F$10,GiaDinh_K3!$D$12,0)))))))</f>
        <v>0</v>
      </c>
      <c r="C249" s="43" t="n">
        <f aca="false">IF(A249&lt;$F$4,GiaDinh_K3!$D$12*A249,IF(A249&lt;$F$5,GiaDinh_K3!$D$11,IF(A249&lt;$F$6,GiaDinh_K3!$D$11-GiaDinh_K3!$D$12*(A249-$F$5),IF(A249&lt;$F$7,0,IF(A249&lt;$F$8,-GiaDinh_K3!$D$12*(A249-$F$7),IF(A249&lt;$F$9,-GiaDinh_K3!$D$11,IF(A249&lt;$F$10,-GiaDinh_K3!$D$11+GiaDinh_K3!$D$12*(A249-$F$9),0)))))))</f>
        <v>0</v>
      </c>
      <c r="D249" s="46" t="n">
        <f aca="false">MAX(0,D248+(C248+C249)/2*$B$5)</f>
        <v>0</v>
      </c>
      <c r="E249" s="46" t="n">
        <f aca="false">E248+(D248+D249)/2*$B$5</f>
        <v>0.181995</v>
      </c>
      <c r="F249" s="42" t="n">
        <f aca="false">IF(A249&gt;$F$10,0,IF((Params!$C$21+GiaDinh_K3!$D$8*Params!$C$5*C249)&gt;=0,(Params!$C$21+GiaDinh_K3!$D$8*Params!$C$5*C249)*'Tính chọn'!$D$23/Params!$C$16,(Params!$C$21+GiaDinh_K3!$D$8*Params!$C$5*C249)*'Tính chọn'!$D$23*Params!$C$16)+Catalogue!$F$15*C249/'Tính chọn'!$D$23)</f>
        <v>0</v>
      </c>
      <c r="G249" s="42" t="n">
        <f aca="false">IF(A249&gt;$F$10,0,IF(('Tính chọn'!$D$6+GiaDinh_K3!$D$8*Params!$C$6*C249)&gt;=0,('Tính chọn'!$D$6+GiaDinh_K3!$D$8*Params!$C$6*C249)*'Tính chọn'!$D$23/Params!$C$16,('Tính chọn'!$D$6+GiaDinh_K3!$D$8*Params!$C$6*C249)*'Tính chọn'!$D$23*Params!$C$16)+Catalogue!$F$15*C249/'Tính chọn'!$D$23)</f>
        <v>0</v>
      </c>
      <c r="H249" s="45" t="n">
        <f aca="false">F249*D249/'Tính chọn'!$D$23</f>
        <v>0</v>
      </c>
    </row>
    <row r="250" customFormat="false" ht="14.25" hidden="false" customHeight="false" outlineLevel="0" collapsed="false">
      <c r="A250" s="41" t="n">
        <f aca="false">236*$B$5</f>
        <v>2.36</v>
      </c>
      <c r="B250" s="42" t="n">
        <f aca="false">IF(A250&lt;$F$4,GiaDinh_K3!$D$12,IF(A250&lt;$F$5,0,IF(A250&lt;$F$6,-GiaDinh_K3!$D$12,IF(A250&lt;$F$7,0,IF(A250&lt;$F$8,-GiaDinh_K3!$D$12,IF(A250&lt;$F$9,0,IF(A250&lt;$F$10,GiaDinh_K3!$D$12,0)))))))</f>
        <v>0</v>
      </c>
      <c r="C250" s="43" t="n">
        <f aca="false">IF(A250&lt;$F$4,GiaDinh_K3!$D$12*A250,IF(A250&lt;$F$5,GiaDinh_K3!$D$11,IF(A250&lt;$F$6,GiaDinh_K3!$D$11-GiaDinh_K3!$D$12*(A250-$F$5),IF(A250&lt;$F$7,0,IF(A250&lt;$F$8,-GiaDinh_K3!$D$12*(A250-$F$7),IF(A250&lt;$F$9,-GiaDinh_K3!$D$11,IF(A250&lt;$F$10,-GiaDinh_K3!$D$11+GiaDinh_K3!$D$12*(A250-$F$9),0)))))))</f>
        <v>0</v>
      </c>
      <c r="D250" s="46" t="n">
        <f aca="false">MAX(0,D249+(C249+C250)/2*$B$5)</f>
        <v>0</v>
      </c>
      <c r="E250" s="46" t="n">
        <f aca="false">E249+(D249+D250)/2*$B$5</f>
        <v>0.181995</v>
      </c>
      <c r="F250" s="42" t="n">
        <f aca="false">IF(A250&gt;$F$10,0,IF((Params!$C$21+GiaDinh_K3!$D$8*Params!$C$5*C250)&gt;=0,(Params!$C$21+GiaDinh_K3!$D$8*Params!$C$5*C250)*'Tính chọn'!$D$23/Params!$C$16,(Params!$C$21+GiaDinh_K3!$D$8*Params!$C$5*C250)*'Tính chọn'!$D$23*Params!$C$16)+Catalogue!$F$15*C250/'Tính chọn'!$D$23)</f>
        <v>0</v>
      </c>
      <c r="G250" s="42" t="n">
        <f aca="false">IF(A250&gt;$F$10,0,IF(('Tính chọn'!$D$6+GiaDinh_K3!$D$8*Params!$C$6*C250)&gt;=0,('Tính chọn'!$D$6+GiaDinh_K3!$D$8*Params!$C$6*C250)*'Tính chọn'!$D$23/Params!$C$16,('Tính chọn'!$D$6+GiaDinh_K3!$D$8*Params!$C$6*C250)*'Tính chọn'!$D$23*Params!$C$16)+Catalogue!$F$15*C250/'Tính chọn'!$D$23)</f>
        <v>0</v>
      </c>
      <c r="H250" s="45" t="n">
        <f aca="false">F250*D250/'Tính chọn'!$D$23</f>
        <v>0</v>
      </c>
    </row>
    <row r="251" customFormat="false" ht="14.25" hidden="false" customHeight="false" outlineLevel="0" collapsed="false">
      <c r="A251" s="41" t="n">
        <f aca="false">237*$B$5</f>
        <v>2.37</v>
      </c>
      <c r="B251" s="42" t="n">
        <f aca="false">IF(A251&lt;$F$4,GiaDinh_K3!$D$12,IF(A251&lt;$F$5,0,IF(A251&lt;$F$6,-GiaDinh_K3!$D$12,IF(A251&lt;$F$7,0,IF(A251&lt;$F$8,-GiaDinh_K3!$D$12,IF(A251&lt;$F$9,0,IF(A251&lt;$F$10,GiaDinh_K3!$D$12,0)))))))</f>
        <v>0</v>
      </c>
      <c r="C251" s="43" t="n">
        <f aca="false">IF(A251&lt;$F$4,GiaDinh_K3!$D$12*A251,IF(A251&lt;$F$5,GiaDinh_K3!$D$11,IF(A251&lt;$F$6,GiaDinh_K3!$D$11-GiaDinh_K3!$D$12*(A251-$F$5),IF(A251&lt;$F$7,0,IF(A251&lt;$F$8,-GiaDinh_K3!$D$12*(A251-$F$7),IF(A251&lt;$F$9,-GiaDinh_K3!$D$11,IF(A251&lt;$F$10,-GiaDinh_K3!$D$11+GiaDinh_K3!$D$12*(A251-$F$9),0)))))))</f>
        <v>0</v>
      </c>
      <c r="D251" s="46" t="n">
        <f aca="false">MAX(0,D250+(C250+C251)/2*$B$5)</f>
        <v>0</v>
      </c>
      <c r="E251" s="46" t="n">
        <f aca="false">E250+(D250+D251)/2*$B$5</f>
        <v>0.181995</v>
      </c>
      <c r="F251" s="42" t="n">
        <f aca="false">IF(A251&gt;$F$10,0,IF((Params!$C$21+GiaDinh_K3!$D$8*Params!$C$5*C251)&gt;=0,(Params!$C$21+GiaDinh_K3!$D$8*Params!$C$5*C251)*'Tính chọn'!$D$23/Params!$C$16,(Params!$C$21+GiaDinh_K3!$D$8*Params!$C$5*C251)*'Tính chọn'!$D$23*Params!$C$16)+Catalogue!$F$15*C251/'Tính chọn'!$D$23)</f>
        <v>0</v>
      </c>
      <c r="G251" s="42" t="n">
        <f aca="false">IF(A251&gt;$F$10,0,IF(('Tính chọn'!$D$6+GiaDinh_K3!$D$8*Params!$C$6*C251)&gt;=0,('Tính chọn'!$D$6+GiaDinh_K3!$D$8*Params!$C$6*C251)*'Tính chọn'!$D$23/Params!$C$16,('Tính chọn'!$D$6+GiaDinh_K3!$D$8*Params!$C$6*C251)*'Tính chọn'!$D$23*Params!$C$16)+Catalogue!$F$15*C251/'Tính chọn'!$D$23)</f>
        <v>0</v>
      </c>
      <c r="H251" s="45" t="n">
        <f aca="false">F251*D251/'Tính chọn'!$D$23</f>
        <v>0</v>
      </c>
    </row>
    <row r="252" customFormat="false" ht="14.25" hidden="false" customHeight="false" outlineLevel="0" collapsed="false">
      <c r="A252" s="41" t="n">
        <f aca="false">238*$B$5</f>
        <v>2.38</v>
      </c>
      <c r="B252" s="42" t="n">
        <f aca="false">IF(A252&lt;$F$4,GiaDinh_K3!$D$12,IF(A252&lt;$F$5,0,IF(A252&lt;$F$6,-GiaDinh_K3!$D$12,IF(A252&lt;$F$7,0,IF(A252&lt;$F$8,-GiaDinh_K3!$D$12,IF(A252&lt;$F$9,0,IF(A252&lt;$F$10,GiaDinh_K3!$D$12,0)))))))</f>
        <v>0</v>
      </c>
      <c r="C252" s="43" t="n">
        <f aca="false">IF(A252&lt;$F$4,GiaDinh_K3!$D$12*A252,IF(A252&lt;$F$5,GiaDinh_K3!$D$11,IF(A252&lt;$F$6,GiaDinh_K3!$D$11-GiaDinh_K3!$D$12*(A252-$F$5),IF(A252&lt;$F$7,0,IF(A252&lt;$F$8,-GiaDinh_K3!$D$12*(A252-$F$7),IF(A252&lt;$F$9,-GiaDinh_K3!$D$11,IF(A252&lt;$F$10,-GiaDinh_K3!$D$11+GiaDinh_K3!$D$12*(A252-$F$9),0)))))))</f>
        <v>0</v>
      </c>
      <c r="D252" s="46" t="n">
        <f aca="false">MAX(0,D251+(C251+C252)/2*$B$5)</f>
        <v>0</v>
      </c>
      <c r="E252" s="46" t="n">
        <f aca="false">E251+(D251+D252)/2*$B$5</f>
        <v>0.181995</v>
      </c>
      <c r="F252" s="42" t="n">
        <f aca="false">IF(A252&gt;$F$10,0,IF((Params!$C$21+GiaDinh_K3!$D$8*Params!$C$5*C252)&gt;=0,(Params!$C$21+GiaDinh_K3!$D$8*Params!$C$5*C252)*'Tính chọn'!$D$23/Params!$C$16,(Params!$C$21+GiaDinh_K3!$D$8*Params!$C$5*C252)*'Tính chọn'!$D$23*Params!$C$16)+Catalogue!$F$15*C252/'Tính chọn'!$D$23)</f>
        <v>0</v>
      </c>
      <c r="G252" s="42" t="n">
        <f aca="false">IF(A252&gt;$F$10,0,IF(('Tính chọn'!$D$6+GiaDinh_K3!$D$8*Params!$C$6*C252)&gt;=0,('Tính chọn'!$D$6+GiaDinh_K3!$D$8*Params!$C$6*C252)*'Tính chọn'!$D$23/Params!$C$16,('Tính chọn'!$D$6+GiaDinh_K3!$D$8*Params!$C$6*C252)*'Tính chọn'!$D$23*Params!$C$16)+Catalogue!$F$15*C252/'Tính chọn'!$D$23)</f>
        <v>0</v>
      </c>
      <c r="H252" s="45" t="n">
        <f aca="false">F252*D252/'Tính chọn'!$D$23</f>
        <v>0</v>
      </c>
    </row>
    <row r="253" customFormat="false" ht="14.25" hidden="false" customHeight="false" outlineLevel="0" collapsed="false">
      <c r="A253" s="41" t="n">
        <f aca="false">239*$B$5</f>
        <v>2.39</v>
      </c>
      <c r="B253" s="42" t="n">
        <f aca="false">IF(A253&lt;$F$4,GiaDinh_K3!$D$12,IF(A253&lt;$F$5,0,IF(A253&lt;$F$6,-GiaDinh_K3!$D$12,IF(A253&lt;$F$7,0,IF(A253&lt;$F$8,-GiaDinh_K3!$D$12,IF(A253&lt;$F$9,0,IF(A253&lt;$F$10,GiaDinh_K3!$D$12,0)))))))</f>
        <v>0</v>
      </c>
      <c r="C253" s="43" t="n">
        <f aca="false">IF(A253&lt;$F$4,GiaDinh_K3!$D$12*A253,IF(A253&lt;$F$5,GiaDinh_K3!$D$11,IF(A253&lt;$F$6,GiaDinh_K3!$D$11-GiaDinh_K3!$D$12*(A253-$F$5),IF(A253&lt;$F$7,0,IF(A253&lt;$F$8,-GiaDinh_K3!$D$12*(A253-$F$7),IF(A253&lt;$F$9,-GiaDinh_K3!$D$11,IF(A253&lt;$F$10,-GiaDinh_K3!$D$11+GiaDinh_K3!$D$12*(A253-$F$9),0)))))))</f>
        <v>0</v>
      </c>
      <c r="D253" s="46" t="n">
        <f aca="false">MAX(0,D252+(C252+C253)/2*$B$5)</f>
        <v>0</v>
      </c>
      <c r="E253" s="46" t="n">
        <f aca="false">E252+(D252+D253)/2*$B$5</f>
        <v>0.181995</v>
      </c>
      <c r="F253" s="42" t="n">
        <f aca="false">IF(A253&gt;$F$10,0,IF((Params!$C$21+GiaDinh_K3!$D$8*Params!$C$5*C253)&gt;=0,(Params!$C$21+GiaDinh_K3!$D$8*Params!$C$5*C253)*'Tính chọn'!$D$23/Params!$C$16,(Params!$C$21+GiaDinh_K3!$D$8*Params!$C$5*C253)*'Tính chọn'!$D$23*Params!$C$16)+Catalogue!$F$15*C253/'Tính chọn'!$D$23)</f>
        <v>0</v>
      </c>
      <c r="G253" s="42" t="n">
        <f aca="false">IF(A253&gt;$F$10,0,IF(('Tính chọn'!$D$6+GiaDinh_K3!$D$8*Params!$C$6*C253)&gt;=0,('Tính chọn'!$D$6+GiaDinh_K3!$D$8*Params!$C$6*C253)*'Tính chọn'!$D$23/Params!$C$16,('Tính chọn'!$D$6+GiaDinh_K3!$D$8*Params!$C$6*C253)*'Tính chọn'!$D$23*Params!$C$16)+Catalogue!$F$15*C253/'Tính chọn'!$D$23)</f>
        <v>0</v>
      </c>
      <c r="H253" s="45" t="n">
        <f aca="false">F253*D253/'Tính chọn'!$D$23</f>
        <v>0</v>
      </c>
    </row>
    <row r="254" customFormat="false" ht="14.25" hidden="false" customHeight="false" outlineLevel="0" collapsed="false">
      <c r="A254" s="41" t="n">
        <f aca="false">240*$B$5</f>
        <v>2.4</v>
      </c>
      <c r="B254" s="42" t="n">
        <f aca="false">IF(A254&lt;$F$4,GiaDinh_K3!$D$12,IF(A254&lt;$F$5,0,IF(A254&lt;$F$6,-GiaDinh_K3!$D$12,IF(A254&lt;$F$7,0,IF(A254&lt;$F$8,-GiaDinh_K3!$D$12,IF(A254&lt;$F$9,0,IF(A254&lt;$F$10,GiaDinh_K3!$D$12,0)))))))</f>
        <v>0</v>
      </c>
      <c r="C254" s="43" t="n">
        <f aca="false">IF(A254&lt;$F$4,GiaDinh_K3!$D$12*A254,IF(A254&lt;$F$5,GiaDinh_K3!$D$11,IF(A254&lt;$F$6,GiaDinh_K3!$D$11-GiaDinh_K3!$D$12*(A254-$F$5),IF(A254&lt;$F$7,0,IF(A254&lt;$F$8,-GiaDinh_K3!$D$12*(A254-$F$7),IF(A254&lt;$F$9,-GiaDinh_K3!$D$11,IF(A254&lt;$F$10,-GiaDinh_K3!$D$11+GiaDinh_K3!$D$12*(A254-$F$9),0)))))))</f>
        <v>0</v>
      </c>
      <c r="D254" s="46" t="n">
        <f aca="false">MAX(0,D253+(C253+C254)/2*$B$5)</f>
        <v>0</v>
      </c>
      <c r="E254" s="46" t="n">
        <f aca="false">E253+(D253+D254)/2*$B$5</f>
        <v>0.181995</v>
      </c>
      <c r="F254" s="42" t="n">
        <f aca="false">IF(A254&gt;$F$10,0,IF((Params!$C$21+GiaDinh_K3!$D$8*Params!$C$5*C254)&gt;=0,(Params!$C$21+GiaDinh_K3!$D$8*Params!$C$5*C254)*'Tính chọn'!$D$23/Params!$C$16,(Params!$C$21+GiaDinh_K3!$D$8*Params!$C$5*C254)*'Tính chọn'!$D$23*Params!$C$16)+Catalogue!$F$15*C254/'Tính chọn'!$D$23)</f>
        <v>0</v>
      </c>
      <c r="G254" s="42" t="n">
        <f aca="false">IF(A254&gt;$F$10,0,IF(('Tính chọn'!$D$6+GiaDinh_K3!$D$8*Params!$C$6*C254)&gt;=0,('Tính chọn'!$D$6+GiaDinh_K3!$D$8*Params!$C$6*C254)*'Tính chọn'!$D$23/Params!$C$16,('Tính chọn'!$D$6+GiaDinh_K3!$D$8*Params!$C$6*C254)*'Tính chọn'!$D$23*Params!$C$16)+Catalogue!$F$15*C254/'Tính chọn'!$D$23)</f>
        <v>0</v>
      </c>
      <c r="H254" s="45" t="n">
        <f aca="false">F254*D254/'Tính chọn'!$D$23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>
    <row r="1" customFormat="false" ht="13.8" hidden="false" customHeight="false" outlineLevel="0" collapsed="false">
      <c r="A1" s="1" t="s">
        <v>248</v>
      </c>
      <c r="B1" s="1" t="s">
        <v>45</v>
      </c>
      <c r="C1" s="1" t="s">
        <v>155</v>
      </c>
      <c r="D1" s="1" t="s">
        <v>1703</v>
      </c>
      <c r="E1" s="1" t="s">
        <v>1704</v>
      </c>
      <c r="F1" s="1" t="s">
        <v>1705</v>
      </c>
      <c r="G1" s="1" t="s">
        <v>47</v>
      </c>
      <c r="H1" s="1" t="s">
        <v>249</v>
      </c>
    </row>
    <row r="2" customFormat="false" ht="13.8" hidden="false" customHeight="false" outlineLevel="0" collapsed="false">
      <c r="A2" s="1" t="s">
        <v>1706</v>
      </c>
    </row>
    <row r="3" customFormat="false" ht="13.8" hidden="false" customHeight="false" outlineLevel="0" collapsed="false">
      <c r="A3" s="1" t="s">
        <v>930</v>
      </c>
      <c r="B3" s="1" t="s">
        <v>1707</v>
      </c>
      <c r="C3" s="1" t="s">
        <v>1708</v>
      </c>
      <c r="D3" s="1" t="n">
        <f aca="false">GiaDinh_K3!D29/SQRT(3)</f>
        <v>230.94010767585</v>
      </c>
      <c r="G3" s="1" t="s">
        <v>300</v>
      </c>
    </row>
    <row r="4" customFormat="false" ht="13.8" hidden="false" customHeight="false" outlineLevel="0" collapsed="false">
      <c r="A4" s="1" t="s">
        <v>1709</v>
      </c>
      <c r="B4" s="1" t="s">
        <v>1710</v>
      </c>
      <c r="C4" s="1" t="s">
        <v>1711</v>
      </c>
      <c r="D4" s="1" t="n">
        <f aca="false">Catalogue!F7</f>
        <v>1.75</v>
      </c>
      <c r="G4" s="1" t="s">
        <v>121</v>
      </c>
    </row>
    <row r="5" customFormat="false" ht="13.8" hidden="false" customHeight="false" outlineLevel="0" collapsed="false">
      <c r="A5" s="1" t="s">
        <v>1712</v>
      </c>
      <c r="B5" s="1" t="s">
        <v>1713</v>
      </c>
      <c r="C5" s="1" t="s">
        <v>1714</v>
      </c>
      <c r="D5" s="1" t="n">
        <f aca="false">GiaDinh_K3!D6</f>
        <v>50</v>
      </c>
      <c r="G5" s="1" t="s">
        <v>267</v>
      </c>
    </row>
    <row r="6" customFormat="false" ht="13.8" hidden="false" customHeight="false" outlineLevel="0" collapsed="false">
      <c r="A6" s="1" t="s">
        <v>1715</v>
      </c>
      <c r="B6" s="1" t="s">
        <v>497</v>
      </c>
      <c r="C6" s="1" t="s">
        <v>1716</v>
      </c>
      <c r="D6" s="1" t="n">
        <f aca="false">Catalogue!F6</f>
        <v>1440</v>
      </c>
      <c r="G6" s="1" t="s">
        <v>498</v>
      </c>
    </row>
    <row r="7" customFormat="false" ht="13.8" hidden="false" customHeight="false" outlineLevel="0" collapsed="false">
      <c r="A7" s="1" t="s">
        <v>358</v>
      </c>
      <c r="B7" s="1" t="s">
        <v>359</v>
      </c>
      <c r="C7" s="1" t="s">
        <v>360</v>
      </c>
      <c r="D7" s="1" t="n">
        <f aca="false">GiaDinh_K3!D28</f>
        <v>2</v>
      </c>
      <c r="G7" s="1" t="s">
        <v>69</v>
      </c>
    </row>
    <row r="8" customFormat="false" ht="13.8" hidden="false" customHeight="false" outlineLevel="0" collapsed="false">
      <c r="A8" s="1" t="s">
        <v>501</v>
      </c>
      <c r="B8" s="1" t="s">
        <v>502</v>
      </c>
      <c r="C8" s="1" t="s">
        <v>1717</v>
      </c>
      <c r="D8" s="1" t="n">
        <f aca="false">Catalogue!F8</f>
        <v>0.74</v>
      </c>
      <c r="G8" s="1" t="s">
        <v>69</v>
      </c>
    </row>
    <row r="9" customFormat="false" ht="13.8" hidden="false" customHeight="false" outlineLevel="0" collapsed="false">
      <c r="A9" s="1" t="s">
        <v>1718</v>
      </c>
      <c r="B9" s="1" t="s">
        <v>495</v>
      </c>
      <c r="C9" s="1" t="s">
        <v>494</v>
      </c>
      <c r="D9" s="1" t="n">
        <f aca="false">Catalogue!F5</f>
        <v>4.95</v>
      </c>
      <c r="G9" s="1" t="s">
        <v>112</v>
      </c>
    </row>
    <row r="10" customFormat="false" ht="13.8" hidden="false" customHeight="false" outlineLevel="0" collapsed="false">
      <c r="A10" s="1" t="s">
        <v>513</v>
      </c>
      <c r="B10" s="1" t="s">
        <v>514</v>
      </c>
      <c r="C10" s="1" t="s">
        <v>1719</v>
      </c>
      <c r="D10" s="1" t="n">
        <f aca="false">Catalogue!F12</f>
        <v>3.4</v>
      </c>
      <c r="G10" s="1" t="s">
        <v>69</v>
      </c>
    </row>
    <row r="11" customFormat="false" ht="13.8" hidden="false" customHeight="false" outlineLevel="0" collapsed="false">
      <c r="A11" s="1" t="s">
        <v>1720</v>
      </c>
    </row>
    <row r="12" customFormat="false" ht="13.8" hidden="false" customHeight="false" outlineLevel="0" collapsed="false">
      <c r="A12" s="1" t="s">
        <v>1721</v>
      </c>
      <c r="B12" s="1" t="s">
        <v>1722</v>
      </c>
      <c r="C12" s="1" t="s">
        <v>1723</v>
      </c>
      <c r="D12" s="1" t="n">
        <f aca="false">3*D3*D4*D8</f>
        <v>897.202318320679</v>
      </c>
      <c r="G12" s="1" t="s">
        <v>106</v>
      </c>
      <c r="H12" s="1" t="s">
        <v>1724</v>
      </c>
    </row>
    <row r="13" customFormat="false" ht="13.8" hidden="false" customHeight="false" outlineLevel="0" collapsed="false">
      <c r="A13" s="1" t="s">
        <v>1725</v>
      </c>
      <c r="B13" s="1" t="s">
        <v>1726</v>
      </c>
      <c r="C13" s="1" t="s">
        <v>1727</v>
      </c>
      <c r="D13" s="1" t="n">
        <f aca="false">D3/D4</f>
        <v>131.965775814772</v>
      </c>
      <c r="G13" s="1" t="s">
        <v>128</v>
      </c>
      <c r="H13" s="1" t="s">
        <v>1728</v>
      </c>
    </row>
    <row r="14" customFormat="false" ht="13.8" hidden="false" customHeight="false" outlineLevel="0" collapsed="false">
      <c r="A14" s="1" t="s">
        <v>1729</v>
      </c>
      <c r="B14" s="1" t="s">
        <v>928</v>
      </c>
      <c r="C14" s="1" t="s">
        <v>1730</v>
      </c>
      <c r="D14" s="1" t="n">
        <f aca="false">(60*D5/D7-D6)/(60*D5/D7)</f>
        <v>0.04</v>
      </c>
      <c r="G14" s="1" t="s">
        <v>69</v>
      </c>
      <c r="H14" s="1" t="s">
        <v>1731</v>
      </c>
    </row>
    <row r="15" customFormat="false" ht="13.8" hidden="false" customHeight="false" outlineLevel="0" collapsed="false">
      <c r="A15" s="1" t="s">
        <v>1732</v>
      </c>
      <c r="B15" s="1" t="s">
        <v>1733</v>
      </c>
      <c r="C15" s="1" t="s">
        <v>1734</v>
      </c>
      <c r="D15" s="1" t="n">
        <f aca="false">D14*D13</f>
        <v>5.27863103259086</v>
      </c>
      <c r="G15" s="1" t="s">
        <v>128</v>
      </c>
      <c r="H15" s="1" t="s">
        <v>1735</v>
      </c>
    </row>
    <row r="16" customFormat="false" ht="13.8" hidden="false" customHeight="false" outlineLevel="0" collapsed="false">
      <c r="A16" s="1" t="s">
        <v>1736</v>
      </c>
      <c r="B16" s="1" t="s">
        <v>1737</v>
      </c>
      <c r="C16" s="1" t="s">
        <v>1738</v>
      </c>
      <c r="D16" s="1" t="n">
        <f aca="false">SQRT(2)*D4*SQRT(1-D8)</f>
        <v>1.2619429464124</v>
      </c>
      <c r="G16" s="1" t="s">
        <v>121</v>
      </c>
      <c r="H16" s="1" t="s">
        <v>1739</v>
      </c>
    </row>
    <row r="17" customFormat="false" ht="13.8" hidden="false" customHeight="false" outlineLevel="0" collapsed="false">
      <c r="A17" s="1" t="s">
        <v>1740</v>
      </c>
      <c r="B17" s="1" t="s">
        <v>1741</v>
      </c>
      <c r="C17" s="1" t="s">
        <v>1742</v>
      </c>
      <c r="D17" s="1" t="n">
        <f aca="false">SQRT(2*D4^2-D16^2)</f>
        <v>2.12896688560438</v>
      </c>
      <c r="G17" s="1" t="s">
        <v>121</v>
      </c>
      <c r="H17" s="1" t="s">
        <v>1743</v>
      </c>
    </row>
    <row r="18" customFormat="false" ht="13.8" hidden="false" customHeight="false" outlineLevel="0" collapsed="false">
      <c r="A18" s="1" t="s">
        <v>1744</v>
      </c>
      <c r="B18" s="1" t="s">
        <v>1745</v>
      </c>
      <c r="C18" s="1" t="s">
        <v>1746</v>
      </c>
      <c r="D18" s="1" t="n">
        <f aca="false">2*PI()*D5-D7*2*PI()*D6/60</f>
        <v>12.5663706143592</v>
      </c>
      <c r="G18" s="1" t="s">
        <v>189</v>
      </c>
    </row>
    <row r="19" customFormat="false" ht="13.8" hidden="false" customHeight="false" outlineLevel="0" collapsed="false">
      <c r="A19" s="1" t="s">
        <v>1747</v>
      </c>
      <c r="B19" s="1" t="s">
        <v>990</v>
      </c>
      <c r="C19" s="1" t="s">
        <v>991</v>
      </c>
      <c r="D19" s="1" t="n">
        <f aca="false">D17/(D18*D16)</f>
        <v>0.134251554115888</v>
      </c>
      <c r="G19" s="1" t="s">
        <v>136</v>
      </c>
      <c r="H19" s="1" t="s">
        <v>1748</v>
      </c>
    </row>
    <row r="20" customFormat="false" ht="13.8" hidden="false" customHeight="false" outlineLevel="0" collapsed="false">
      <c r="A20" s="1" t="s">
        <v>1749</v>
      </c>
      <c r="B20" s="1" t="s">
        <v>955</v>
      </c>
      <c r="C20" s="1" t="s">
        <v>1750</v>
      </c>
      <c r="D20" s="1" t="n">
        <f aca="false">(SQRT(1-D8^2)-D8*D16/D17)*D3/D4</f>
        <v>30.8763789567964</v>
      </c>
      <c r="G20" s="1" t="s">
        <v>128</v>
      </c>
    </row>
    <row r="21" customFormat="false" ht="13.8" hidden="false" customHeight="false" outlineLevel="0" collapsed="false">
      <c r="A21" s="1" t="s">
        <v>1751</v>
      </c>
      <c r="B21" s="1" t="s">
        <v>1752</v>
      </c>
      <c r="C21" s="1" t="s">
        <v>1753</v>
      </c>
      <c r="D21" s="1" t="n">
        <f aca="false">SQRT(2)*D3/D16-D20</f>
        <v>227.929800276254</v>
      </c>
      <c r="G21" s="1" t="s">
        <v>128</v>
      </c>
    </row>
    <row r="22" customFormat="false" ht="13.8" hidden="false" customHeight="false" outlineLevel="0" collapsed="false">
      <c r="A22" s="1" t="s">
        <v>1754</v>
      </c>
      <c r="B22" s="1" t="s">
        <v>967</v>
      </c>
      <c r="C22" s="1" t="s">
        <v>968</v>
      </c>
      <c r="D22" s="1" t="n">
        <f aca="false">D18/(2*PI()*D5)*D16/D17*D21</f>
        <v>5.40420625009676</v>
      </c>
      <c r="G22" s="1" t="s">
        <v>128</v>
      </c>
      <c r="H22" s="1" t="s">
        <v>1755</v>
      </c>
    </row>
    <row r="23" customFormat="false" ht="13.8" hidden="false" customHeight="false" outlineLevel="0" collapsed="false">
      <c r="A23" s="1" t="s">
        <v>1756</v>
      </c>
      <c r="B23" s="1" t="s">
        <v>987</v>
      </c>
      <c r="C23" s="1" t="s">
        <v>988</v>
      </c>
      <c r="D23" s="1" t="n">
        <f aca="false">D20/D21</f>
        <v>0.135464423341633</v>
      </c>
      <c r="G23" s="1" t="s">
        <v>69</v>
      </c>
      <c r="H23" s="1" t="s">
        <v>1757</v>
      </c>
    </row>
    <row r="24" customFormat="false" ht="13.8" hidden="false" customHeight="false" outlineLevel="0" collapsed="false">
      <c r="A24" s="1" t="s">
        <v>1758</v>
      </c>
      <c r="B24" s="1" t="s">
        <v>1759</v>
      </c>
      <c r="C24" s="1" t="s">
        <v>435</v>
      </c>
      <c r="D24" s="1" t="n">
        <f aca="false">D21/(2*PI()*D5*D22)</f>
        <v>0.134251554115888</v>
      </c>
      <c r="G24" s="1" t="s">
        <v>136</v>
      </c>
    </row>
    <row r="25" customFormat="false" ht="13.8" hidden="false" customHeight="false" outlineLevel="0" collapsed="false">
      <c r="A25" s="1" t="s">
        <v>1760</v>
      </c>
      <c r="B25" s="1" t="s">
        <v>981</v>
      </c>
      <c r="C25" s="1" t="s">
        <v>982</v>
      </c>
      <c r="D25" s="1" t="n">
        <f aca="false">D21/(2*PI()*D5)</f>
        <v>0.725523087838286</v>
      </c>
      <c r="G25" s="1" t="s">
        <v>972</v>
      </c>
      <c r="H25" s="1" t="s">
        <v>1761</v>
      </c>
    </row>
    <row r="26" customFormat="false" ht="13.8" hidden="false" customHeight="false" outlineLevel="0" collapsed="false">
      <c r="A26" s="1" t="s">
        <v>1762</v>
      </c>
      <c r="B26" s="1" t="s">
        <v>984</v>
      </c>
      <c r="C26" s="1" t="s">
        <v>985</v>
      </c>
      <c r="D26" s="1" t="n">
        <f aca="false">D19*D15</f>
        <v>0.708664419729678</v>
      </c>
      <c r="G26" s="1" t="s">
        <v>972</v>
      </c>
      <c r="H26" s="1" t="s">
        <v>1763</v>
      </c>
    </row>
    <row r="27" customFormat="false" ht="13.8" hidden="false" customHeight="false" outlineLevel="0" collapsed="false">
      <c r="A27" s="1" t="s">
        <v>1764</v>
      </c>
      <c r="B27" s="1" t="s">
        <v>970</v>
      </c>
      <c r="C27" s="1" t="s">
        <v>971</v>
      </c>
      <c r="D27" s="1" t="n">
        <f aca="false">SQRT(D25*D26*(1-D23))</f>
        <v>0.666710611834502</v>
      </c>
      <c r="G27" s="1" t="s">
        <v>972</v>
      </c>
    </row>
    <row r="28" customFormat="false" ht="13.8" hidden="false" customHeight="false" outlineLevel="0" collapsed="false"/>
    <row r="29" customFormat="false" ht="13.8" hidden="false" customHeight="false" outlineLevel="0" collapsed="false">
      <c r="A29" s="1" t="s">
        <v>1765</v>
      </c>
    </row>
    <row r="30" customFormat="false" ht="13.8" hidden="false" customHeight="false" outlineLevel="0" collapsed="false">
      <c r="A30" s="1" t="s">
        <v>966</v>
      </c>
      <c r="B30" s="1" t="s">
        <v>967</v>
      </c>
      <c r="C30" s="1" t="s">
        <v>968</v>
      </c>
      <c r="D30" s="1" t="n">
        <f aca="false">D22</f>
        <v>5.40420625009676</v>
      </c>
      <c r="E30" s="1" t="n">
        <f aca="false">'Tính chọn'!D108/(3*Catalogue!F7^2)</f>
        <v>8.38564617644404</v>
      </c>
      <c r="F30" s="1" t="n">
        <v>8.386</v>
      </c>
      <c r="G30" s="1" t="s">
        <v>128</v>
      </c>
      <c r="H30" s="1" t="s">
        <v>1766</v>
      </c>
    </row>
    <row r="31" customFormat="false" ht="13.8" hidden="false" customHeight="false" outlineLevel="0" collapsed="false">
      <c r="A31" s="1" t="s">
        <v>950</v>
      </c>
      <c r="B31" s="1" t="s">
        <v>951</v>
      </c>
      <c r="C31" s="1" t="s">
        <v>952</v>
      </c>
      <c r="D31" s="1" t="n">
        <f aca="false">D15</f>
        <v>5.27863103259086</v>
      </c>
      <c r="E31" s="1" t="n">
        <f aca="false">'Tính chọn'!D103*'Tính chọn'!D101*'Tính chọn'!D97</f>
        <v>6.97552980999155</v>
      </c>
      <c r="F31" s="1" t="n">
        <v>6.641</v>
      </c>
      <c r="G31" s="1" t="s">
        <v>128</v>
      </c>
    </row>
    <row r="32" customFormat="false" ht="13.8" hidden="false" customHeight="false" outlineLevel="0" collapsed="false">
      <c r="A32" s="1" t="s">
        <v>1603</v>
      </c>
      <c r="B32" s="1" t="s">
        <v>975</v>
      </c>
      <c r="C32" s="1" t="s">
        <v>976</v>
      </c>
      <c r="D32" s="1" t="n">
        <f aca="false">D25-D27</f>
        <v>0.0588124760037841</v>
      </c>
      <c r="E32" s="1" t="n">
        <f aca="false">GiaDinh_K3!D27*'Tính chọn'!D105/'Tính chọn'!D99</f>
        <v>0.0417388822334615</v>
      </c>
      <c r="F32" s="1" t="n">
        <v>0.0294</v>
      </c>
      <c r="G32" s="1" t="s">
        <v>972</v>
      </c>
    </row>
    <row r="33" customFormat="false" ht="13.8" hidden="false" customHeight="false" outlineLevel="0" collapsed="false">
      <c r="A33" s="1" t="s">
        <v>1604</v>
      </c>
      <c r="B33" s="1" t="s">
        <v>978</v>
      </c>
      <c r="C33" s="1" t="s">
        <v>979</v>
      </c>
      <c r="D33" s="1" t="n">
        <f aca="false">D26-D27</f>
        <v>0.0419538078951764</v>
      </c>
      <c r="E33" s="1" t="n">
        <f aca="false">(1-GiaDinh_K3!D27)*'Tính chọn'!D105/'Tính chọn'!D99</f>
        <v>0.0417388822334615</v>
      </c>
      <c r="F33" s="1" t="n">
        <v>0.0294</v>
      </c>
      <c r="G33" s="1" t="s">
        <v>972</v>
      </c>
    </row>
    <row r="34" customFormat="false" ht="13.8" hidden="false" customHeight="false" outlineLevel="0" collapsed="false">
      <c r="A34" s="1" t="s">
        <v>969</v>
      </c>
      <c r="B34" s="1" t="s">
        <v>970</v>
      </c>
      <c r="C34" s="1" t="s">
        <v>971</v>
      </c>
      <c r="D34" s="1" t="n">
        <f aca="false">D27</f>
        <v>0.666710611834502</v>
      </c>
      <c r="E34" s="1" t="n">
        <f aca="false">'Tính chọn'!D100/'Tính chọn'!D99</f>
        <v>0.748340406641878</v>
      </c>
      <c r="F34" s="1" t="n">
        <v>0.603</v>
      </c>
      <c r="G34" s="1" t="s">
        <v>972</v>
      </c>
    </row>
    <row r="35" customFormat="false" ht="13.8" hidden="false" customHeight="false" outlineLevel="0" collapsed="false">
      <c r="A35" s="1" t="s">
        <v>1767</v>
      </c>
    </row>
    <row r="36" customFormat="false" ht="13.8" hidden="false" customHeight="false" outlineLevel="0" collapsed="false">
      <c r="A36" s="1" t="s">
        <v>937</v>
      </c>
      <c r="B36" s="1" t="s">
        <v>938</v>
      </c>
      <c r="C36" s="1" t="s">
        <v>939</v>
      </c>
      <c r="D36" s="1" t="n">
        <f aca="false">2*PI()*$D$5*D34</f>
        <v>209.453316020963</v>
      </c>
      <c r="E36" s="1" t="n">
        <f aca="false">2*PI()*$D$5*E34</f>
        <v>235.098072389052</v>
      </c>
      <c r="F36" s="1" t="n">
        <f aca="false">2*PI()*$D$5*F34</f>
        <v>189.438037011465</v>
      </c>
      <c r="G36" s="1" t="s">
        <v>128</v>
      </c>
    </row>
    <row r="37" customFormat="false" ht="13.8" hidden="false" customHeight="false" outlineLevel="0" collapsed="false">
      <c r="A37" s="1" t="s">
        <v>1768</v>
      </c>
      <c r="B37" s="1" t="s">
        <v>1769</v>
      </c>
      <c r="C37" s="1" t="s">
        <v>1770</v>
      </c>
      <c r="D37" s="1" t="n">
        <f aca="false">2*PI()*$D$5*D32</f>
        <v>18.4764842552914</v>
      </c>
      <c r="E37" s="1" t="n">
        <f aca="false">2*PI()*$D$5*E32</f>
        <v>13.1126565793692</v>
      </c>
      <c r="F37" s="1" t="n">
        <f aca="false">2*PI()*$D$5*F32</f>
        <v>9.23628240155399</v>
      </c>
      <c r="G37" s="1" t="s">
        <v>128</v>
      </c>
    </row>
    <row r="38" customFormat="false" ht="13.8" hidden="false" customHeight="false" outlineLevel="0" collapsed="false">
      <c r="A38" s="1" t="s">
        <v>1771</v>
      </c>
      <c r="B38" s="1" t="s">
        <v>1772</v>
      </c>
      <c r="C38" s="1" t="s">
        <v>1773</v>
      </c>
      <c r="D38" s="1" t="n">
        <f aca="false">2*PI()*$D$5*D33</f>
        <v>13.1801774673604</v>
      </c>
      <c r="E38" s="1" t="n">
        <f aca="false">2*PI()*$D$5*E33</f>
        <v>13.1126565793692</v>
      </c>
      <c r="F38" s="1" t="n">
        <f aca="false">2*PI()*$D$5*F33</f>
        <v>9.23628240155399</v>
      </c>
      <c r="G38" s="1" t="s">
        <v>128</v>
      </c>
    </row>
    <row r="39" customFormat="false" ht="13.8" hidden="false" customHeight="false" outlineLevel="0" collapsed="false">
      <c r="A39" s="1" t="s">
        <v>947</v>
      </c>
      <c r="B39" s="1" t="s">
        <v>948</v>
      </c>
      <c r="C39" s="1" t="s">
        <v>1774</v>
      </c>
      <c r="D39" s="1" t="str">
        <f aca="false">COMPLEX(D31/$D$14,D38)</f>
        <v>131.965775814772+13.1801774673604i</v>
      </c>
      <c r="E39" s="1" t="str">
        <f aca="false">COMPLEX(E31/$D$14,E38)</f>
        <v>174.388245249789+13.1126565793692i</v>
      </c>
      <c r="F39" s="1" t="str">
        <f aca="false">COMPLEX(F31/$D$14,F38)</f>
        <v>166.025+9.23628240155399i</v>
      </c>
      <c r="G39" s="1" t="s">
        <v>1775</v>
      </c>
    </row>
    <row r="40" customFormat="false" ht="13.8" hidden="false" customHeight="false" outlineLevel="0" collapsed="false">
      <c r="A40" s="1" t="s">
        <v>1776</v>
      </c>
      <c r="B40" s="1" t="s">
        <v>1777</v>
      </c>
      <c r="C40" s="1" t="s">
        <v>1778</v>
      </c>
      <c r="D40" s="1" t="str">
        <f aca="false">IMDIV(IMPRODUCT(COMPLEX(0,D36),D39),IMSUM(COMPLEX(0,D36),D39))</f>
        <v>86.4343784859511+63.6337842445644i</v>
      </c>
      <c r="E40" s="1" t="str">
        <f aca="false">IMDIV(IMPRODUCT(COMPLEX(0,E36),E39),IMSUM(COMPLEX(0,E36),E39))</f>
        <v>104.745153192103+86.0119296133114i</v>
      </c>
      <c r="F40" s="1" t="str">
        <f aca="false">IMDIV(IMPRODUCT(COMPLEX(0,F36),F39),IMSUM(COMPLEX(0,F36),F39))</f>
        <v>88.8794081297924+83.0802239109173i</v>
      </c>
      <c r="G40" s="1" t="s">
        <v>1775</v>
      </c>
    </row>
    <row r="41" customFormat="false" ht="13.8" hidden="false" customHeight="false" outlineLevel="0" collapsed="false">
      <c r="A41" s="1" t="s">
        <v>1779</v>
      </c>
      <c r="B41" s="1" t="s">
        <v>1780</v>
      </c>
      <c r="C41" s="1" t="s">
        <v>1779</v>
      </c>
      <c r="D41" s="1" t="str">
        <f aca="false">IMSUM(COMPLEX(D30,D37),D40)</f>
        <v>91.8385847360479+82.1102684998558i</v>
      </c>
      <c r="E41" s="1" t="str">
        <f aca="false">IMSUM(COMPLEX(E30,E37),E40)</f>
        <v>113.130799368547+99.1245861926806i</v>
      </c>
      <c r="F41" s="1" t="str">
        <f aca="false">IMSUM(COMPLEX(F30,F37),F40)</f>
        <v>97.2654081297924+92.3165063124713i</v>
      </c>
      <c r="G41" s="1" t="s">
        <v>1775</v>
      </c>
    </row>
    <row r="42" customFormat="false" ht="13.8" hidden="false" customHeight="false" outlineLevel="0" collapsed="false">
      <c r="A42" s="1" t="s">
        <v>1781</v>
      </c>
      <c r="B42" s="1" t="s">
        <v>1782</v>
      </c>
      <c r="C42" s="1" t="s">
        <v>1783</v>
      </c>
      <c r="D42" s="1" t="str">
        <f aca="false">IMDIV(COMPLEX($D$3,0),D41)</f>
        <v>1.39751074872106-1.24947464226199i</v>
      </c>
      <c r="E42" s="1" t="str">
        <f aca="false">IMDIV(COMPLEX($D$3,0),E41)</f>
        <v>1.15479743533937-1.0118271819284i</v>
      </c>
      <c r="F42" s="1" t="str">
        <f aca="false">IMDIV(COMPLEX($D$3,0),F41)</f>
        <v>1.24910262685128-1.18554779909797i</v>
      </c>
      <c r="G42" s="1" t="s">
        <v>1784</v>
      </c>
    </row>
    <row r="43" customFormat="false" ht="13.8" hidden="false" customHeight="false" outlineLevel="0" collapsed="false">
      <c r="A43" s="1" t="s">
        <v>1785</v>
      </c>
      <c r="B43" s="1" t="s">
        <v>1786</v>
      </c>
      <c r="C43" s="1" t="s">
        <v>1785</v>
      </c>
      <c r="D43" s="1" t="str">
        <f aca="false">IMPRODUCT(D42,D40)</f>
        <v>200.301772797895-19.0686666742956i</v>
      </c>
      <c r="E43" s="1" t="str">
        <f aca="false">IMPRODUCT(E42,E40)</f>
        <v>207.988642623331-6.6576374489817i</v>
      </c>
      <c r="F43" s="1" t="str">
        <f aca="false">IMPRODUCT(F42,F40)</f>
        <v>209.515078774065-1.59506076688629i</v>
      </c>
      <c r="G43" s="1" t="s">
        <v>1787</v>
      </c>
    </row>
    <row r="44" customFormat="false" ht="13.8" hidden="false" customHeight="false" outlineLevel="0" collapsed="false">
      <c r="A44" s="1" t="s">
        <v>1788</v>
      </c>
      <c r="B44" s="1" t="s">
        <v>1789</v>
      </c>
      <c r="C44" s="1" t="s">
        <v>946</v>
      </c>
      <c r="D44" s="1" t="str">
        <f aca="false">IMDIV(D43,D39)</f>
        <v>1.48855092433894-0.29316716237541i</v>
      </c>
      <c r="E44" s="1" t="str">
        <f aca="false">IMDIV(E43,E39)</f>
        <v>1.18311598929997-0.127138334802756i</v>
      </c>
      <c r="F44" s="1" t="str">
        <f aca="false">IMDIV(F43,F39)</f>
        <v>1.25752258723542-0.0795656949792228i</v>
      </c>
      <c r="G44" s="1" t="s">
        <v>1784</v>
      </c>
    </row>
    <row r="45" customFormat="false" ht="13.8" hidden="false" customHeight="false" outlineLevel="0" collapsed="false">
      <c r="A45" s="1" t="s">
        <v>1790</v>
      </c>
      <c r="B45" s="1" t="s">
        <v>1791</v>
      </c>
      <c r="C45" s="1" t="s">
        <v>1792</v>
      </c>
      <c r="D45" s="1" t="str">
        <f aca="false">IMDIV(D43,COMPLEX(0,D36))</f>
        <v>-0.0910401756178791-0.956307479886582i</v>
      </c>
      <c r="E45" s="1" t="str">
        <f aca="false">IMDIV(E43,COMPLEX(0,E36))</f>
        <v>-0.028318553960597-0.884688847125642i</v>
      </c>
      <c r="F45" s="1" t="str">
        <f aca="false">IMDIV(F43,COMPLEX(0,F36))</f>
        <v>-0.00841996038414268-1.10598210411875i</v>
      </c>
      <c r="G45" s="1" t="s">
        <v>1784</v>
      </c>
    </row>
    <row r="46" customFormat="false" ht="13.8" hidden="false" customHeight="false" outlineLevel="0" collapsed="false">
      <c r="A46" s="1" t="s">
        <v>1793</v>
      </c>
      <c r="B46" s="1" t="s">
        <v>1794</v>
      </c>
      <c r="C46" s="1" t="s">
        <v>1795</v>
      </c>
      <c r="D46" s="1" t="n">
        <f aca="false">IMABS(D42)</f>
        <v>1.8746261425806</v>
      </c>
      <c r="E46" s="1" t="n">
        <f aca="false">IMABS(E42)</f>
        <v>1.53536684956904</v>
      </c>
      <c r="F46" s="1" t="n">
        <f aca="false">IMABS(F42)</f>
        <v>1.72214429022449</v>
      </c>
      <c r="G46" s="1" t="s">
        <v>121</v>
      </c>
    </row>
    <row r="47" customFormat="false" ht="13.8" hidden="false" customHeight="false" outlineLevel="0" collapsed="false">
      <c r="A47" s="1" t="s">
        <v>1796</v>
      </c>
      <c r="B47" s="1" t="s">
        <v>1797</v>
      </c>
      <c r="C47" s="1" t="s">
        <v>1798</v>
      </c>
      <c r="D47" s="1" t="n">
        <f aca="false">IMREAL(D41)/IMABS(D41)</f>
        <v>0.745487709243857</v>
      </c>
      <c r="E47" s="1" t="n">
        <f aca="false">IMREAL(E41)/IMABS(E41)</f>
        <v>0.752131280979208</v>
      </c>
      <c r="F47" s="1" t="n">
        <f aca="false">IMREAL(F41)/IMABS(F41)</f>
        <v>0.725318217492947</v>
      </c>
      <c r="G47" s="1" t="s">
        <v>69</v>
      </c>
    </row>
    <row r="48" customFormat="false" ht="13.8" hidden="false" customHeight="false" outlineLevel="0" collapsed="false">
      <c r="A48" s="1" t="s">
        <v>1799</v>
      </c>
      <c r="B48" s="1" t="s">
        <v>1800</v>
      </c>
      <c r="C48" s="1" t="s">
        <v>1801</v>
      </c>
      <c r="D48" s="1" t="n">
        <f aca="false">3*IMABS(D44)^2*D31/$D$14/(2*PI()*$D$5/$D$7)</f>
        <v>5.80119186866193</v>
      </c>
      <c r="E48" s="1" t="n">
        <f aca="false">3*IMABS(E44)^2*E31/$D$14/(2*PI()*$D$5/$D$7)</f>
        <v>4.7158461999323</v>
      </c>
      <c r="F48" s="1" t="n">
        <f aca="false">3*IMABS(F44)^2*F31/$D$14/(2*PI()*$D$5/$D$7)</f>
        <v>5.03432911473184</v>
      </c>
      <c r="G48" s="1" t="s">
        <v>112</v>
      </c>
    </row>
    <row r="49" customFormat="false" ht="13.8" hidden="false" customHeight="false" outlineLevel="0" collapsed="false">
      <c r="A49" s="1" t="s">
        <v>1802</v>
      </c>
      <c r="B49" s="1" t="s">
        <v>1803</v>
      </c>
      <c r="C49" s="1" t="s">
        <v>1804</v>
      </c>
      <c r="D49" s="1" t="str">
        <f aca="false">IMDIV(IMPRODUCT(COMPLEX(0,D36),COMPLEX(D30,D37)),COMPLEX(D30,D37+D36))</f>
        <v>4.56100030193634+17.0868814753402i</v>
      </c>
      <c r="E49" s="1" t="str">
        <f aca="false">IMDIV(IMPRODUCT(COMPLEX(0,E36),COMPLEX(E30,E37)),COMPLEX(E30,E37+E36))</f>
        <v>7.51446655753627+12.6738032499222i</v>
      </c>
      <c r="F49" s="1" t="str">
        <f aca="false">IMDIV(IMPRODUCT(COMPLEX(0,F36),COMPLEX(F30,F37)),COMPLEX(F30,F37+F36))</f>
        <v>7.61084155365787+9.12814363759217i</v>
      </c>
      <c r="G49" s="1" t="s">
        <v>1775</v>
      </c>
    </row>
    <row r="50" customFormat="false" ht="13.8" hidden="false" customHeight="false" outlineLevel="0" collapsed="false">
      <c r="A50" s="1" t="s">
        <v>1805</v>
      </c>
      <c r="B50" s="1" t="s">
        <v>1806</v>
      </c>
      <c r="C50" s="1" t="s">
        <v>1807</v>
      </c>
      <c r="D50" s="1" t="n">
        <f aca="false">$D$3*D36/IMABS(COMPLEX(D30,D37+D36))</f>
        <v>212.159975593248</v>
      </c>
      <c r="E50" s="1" t="n">
        <f aca="false">$D$3*E36/IMABS(COMPLEX(E30,E37+E36))</f>
        <v>218.61510964786</v>
      </c>
      <c r="F50" s="1" t="n">
        <f aca="false">$D$3*F36/IMABS(COMPLEX(F30,F37+F36))</f>
        <v>220.007899801908</v>
      </c>
      <c r="G50" s="1" t="s">
        <v>300</v>
      </c>
    </row>
    <row r="51" customFormat="false" ht="13.8" hidden="false" customHeight="false" outlineLevel="0" collapsed="false">
      <c r="A51" s="1" t="s">
        <v>1808</v>
      </c>
      <c r="B51" s="1" t="s">
        <v>1809</v>
      </c>
      <c r="C51" s="1" t="s">
        <v>1810</v>
      </c>
      <c r="D51" s="1" t="n">
        <f aca="false">3*D50^2/(2*(2*PI()*$D$5/$D$7)*(IMREAL(D49)+SQRT(IMREAL(D49)^2+(IMAGINARY(D49)+D38)^2)))/$D$9</f>
        <v>2.46901317508551</v>
      </c>
      <c r="E51" s="1" t="n">
        <f aca="false">3*E50^2/(2*(2*PI()*$D$5/$D$7)*(IMREAL(E49)+SQRT(IMREAL(E49)^2+(IMAGINARY(E49)+E38)^2)))/$D$9</f>
        <v>2.68227025181248</v>
      </c>
      <c r="F51" s="1" t="n">
        <f aca="false">3*F50^2/(2*(2*PI()*$D$5/$D$7)*(IMREAL(F49)+SQRT(IMREAL(F49)^2+(IMAGINARY(F49)+F38)^2)))/$D$9</f>
        <v>3.39679657231169</v>
      </c>
      <c r="G51" s="1" t="s">
        <v>69</v>
      </c>
      <c r="H51" s="1" t="s">
        <v>1811</v>
      </c>
    </row>
    <row r="52" customFormat="false" ht="13.8" hidden="false" customHeight="false" outlineLevel="0" collapsed="false">
      <c r="A52" s="1" t="s">
        <v>1812</v>
      </c>
      <c r="B52" s="1" t="s">
        <v>1813</v>
      </c>
      <c r="C52" s="1" t="s">
        <v>1814</v>
      </c>
      <c r="D52" s="1" t="n">
        <f aca="false">D46/$D$4-1</f>
        <v>0.0712149386174865</v>
      </c>
      <c r="E52" s="1" t="n">
        <f aca="false">E46/$D$4-1</f>
        <v>-0.122647514531978</v>
      </c>
      <c r="F52" s="1" t="n">
        <f aca="false">F46/$D$4-1</f>
        <v>-0.0159175484431492</v>
      </c>
      <c r="G52" s="1" t="s">
        <v>69</v>
      </c>
    </row>
    <row r="53" customFormat="false" ht="13.8" hidden="false" customHeight="false" outlineLevel="0" collapsed="false">
      <c r="A53" s="1" t="s">
        <v>1815</v>
      </c>
      <c r="B53" s="1" t="s">
        <v>1816</v>
      </c>
      <c r="C53" s="1" t="s">
        <v>1817</v>
      </c>
      <c r="D53" s="1" t="n">
        <f aca="false">D47/$D$8-1</f>
        <v>0.00741582330250967</v>
      </c>
      <c r="E53" s="1" t="n">
        <f aca="false">E47/$D$8-1</f>
        <v>0.0163936229448751</v>
      </c>
      <c r="F53" s="1" t="n">
        <f aca="false">F47/$D$8-1</f>
        <v>-0.0198402466311527</v>
      </c>
      <c r="G53" s="1" t="s">
        <v>69</v>
      </c>
    </row>
    <row r="54" customFormat="false" ht="13.8" hidden="false" customHeight="false" outlineLevel="0" collapsed="false">
      <c r="A54" s="1" t="s">
        <v>1818</v>
      </c>
      <c r="B54" s="1" t="s">
        <v>1819</v>
      </c>
      <c r="C54" s="1" t="s">
        <v>1820</v>
      </c>
      <c r="D54" s="1" t="n">
        <f aca="false">D48/$D$9-1</f>
        <v>0.171957953265036</v>
      </c>
      <c r="E54" s="1" t="n">
        <f aca="false">E48/$D$9-1</f>
        <v>-0.0473037979934747</v>
      </c>
      <c r="F54" s="1" t="n">
        <f aca="false">F48/$D$9-1</f>
        <v>0.0170361847943112</v>
      </c>
      <c r="G54" s="1" t="s">
        <v>69</v>
      </c>
    </row>
    <row r="55" customFormat="false" ht="13.8" hidden="false" customHeight="false" outlineLevel="0" collapsed="false">
      <c r="A55" s="1" t="s">
        <v>1821</v>
      </c>
      <c r="B55" s="1" t="s">
        <v>1822</v>
      </c>
      <c r="C55" s="1" t="s">
        <v>1823</v>
      </c>
      <c r="D55" s="1" t="n">
        <f aca="false">D51/$D$10-1</f>
        <v>-0.273819654386615</v>
      </c>
      <c r="E55" s="1" t="n">
        <f aca="false">E51/$D$10-1</f>
        <v>-0.211096984761034</v>
      </c>
      <c r="F55" s="1" t="n">
        <f aca="false">F51/$D$10-1</f>
        <v>-0.000942184614210029</v>
      </c>
      <c r="G55" s="1" t="s">
        <v>69</v>
      </c>
    </row>
    <row r="56" customFormat="false" ht="13.8" hidden="false" customHeight="false" outlineLevel="0" collapsed="false">
      <c r="A56" s="1" t="s">
        <v>1824</v>
      </c>
      <c r="B56" s="1" t="s">
        <v>1825</v>
      </c>
      <c r="C56" s="1" t="s">
        <v>1826</v>
      </c>
      <c r="D56" s="1" t="n">
        <f aca="false">MAX(ABS(D52),ABS(D53),ABS(D54),ABS(D55))</f>
        <v>0.273819654386615</v>
      </c>
      <c r="E56" s="1" t="n">
        <f aca="false">MAX(ABS(E52),ABS(E53),ABS(E54),ABS(E55))</f>
        <v>0.211096984761034</v>
      </c>
      <c r="F56" s="1" t="n">
        <f aca="false">MAX(ABS(F52),ABS(F53),ABS(F54),ABS(F55))</f>
        <v>0.0198402466311527</v>
      </c>
      <c r="G56" s="1" t="s">
        <v>69</v>
      </c>
      <c r="H56" s="1" t="s">
        <v>1827</v>
      </c>
    </row>
    <row r="57" customFormat="false" ht="13.8" hidden="false" customHeight="false" outlineLevel="0" collapsed="false">
      <c r="A57" s="1" t="s">
        <v>1011</v>
      </c>
      <c r="B57" s="1" t="s">
        <v>1828</v>
      </c>
      <c r="C57" s="1" t="s">
        <v>1829</v>
      </c>
      <c r="D57" s="1" t="n">
        <f aca="false">SQRT(2)*IMABS(IMSUB(IMPRODUCT(COMPLEX(D34,0),D45),IMPRODUCT(COMPLEX(D33,0),D44)))</f>
        <v>0.901267496197814</v>
      </c>
      <c r="E57" s="1" t="n">
        <f aca="false">SQRT(2)*IMABS(IMSUB(IMPRODUCT(COMPLEX(E34,0),E45),IMPRODUCT(COMPLEX(E33,0),E44)))</f>
        <v>0.934120399826841</v>
      </c>
      <c r="F57" s="1" t="n">
        <f aca="false">SQRT(2)*IMABS(IMSUB(IMPRODUCT(COMPLEX(F34,0),F45),IMPRODUCT(COMPLEX(F33,0),F44)))</f>
        <v>0.941720409121602</v>
      </c>
      <c r="G57" s="1" t="s">
        <v>1014</v>
      </c>
    </row>
    <row r="58" customFormat="false" ht="13.8" hidden="false" customHeight="false" outlineLevel="0" collapsed="false">
      <c r="A58" s="1" t="s">
        <v>1007</v>
      </c>
      <c r="B58" s="1" t="s">
        <v>1830</v>
      </c>
      <c r="C58" s="1" t="s">
        <v>1009</v>
      </c>
      <c r="D58" s="1" t="n">
        <f aca="false">D57/D34</f>
        <v>1.35181213587993</v>
      </c>
      <c r="E58" s="1" t="n">
        <f aca="false">SQRT(2)*'Tính chọn'!D69</f>
        <v>1.38920165976784</v>
      </c>
      <c r="F58" s="1" t="n">
        <f aca="false">F57/F34</f>
        <v>1.56172538826136</v>
      </c>
      <c r="G58" s="1" t="s">
        <v>121</v>
      </c>
      <c r="H58" s="1" t="s">
        <v>1831</v>
      </c>
    </row>
    <row r="59" customFormat="false" ht="13.8" hidden="false" customHeight="false" outlineLevel="0" collapsed="false">
      <c r="A59" s="1" t="s">
        <v>1832</v>
      </c>
    </row>
    <row r="60" customFormat="false" ht="13.8" hidden="false" customHeight="false" outlineLevel="0" collapsed="false">
      <c r="A60" s="1" t="s">
        <v>1833</v>
      </c>
      <c r="B60" s="1" t="s">
        <v>1834</v>
      </c>
      <c r="C60" s="1" t="s">
        <v>1833</v>
      </c>
      <c r="D60" s="1" t="n">
        <v>3</v>
      </c>
      <c r="G60" s="1" t="s">
        <v>69</v>
      </c>
      <c r="H60" s="1" t="s">
        <v>1835</v>
      </c>
    </row>
    <row r="61" customFormat="false" ht="13.8" hidden="false" customHeight="false" outlineLevel="0" collapsed="false">
      <c r="A61" s="1" t="s">
        <v>1836</v>
      </c>
      <c r="B61" s="1" t="s">
        <v>967</v>
      </c>
      <c r="C61" s="1" t="s">
        <v>968</v>
      </c>
      <c r="D61" s="1" t="n">
        <f aca="false">INDEX(D30:F30,1,$D$60)</f>
        <v>8.386</v>
      </c>
      <c r="G61" s="1" t="s">
        <v>128</v>
      </c>
      <c r="H61" s="1" t="s">
        <v>1837</v>
      </c>
    </row>
    <row r="62" customFormat="false" ht="13.8" hidden="false" customHeight="false" outlineLevel="0" collapsed="false">
      <c r="A62" s="1" t="s">
        <v>1838</v>
      </c>
      <c r="B62" s="1" t="s">
        <v>951</v>
      </c>
      <c r="C62" s="1" t="s">
        <v>952</v>
      </c>
      <c r="D62" s="1" t="n">
        <f aca="false">INDEX(D31:F31,1,$D$60)</f>
        <v>6.641</v>
      </c>
      <c r="G62" s="1" t="s">
        <v>128</v>
      </c>
      <c r="H62" s="1" t="s">
        <v>1837</v>
      </c>
    </row>
    <row r="63" customFormat="false" ht="13.8" hidden="false" customHeight="false" outlineLevel="0" collapsed="false">
      <c r="A63" s="1" t="s">
        <v>1839</v>
      </c>
      <c r="B63" s="1" t="s">
        <v>975</v>
      </c>
      <c r="C63" s="1" t="s">
        <v>976</v>
      </c>
      <c r="D63" s="1" t="n">
        <f aca="false">INDEX(D32:F32,1,$D$60)</f>
        <v>0.0294</v>
      </c>
      <c r="G63" s="1" t="s">
        <v>972</v>
      </c>
      <c r="H63" s="1" t="s">
        <v>1837</v>
      </c>
    </row>
    <row r="64" customFormat="false" ht="13.8" hidden="false" customHeight="false" outlineLevel="0" collapsed="false">
      <c r="A64" s="1" t="s">
        <v>1840</v>
      </c>
      <c r="B64" s="1" t="s">
        <v>978</v>
      </c>
      <c r="C64" s="1" t="s">
        <v>979</v>
      </c>
      <c r="D64" s="1" t="n">
        <f aca="false">INDEX(D33:F33,1,$D$60)</f>
        <v>0.0294</v>
      </c>
      <c r="G64" s="1" t="s">
        <v>972</v>
      </c>
      <c r="H64" s="1" t="s">
        <v>1837</v>
      </c>
    </row>
    <row r="65" customFormat="false" ht="13.8" hidden="false" customHeight="false" outlineLevel="0" collapsed="false">
      <c r="A65" s="1" t="s">
        <v>1841</v>
      </c>
      <c r="B65" s="1" t="s">
        <v>970</v>
      </c>
      <c r="C65" s="1" t="s">
        <v>971</v>
      </c>
      <c r="D65" s="1" t="n">
        <f aca="false">INDEX(D34:F34,1,$D$60)</f>
        <v>0.603</v>
      </c>
      <c r="G65" s="1" t="s">
        <v>972</v>
      </c>
      <c r="H65" s="1" t="s">
        <v>1837</v>
      </c>
    </row>
    <row r="66" customFormat="false" ht="13.8" hidden="false" customHeight="false" outlineLevel="0" collapsed="false">
      <c r="A66" s="1" t="s">
        <v>1842</v>
      </c>
      <c r="B66" s="1" t="s">
        <v>1843</v>
      </c>
      <c r="C66" s="1" t="s">
        <v>1009</v>
      </c>
      <c r="D66" s="1" t="n">
        <f aca="false">INDEX(D58:F58,1,$D$60)</f>
        <v>1.56172538826136</v>
      </c>
      <c r="G66" s="1" t="s">
        <v>121</v>
      </c>
      <c r="H66" s="1" t="s">
        <v>1837</v>
      </c>
    </row>
    <row r="67" customFormat="false" ht="13.8" hidden="false" customHeight="false" outlineLevel="0" collapsed="false">
      <c r="A67" s="1" t="s">
        <v>1844</v>
      </c>
      <c r="B67" s="1" t="s">
        <v>1845</v>
      </c>
      <c r="C67" s="1" t="s">
        <v>1826</v>
      </c>
      <c r="D67" s="1" t="n">
        <f aca="false">INDEX(D56:F56,1,$D$60)</f>
        <v>0.0198402466311527</v>
      </c>
      <c r="G67" s="1" t="s">
        <v>69</v>
      </c>
      <c r="H67" s="1" t="s">
        <v>1846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2026-10-25T01:21:31Z</dcterms:created>
  <dc:creator>openpyxl</dc:creator>
  <dc:description/>
  <dc:language>en-US</dc:language>
  <cp:lastModifiedBy/>
  <dcterms:modified xsi:type="dcterms:W3CDTF">2026-10-28T11:08:23Z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