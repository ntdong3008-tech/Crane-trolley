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Catalogue" sheetId="3" state="visible" r:id="rId3"/>
    <sheet xmlns:r="http://schemas.openxmlformats.org/officeDocument/2006/relationships" name="Phu_tai" sheetId="4" state="visible" r:id="rId4"/>
    <sheet xmlns:r="http://schemas.openxmlformats.org/officeDocument/2006/relationships" name="Chon_DC" sheetId="5" state="visible" r:id="rId5"/>
    <sheet xmlns:r="http://schemas.openxmlformats.org/officeDocument/2006/relationships" name="Tham_so_DC" sheetId="6" state="visible" r:id="rId6"/>
    <sheet xmlns:r="http://schemas.openxmlformats.org/officeDocument/2006/relationships" name="Thiet_bi" sheetId="7" state="visible" r:id="rId7"/>
    <sheet xmlns:r="http://schemas.openxmlformats.org/officeDocument/2006/relationships" name="Kiem_tr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"/>
    <numFmt numFmtId="166" formatCode="0.000000"/>
    <numFmt numFmtId="167" formatCode="0.0000"/>
    <numFmt numFmtId="168" formatCode="0.00000"/>
    <numFmt numFmtId="169" formatCode="0.0%"/>
  </numFmts>
  <fonts count="7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  <font>
      <b val="1"/>
      <color rgb="00FFFFFF"/>
    </font>
    <font>
      <b val="1"/>
      <color rgb="001F4E79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Vận tốc v(t)</a:t>
            </a:r>
          </a:p>
        </rich>
      </tx>
    </title>
    <plotArea>
      <scatterChart>
        <ser>
          <idx val="0"/>
          <order val="0"/>
          <tx>
            <strRef>
              <f>'Phu_tai'!K1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'Phu_tai'!$I$2:$I$231</f>
            </numRef>
          </xVal>
          <yVal>
            <numRef>
              <f>'Phu_tai'!$K$2:$K$231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 (m/s)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Gia tốc a(t)</a:t>
            </a:r>
          </a:p>
        </rich>
      </tx>
    </title>
    <plotArea>
      <scatterChart>
        <ser>
          <idx val="0"/>
          <order val="0"/>
          <tx>
            <strRef>
              <f>'Phu_tai'!J1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'Phu_tai'!$I$2:$I$231</f>
            </numRef>
          </xVal>
          <yVal>
            <numRef>
              <f>'Phu_tai'!$J$2:$J$231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 (m/s²)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Mô-men trục động cơ</a:t>
            </a:r>
          </a:p>
        </rich>
      </tx>
    </title>
    <plotArea>
      <scatterChart>
        <ser>
          <idx val="0"/>
          <order val="0"/>
          <tx>
            <strRef>
              <f>'Phu_tai'!L1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'Phu_tai'!$I$2:$I$231</f>
            </numRef>
          </xVal>
          <yVal>
            <numRef>
              <f>'Phu_tai'!$L$2:$L$231</f>
            </numRef>
          </yVal>
        </ser>
        <ser>
          <idx val="1"/>
          <order val="1"/>
          <tx>
            <strRef>
              <f>'Phu_tai'!M1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'Phu_tai'!$I$2:$I$231</f>
            </numRef>
          </xVal>
          <yVal>
            <numRef>
              <f>'Phu_tai'!$M$2:$M$231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 (N·m)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17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33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TÍNH TOÁN CHỌN ĐỘNG CƠ, BIẾN TẦN, R_h — XE CON CẦU TRỤC DẦM ĐÔI (x = 2) — BẢN RÚT GỌN v2.0</t>
        </is>
      </c>
    </row>
    <row r="2">
      <c r="A2" s="2" t="inlineStr">
        <is>
          <t>Ngày lập: 28/10/2026. Áp dụng CR-19 (nhật ký: Block 3/04_SRS_A1_Dan_xuat_RTM_DVP_WCCA_v1.0.md §1). Bản v1.5 giữ nguyên làm lịch sử.</t>
        </is>
      </c>
    </row>
    <row r="3">
      <c r="A3" s="2" t="inlineStr">
        <is>
          <t>Mục đích: chỉ giữ chuỗi tính phục vụ chọn thiết bị: phụ tải → quy đổi → chọn động cơ (nhiệt + quá tải) → 14 tham số động cơ + hiệu chỉnh → biến tần, R_h, phanh.</t>
        </is>
      </c>
    </row>
    <row r="4">
      <c r="A4" s="2" t="inlineStr">
        <is>
          <t>Phần thiết kế bộ điều khiển PI, mô hình 2 khối lượng, DC-link, giảm từ thông, kịch bản mô phỏng, WCCA: để ở khối điều khiển/mô phỏng (xem v1.5).</t>
        </is>
      </c>
    </row>
    <row r="5">
      <c r="A5" s="2" t="inlineStr"/>
    </row>
    <row r="6">
      <c r="A6" s="3" t="inlineStr">
        <is>
          <t>Thứ tự đọc các sheet:</t>
        </is>
      </c>
    </row>
    <row r="7">
      <c r="A7" s="2" t="inlineStr">
        <is>
          <t>1. Params — số liệu đề bài [A], tính toán [B], giả định nhóm [C] (ô nền vàng = ô nhập).</t>
        </is>
      </c>
    </row>
    <row r="8">
      <c r="A8" s="2" t="inlineStr">
        <is>
          <t>2. Catalogue — số liệu động cơ SEW DRN.., biến tần ABB ACS380, phanh BE, hộp số, R_h (nguồn [W-xx]).</t>
        </is>
      </c>
    </row>
    <row r="9">
      <c r="A9" s="2" t="inlineStr">
        <is>
          <t>3. Phu_tai — lực cản, quy đổi về trục động cơ, quỹ đạo S-curve, chu trình S3-40%, đồ thị phụ tải.</t>
        </is>
      </c>
    </row>
    <row r="10">
      <c r="A10" s="2" t="inlineStr">
        <is>
          <t>4. Chon_DC — so sánh 4 động cơ ứng viên và ảnh hưởng của gia tốc đặt a* tới cỡ động cơ.</t>
        </is>
      </c>
    </row>
    <row r="11">
      <c r="A11" s="2" t="inlineStr">
        <is>
          <t>5. Tham_so_DC — 14 công thức (Class_3_AC_Motor_Drive slide 9–11), bộ hiệu chỉnh, kiểm chứng với catalogue.</t>
        </is>
      </c>
    </row>
    <row r="12">
      <c r="A12" s="2" t="inlineStr">
        <is>
          <t>6. Thiet_bi — biến tần, điện trở hãm R_h, phanh cơ, hộp số, cầu chì.</t>
        </is>
      </c>
    </row>
    <row r="13">
      <c r="A13" s="2" t="inlineStr">
        <is>
          <t>7. Kiem_tra — tổng hợp các điều kiện ĐẠT / KHÔNG ĐẠT.</t>
        </is>
      </c>
    </row>
    <row r="14">
      <c r="A14" s="2" t="inlineStr"/>
    </row>
    <row r="15">
      <c r="A15" s="2" t="inlineStr">
        <is>
          <t>Ký hiệu nguồn: [A] đề bài; [B] tính từ [A]; [C] giả định nhóm. [W-xx]: Tài liệu tham khảo/Catalogue web/. [R..]: Tài liệu tham khảo/00_Danh_muc_tai_lieu_tham_khao.md.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4" customWidth="1" min="3" max="3"/>
    <col width="14" customWidth="1" min="4" max="4"/>
    <col width="10" customWidth="1" min="5" max="5"/>
    <col width="52" customWidth="1" min="6" max="6"/>
    <col width="30" customWidth="1" min="7" max="7"/>
    <col width="8" customWidth="1" min="8" max="8"/>
  </cols>
  <sheetData>
    <row r="1">
      <c r="A1" s="4" t="inlineStr">
        <is>
          <t>Mã</t>
        </is>
      </c>
      <c r="B1" s="4" t="inlineStr">
        <is>
          <t>Đại lượng</t>
        </is>
      </c>
      <c r="C1" s="4" t="inlineStr">
        <is>
          <t>Ký hiệu</t>
        </is>
      </c>
      <c r="D1" s="4" t="inlineStr">
        <is>
          <t>Giá trị</t>
        </is>
      </c>
      <c r="E1" s="4" t="inlineStr">
        <is>
          <t>Đơn vị</t>
        </is>
      </c>
      <c r="F1" s="4" t="inlineStr">
        <is>
          <t>Công thức / Ghi chú</t>
        </is>
      </c>
      <c r="G1" s="4" t="inlineStr">
        <is>
          <t>Nguồn</t>
        </is>
      </c>
      <c r="H1" s="4" t="inlineStr">
        <is>
          <t>Loại</t>
        </is>
      </c>
    </row>
    <row r="2">
      <c r="A2" s="5" t="inlineStr">
        <is>
          <t>A. Thông số gốc SSoT P-01..P-20 (Block 1/00_Bang_thong_so_goc_SSoT.md)</t>
        </is>
      </c>
      <c r="B2" s="6" t="n"/>
      <c r="C2" s="6" t="n"/>
      <c r="D2" s="6" t="n"/>
      <c r="E2" s="6" t="n"/>
      <c r="F2" s="6" t="n"/>
      <c r="G2" s="6" t="n"/>
    </row>
    <row r="3">
      <c r="A3" t="inlineStr">
        <is>
          <t>Q</t>
        </is>
      </c>
      <c r="B3" s="7" t="inlineStr">
        <is>
          <t>Tải trọng nâng định mức (P-01)</t>
        </is>
      </c>
      <c r="C3" t="inlineStr">
        <is>
          <t>Q</t>
        </is>
      </c>
      <c r="D3" s="8" t="n">
        <v>12222</v>
      </c>
      <c r="E3" t="inlineStr">
        <is>
          <t>kg</t>
        </is>
      </c>
      <c r="F3" s="7" t="inlineStr"/>
      <c r="G3" s="7" t="inlineStr">
        <is>
          <t>Đề bài x = 2</t>
        </is>
      </c>
      <c r="H3" t="inlineStr">
        <is>
          <t>[A]</t>
        </is>
      </c>
    </row>
    <row r="4">
      <c r="A4" t="inlineStr">
        <is>
          <t>mnh</t>
        </is>
      </c>
      <c r="B4" s="7" t="inlineStr">
        <is>
          <t>Khối lượng cơ cấu nâng hạ (P-02)</t>
        </is>
      </c>
      <c r="C4" t="inlineStr">
        <is>
          <t>m_nh</t>
        </is>
      </c>
      <c r="D4" s="8" t="n">
        <v>222</v>
      </c>
      <c r="E4" t="inlineStr">
        <is>
          <t>kg</t>
        </is>
      </c>
      <c r="F4" s="7" t="inlineStr"/>
      <c r="G4" s="7" t="inlineStr">
        <is>
          <t>Đề bài x = 2</t>
        </is>
      </c>
      <c r="H4" t="inlineStr">
        <is>
          <t>[A]</t>
        </is>
      </c>
    </row>
    <row r="5">
      <c r="A5" t="inlineStr">
        <is>
          <t>mxc</t>
        </is>
      </c>
      <c r="B5" s="7" t="inlineStr">
        <is>
          <t>Khối lượng xe con (P-03)</t>
        </is>
      </c>
      <c r="C5" t="inlineStr">
        <is>
          <t>m_xc</t>
        </is>
      </c>
      <c r="D5" s="8" t="n">
        <v>1800</v>
      </c>
      <c r="E5" t="inlineStr">
        <is>
          <t>kg</t>
        </is>
      </c>
      <c r="F5" s="7" t="inlineStr">
        <is>
          <t>≈ 15% Q</t>
        </is>
      </c>
      <c r="G5" s="7" t="inlineStr">
        <is>
          <t>SSoT P-03</t>
        </is>
      </c>
      <c r="H5" t="inlineStr">
        <is>
          <t>[C]</t>
        </is>
      </c>
    </row>
    <row r="6">
      <c r="A6" t="inlineStr">
        <is>
          <t>M</t>
        </is>
      </c>
      <c r="B6" s="7" t="inlineStr">
        <is>
          <t>Tổng khối lượng đầy tải (P-04)</t>
        </is>
      </c>
      <c r="C6" t="inlineStr">
        <is>
          <t>M_Σ</t>
        </is>
      </c>
      <c r="D6">
        <f>Params!$D$3+Params!$D$4+Params!$D$5</f>
        <v/>
      </c>
      <c r="E6" t="inlineStr">
        <is>
          <t>kg</t>
        </is>
      </c>
      <c r="F6" s="7" t="inlineStr">
        <is>
          <t>Q + m_nh + m_xc</t>
        </is>
      </c>
      <c r="G6" s="7" t="inlineStr"/>
      <c r="H6" t="inlineStr">
        <is>
          <t>[B]</t>
        </is>
      </c>
    </row>
    <row r="7">
      <c r="A7" t="inlineStr">
        <is>
          <t>m0</t>
        </is>
      </c>
      <c r="B7" s="7" t="inlineStr">
        <is>
          <t>Tổng khối lượng không tải (P-05)</t>
        </is>
      </c>
      <c r="C7" t="inlineStr">
        <is>
          <t>m_0</t>
        </is>
      </c>
      <c r="D7">
        <f>Params!$D$4+Params!$D$5</f>
        <v/>
      </c>
      <c r="E7" t="inlineStr">
        <is>
          <t>kg</t>
        </is>
      </c>
      <c r="F7" s="7" t="inlineStr">
        <is>
          <t>m_nh + m_xc</t>
        </is>
      </c>
      <c r="G7" s="7" t="inlineStr"/>
      <c r="H7" t="inlineStr">
        <is>
          <t>[B]</t>
        </is>
      </c>
    </row>
    <row r="8">
      <c r="A8" t="inlineStr">
        <is>
          <t>h</t>
        </is>
      </c>
      <c r="B8" s="7" t="inlineStr">
        <is>
          <t>Chiều dài cáp lớn nhất (P-06)</t>
        </is>
      </c>
      <c r="C8" t="inlineStr">
        <is>
          <t>h</t>
        </is>
      </c>
      <c r="D8" s="8" t="n">
        <v>12</v>
      </c>
      <c r="E8" t="inlineStr">
        <is>
          <t>m</t>
        </is>
      </c>
      <c r="F8" s="7" t="inlineStr"/>
      <c r="G8" s="7" t="inlineStr">
        <is>
          <t>Đề bài x = 2</t>
        </is>
      </c>
      <c r="H8" t="inlineStr">
        <is>
          <t>[A]</t>
        </is>
      </c>
    </row>
    <row r="9">
      <c r="A9" t="inlineStr">
        <is>
          <t>g</t>
        </is>
      </c>
      <c r="B9" s="7" t="inlineStr">
        <is>
          <t>Gia tốc trọng trường (P-18)</t>
        </is>
      </c>
      <c r="C9" t="inlineStr">
        <is>
          <t>g</t>
        </is>
      </c>
      <c r="D9" s="8" t="n">
        <v>9.81</v>
      </c>
      <c r="E9" t="inlineStr">
        <is>
          <t>m/s²</t>
        </is>
      </c>
      <c r="F9" s="7" t="inlineStr"/>
      <c r="G9" s="7" t="inlineStr"/>
      <c r="H9" t="inlineStr">
        <is>
          <t>[C]</t>
        </is>
      </c>
    </row>
    <row r="10">
      <c r="A10" t="inlineStr">
        <is>
          <t>wp</t>
        </is>
      </c>
      <c r="B10" s="7" t="inlineStr">
        <is>
          <t>Tần số góc con lắc (P-07)</t>
        </is>
      </c>
      <c r="C10" t="inlineStr">
        <is>
          <t>ω_p</t>
        </is>
      </c>
      <c r="D10" s="9">
        <f>SQRT(Params!$D$9/Params!$D$8)</f>
        <v/>
      </c>
      <c r="E10" t="inlineStr">
        <is>
          <t>rad/s</t>
        </is>
      </c>
      <c r="F10" s="7" t="inlineStr">
        <is>
          <t>√(g/h)</t>
        </is>
      </c>
      <c r="G10" s="7" t="inlineStr"/>
      <c r="H10" t="inlineStr">
        <is>
          <t>[B]</t>
        </is>
      </c>
    </row>
    <row r="11">
      <c r="A11" t="inlineStr">
        <is>
          <t>Tp</t>
        </is>
      </c>
      <c r="B11" s="7" t="inlineStr">
        <is>
          <t>Chu kỳ con lắc (P-08)</t>
        </is>
      </c>
      <c r="C11" t="inlineStr">
        <is>
          <t>T_p</t>
        </is>
      </c>
      <c r="D11" s="10">
        <f>2*PI()/Params!$D$10</f>
        <v/>
      </c>
      <c r="E11" t="inlineStr">
        <is>
          <t>s</t>
        </is>
      </c>
      <c r="F11" s="7" t="inlineStr">
        <is>
          <t>2π/ω_p</t>
        </is>
      </c>
      <c r="G11" s="7" t="inlineStr"/>
      <c r="H11" t="inlineStr">
        <is>
          <t>[B]</t>
        </is>
      </c>
    </row>
    <row r="12">
      <c r="A12" t="inlineStr">
        <is>
          <t>v</t>
        </is>
      </c>
      <c r="B12" s="7" t="inlineStr">
        <is>
          <t>Vận tốc di chuyển lớn nhất (P-09)</t>
        </is>
      </c>
      <c r="C12" t="inlineStr">
        <is>
          <t>v_max</t>
        </is>
      </c>
      <c r="D12" s="8" t="n">
        <v>0.12</v>
      </c>
      <c r="E12" t="inlineStr">
        <is>
          <t>m/s</t>
        </is>
      </c>
      <c r="F12" s="7" t="inlineStr">
        <is>
          <t>Dung sai nghiệm thu ±5% (SRS-PERM-02)</t>
        </is>
      </c>
      <c r="G12" s="7" t="inlineStr">
        <is>
          <t>Đề bài x = 2</t>
        </is>
      </c>
      <c r="H12" t="inlineStr">
        <is>
          <t>[A]</t>
        </is>
      </c>
    </row>
    <row r="13">
      <c r="A13" t="inlineStr">
        <is>
          <t>amax</t>
        </is>
      </c>
      <c r="B13" s="7" t="inlineStr">
        <is>
          <t>Gia tốc cho phép lớn nhất (P-10)</t>
        </is>
      </c>
      <c r="C13" t="inlineStr">
        <is>
          <t>a_max</t>
        </is>
      </c>
      <c r="D13" s="8" t="n">
        <v>0.5</v>
      </c>
      <c r="E13" t="inlineStr">
        <is>
          <t>m/s²</t>
        </is>
      </c>
      <c r="F13" s="7" t="inlineStr">
        <is>
          <t>Giới hạn trên (CR-09)</t>
        </is>
      </c>
      <c r="G13" s="7" t="inlineStr">
        <is>
          <t>Đề bài</t>
        </is>
      </c>
      <c r="H13" t="inlineStr">
        <is>
          <t>[A]</t>
        </is>
      </c>
    </row>
    <row r="14">
      <c r="A14" t="inlineStr">
        <is>
          <t>rmax</t>
        </is>
      </c>
      <c r="B14" s="7" t="inlineStr">
        <is>
          <t>Độ giật cho phép lớn nhất (P-11)</t>
        </is>
      </c>
      <c r="C14" t="inlineStr">
        <is>
          <t>ρ_max</t>
        </is>
      </c>
      <c r="D14" s="8" t="n">
        <v>2</v>
      </c>
      <c r="E14" t="inlineStr">
        <is>
          <t>m/s³</t>
        </is>
      </c>
      <c r="F14" s="7" t="inlineStr">
        <is>
          <t>Giới hạn trên (CR-09)</t>
        </is>
      </c>
      <c r="G14" s="7" t="inlineStr">
        <is>
          <t>Đề bài</t>
        </is>
      </c>
      <c r="H14" t="inlineStr">
        <is>
          <t>[A]</t>
        </is>
      </c>
    </row>
    <row r="15">
      <c r="A15" t="inlineStr">
        <is>
          <t>D</t>
        </is>
      </c>
      <c r="B15" s="7" t="inlineStr">
        <is>
          <t>Đường kính bánh xe (P-12)</t>
        </is>
      </c>
      <c r="C15" t="inlineStr">
        <is>
          <t>D_bx</t>
        </is>
      </c>
      <c r="D15" s="8" t="n">
        <v>0.25</v>
      </c>
      <c r="E15" t="inlineStr">
        <is>
          <t>m</t>
        </is>
      </c>
      <c r="F15" s="7" t="inlineStr"/>
      <c r="G15" s="7" t="inlineStr">
        <is>
          <t>SSoT P-12</t>
        </is>
      </c>
      <c r="H15" t="inlineStr">
        <is>
          <t>[C]</t>
        </is>
      </c>
    </row>
    <row r="16">
      <c r="A16" t="inlineStr">
        <is>
          <t>w0</t>
        </is>
      </c>
      <c r="B16" s="7" t="inlineStr">
        <is>
          <t>Suất cản lăn (P-13)</t>
        </is>
      </c>
      <c r="C16" t="inlineStr">
        <is>
          <t>w_0</t>
        </is>
      </c>
      <c r="D16" s="8" t="n">
        <v>0.015</v>
      </c>
      <c r="E16" t="inlineStr">
        <is>
          <t>-</t>
        </is>
      </c>
      <c r="F16" s="7" t="inlineStr">
        <is>
          <t>Tính kiểm 0.013–0.018 (SSoT Phần 1b)</t>
        </is>
      </c>
      <c r="G16" s="7" t="inlineStr">
        <is>
          <t>SSoT P-13</t>
        </is>
      </c>
      <c r="H16" t="inlineStr">
        <is>
          <t>[C]</t>
        </is>
      </c>
    </row>
    <row r="17">
      <c r="A17" t="inlineStr">
        <is>
          <t>phi</t>
        </is>
      </c>
      <c r="B17" s="7" t="inlineStr">
        <is>
          <t>Hệ số bám bánh thép/ray (P-14)</t>
        </is>
      </c>
      <c r="C17" t="inlineStr">
        <is>
          <t>φ</t>
        </is>
      </c>
      <c r="D17" s="8" t="n">
        <v>0.2</v>
      </c>
      <c r="E17" t="inlineStr">
        <is>
          <t>-</t>
        </is>
      </c>
      <c r="F17" s="7" t="inlineStr"/>
      <c r="G17" s="7" t="inlineStr">
        <is>
          <t>SSoT P-14</t>
        </is>
      </c>
      <c r="H17" t="inlineStr">
        <is>
          <t>[C]</t>
        </is>
      </c>
    </row>
    <row r="18">
      <c r="A18" t="inlineStr">
        <is>
          <t>eta</t>
        </is>
      </c>
      <c r="B18" s="7" t="inlineStr">
        <is>
          <t>Hiệu suất cơ khí (P-15)</t>
        </is>
      </c>
      <c r="C18" t="inlineStr">
        <is>
          <t>η</t>
        </is>
      </c>
      <c r="D18" s="8" t="n">
        <v>0.9</v>
      </c>
      <c r="E18" t="inlineStr">
        <is>
          <t>-</t>
        </is>
      </c>
      <c r="F18" s="7" t="inlineStr"/>
      <c r="G18" s="7" t="inlineStr">
        <is>
          <t>SSoT P-15</t>
        </is>
      </c>
      <c r="H18" t="inlineStr">
        <is>
          <t>[C]</t>
        </is>
      </c>
    </row>
    <row r="19">
      <c r="A19" t="inlineStr">
        <is>
          <t>CD</t>
        </is>
      </c>
      <c r="B19" s="7" t="inlineStr">
        <is>
          <t>Hệ số đóng điện S3 (P-17)</t>
        </is>
      </c>
      <c r="C19" t="inlineStr">
        <is>
          <t>CD</t>
        </is>
      </c>
      <c r="D19" s="8" t="n">
        <v>0.4</v>
      </c>
      <c r="E19" t="inlineStr">
        <is>
          <t>-</t>
        </is>
      </c>
      <c r="F19" s="7" t="inlineStr">
        <is>
          <t>S3-40%</t>
        </is>
      </c>
      <c r="G19" s="7" t="inlineStr">
        <is>
          <t>IEC 60034-1 [R4] tr.23</t>
        </is>
      </c>
      <c r="H19" t="inlineStr">
        <is>
          <t>[C]</t>
        </is>
      </c>
    </row>
    <row r="20">
      <c r="A20" t="inlineStr">
        <is>
          <t>Tck</t>
        </is>
      </c>
      <c r="B20" s="7" t="inlineStr">
        <is>
          <t>Chu kỳ chuẩn S3 (P-17)</t>
        </is>
      </c>
      <c r="C20" t="inlineStr">
        <is>
          <t>T_ck</t>
        </is>
      </c>
      <c r="D20" s="8" t="n">
        <v>600</v>
      </c>
      <c r="E20" t="inlineStr">
        <is>
          <t>s</t>
        </is>
      </c>
      <c r="F20" s="7" t="inlineStr">
        <is>
          <t>10 phút</t>
        </is>
      </c>
      <c r="G20" s="7" t="inlineStr">
        <is>
          <t>IEC 60034-1 [R4] tr.23</t>
        </is>
      </c>
      <c r="H20" t="inlineStr">
        <is>
          <t>[C]</t>
        </is>
      </c>
    </row>
    <row r="21">
      <c r="A21" t="inlineStr">
        <is>
          <t>U</t>
        </is>
      </c>
      <c r="B21" s="7" t="inlineStr">
        <is>
          <t>Điện áp lưới danh định (P-19)</t>
        </is>
      </c>
      <c r="C21" t="inlineStr">
        <is>
          <t>U_lưới</t>
        </is>
      </c>
      <c r="D21" s="8" t="n">
        <v>380</v>
      </c>
      <c r="E21" t="inlineStr">
        <is>
          <t>V</t>
        </is>
      </c>
      <c r="F21" s="7" t="inlineStr">
        <is>
          <t>Dao động ±10%</t>
        </is>
      </c>
      <c r="G21" s="7" t="inlineStr">
        <is>
          <t>SSoT P-19</t>
        </is>
      </c>
      <c r="H21" t="inlineStr">
        <is>
          <t>[C]</t>
        </is>
      </c>
    </row>
    <row r="22">
      <c r="A22" t="inlineStr">
        <is>
          <t>dU</t>
        </is>
      </c>
      <c r="B22" s="7" t="inlineStr">
        <is>
          <t>Dao động điện áp lưới (P-19)</t>
        </is>
      </c>
      <c r="C22" t="inlineStr">
        <is>
          <t>ΔU</t>
        </is>
      </c>
      <c r="D22" s="8" t="n">
        <v>0.1</v>
      </c>
      <c r="E22" t="inlineStr">
        <is>
          <t>-</t>
        </is>
      </c>
      <c r="F22" s="7" t="inlineStr"/>
      <c r="G22" s="7" t="inlineStr">
        <is>
          <t>SSoT P-19</t>
        </is>
      </c>
      <c r="H22" t="inlineStr">
        <is>
          <t>[C]</t>
        </is>
      </c>
    </row>
    <row r="23">
      <c r="A23" t="inlineStr">
        <is>
          <t>f</t>
        </is>
      </c>
      <c r="B23" s="7" t="inlineStr">
        <is>
          <t>Tần số lưới (P-19)</t>
        </is>
      </c>
      <c r="C23" t="inlineStr">
        <is>
          <t>f</t>
        </is>
      </c>
      <c r="D23" s="8" t="n">
        <v>50</v>
      </c>
      <c r="E23" t="inlineStr">
        <is>
          <t>Hz</t>
        </is>
      </c>
      <c r="F23" s="7" t="inlineStr"/>
      <c r="G23" s="7" t="inlineStr">
        <is>
          <t>SSoT P-19</t>
        </is>
      </c>
      <c r="H23" t="inlineStr">
        <is>
          <t>[C]</t>
        </is>
      </c>
    </row>
    <row r="24">
      <c r="A24" t="inlineStr">
        <is>
          <t>Fc</t>
        </is>
      </c>
      <c r="B24" s="7" t="inlineStr">
        <is>
          <t>Lực cản tĩnh đầy tải (P-20)</t>
        </is>
      </c>
      <c r="C24" t="inlineStr">
        <is>
          <t>F_c</t>
        </is>
      </c>
      <c r="D24" s="11">
        <f>Params!$D$6*Params!$D$9*Params!$D$16</f>
        <v/>
      </c>
      <c r="E24" t="inlineStr">
        <is>
          <t>N</t>
        </is>
      </c>
      <c r="F24" s="7" t="inlineStr">
        <is>
          <t>M_Σ·g·w_0</t>
        </is>
      </c>
      <c r="G24" s="7" t="inlineStr"/>
      <c r="H24" t="inlineStr">
        <is>
          <t>[B]</t>
        </is>
      </c>
    </row>
    <row r="25">
      <c r="A25" s="5" t="inlineStr">
        <is>
          <t>B. Giả định thiết kế [C] — lượng đặt quỹ đạo theo CR-19</t>
        </is>
      </c>
      <c r="B25" s="6" t="n"/>
      <c r="C25" s="6" t="n"/>
      <c r="D25" s="6" t="n"/>
      <c r="E25" s="6" t="n"/>
      <c r="F25" s="6" t="n"/>
      <c r="G25" s="6" t="n"/>
    </row>
    <row r="26">
      <c r="A26" t="inlineStr">
        <is>
          <t>aset</t>
        </is>
      </c>
      <c r="B26" s="7" t="inlineStr">
        <is>
          <t>Gia tốc đặt S-curve (CR-19)</t>
        </is>
      </c>
      <c r="C26" t="inlineStr">
        <is>
          <t>a*</t>
        </is>
      </c>
      <c r="D26" s="8" t="n">
        <v>0.1</v>
      </c>
      <c r="E26" t="inlineStr">
        <is>
          <t>m/s²</t>
        </is>
      </c>
      <c r="F26" s="7" t="inlineStr">
        <is>
          <t>Chọn trong giới hạn a ≤ a_max. Lý do: sheet Chon_DC mục B; CR-19</t>
        </is>
      </c>
      <c r="G26" s="7" t="inlineStr">
        <is>
          <t>CR-19</t>
        </is>
      </c>
      <c r="H26" t="inlineStr">
        <is>
          <t>[C]</t>
        </is>
      </c>
    </row>
    <row r="27">
      <c r="A27" t="inlineStr">
        <is>
          <t>rset</t>
        </is>
      </c>
      <c r="B27" s="7" t="inlineStr">
        <is>
          <t>Độ giật đặt S-curve (CR-19)</t>
        </is>
      </c>
      <c r="C27" t="inlineStr">
        <is>
          <t>ρ*</t>
        </is>
      </c>
      <c r="D27" s="8" t="n">
        <v>0.4</v>
      </c>
      <c r="E27" t="inlineStr">
        <is>
          <t>m/s³</t>
        </is>
      </c>
      <c r="F27" s="7" t="inlineStr">
        <is>
          <t>ρ*/a* = 4 s⁻¹ ⇒ đoạn tăng/giảm độ giật T_j = 0.25 s như bản cũ</t>
        </is>
      </c>
      <c r="G27" s="7" t="inlineStr">
        <is>
          <t>CR-19</t>
        </is>
      </c>
      <c r="H27" t="inlineStr">
        <is>
          <t>[C]</t>
        </is>
      </c>
    </row>
    <row r="28">
      <c r="A28" t="inlineStr">
        <is>
          <t>delta</t>
        </is>
      </c>
      <c r="B28" s="7" t="inlineStr">
        <is>
          <t>Hệ số kể quán tính hộp số, khớp nối</t>
        </is>
      </c>
      <c r="C28" t="inlineStr">
        <is>
          <t>δ</t>
        </is>
      </c>
      <c r="D28" s="8" t="n">
        <v>1.15</v>
      </c>
      <c r="E28" t="inlineStr">
        <is>
          <t>-</t>
        </is>
      </c>
      <c r="F28" s="7" t="inlineStr">
        <is>
          <t>Quán tính động cơ + phanh J_B cộng riêng (không tính trùng)</t>
        </is>
      </c>
      <c r="G28" s="7" t="inlineStr">
        <is>
          <t>WORKFLOW §4.2-B4</t>
        </is>
      </c>
      <c r="H28" t="inlineStr">
        <is>
          <t>[C]</t>
        </is>
      </c>
    </row>
    <row r="29">
      <c r="A29" t="inlineStr">
        <is>
          <t>kdan</t>
        </is>
      </c>
      <c r="B29" s="7" t="inlineStr">
        <is>
          <t>Tỷ lệ trọng lượng trên bánh dẫn</t>
        </is>
      </c>
      <c r="C29" t="inlineStr">
        <is>
          <t>k_dẫn</t>
        </is>
      </c>
      <c r="D29" s="8" t="n">
        <v>0.5</v>
      </c>
      <c r="E29" t="inlineStr">
        <is>
          <t>-</t>
        </is>
      </c>
      <c r="F29" s="7" t="inlineStr">
        <is>
          <t>2/4 bánh dẫn (SAD TO-02)</t>
        </is>
      </c>
      <c r="G29" s="7" t="inlineStr">
        <is>
          <t>SAD §3.2</t>
        </is>
      </c>
      <c r="H29" t="inlineStr">
        <is>
          <t>[C]</t>
        </is>
      </c>
    </row>
    <row r="30">
      <c r="A30" t="inlineStr">
        <is>
          <t>nht</t>
        </is>
      </c>
      <c r="B30" s="7" t="inlineStr">
        <is>
          <t>Số hành trình mỗi chu kỳ S3</t>
        </is>
      </c>
      <c r="C30" t="inlineStr">
        <is>
          <t>n_ht</t>
        </is>
      </c>
      <c r="D30" s="8" t="n">
        <v>2</v>
      </c>
      <c r="E30" t="inlineStr">
        <is>
          <t>-</t>
        </is>
      </c>
      <c r="F30" s="7" t="inlineStr">
        <is>
          <t>1 đầy tải (Tiến) + 1 không tải (Lùi)</t>
        </is>
      </c>
      <c r="G30" s="7" t="inlineStr">
        <is>
          <t>SSoT Phần 1b</t>
        </is>
      </c>
      <c r="H30" t="inlineStr">
        <is>
          <t>[C]</t>
        </is>
      </c>
    </row>
    <row r="31">
      <c r="A31" t="inlineStr">
        <is>
          <t>kbmin</t>
        </is>
      </c>
      <c r="B31" s="7" t="inlineStr">
        <is>
          <t>Hệ số an toàn bám tối thiểu</t>
        </is>
      </c>
      <c r="C31" t="inlineStr">
        <is>
          <t>k_bám,min</t>
        </is>
      </c>
      <c r="D31" s="8" t="n">
        <v>1.2</v>
      </c>
      <c r="E31" t="inlineStr">
        <is>
          <t>-</t>
        </is>
      </c>
      <c r="F31" s="7" t="inlineStr">
        <is>
          <t>SRS-PERM-01</t>
        </is>
      </c>
      <c r="G31" s="7" t="inlineStr">
        <is>
          <t>SRS-PERM-01</t>
        </is>
      </c>
      <c r="H31" t="inlineStr">
        <is>
          <t>[C]</t>
        </is>
      </c>
    </row>
    <row r="32">
      <c r="A32" t="inlineStr">
        <is>
          <t>kdtmin</t>
        </is>
      </c>
      <c r="B32" s="7" t="inlineStr">
        <is>
          <t>Hệ số dự trữ nhiệt tối thiểu</t>
        </is>
      </c>
      <c r="C32" t="inlineStr">
        <is>
          <t>k_dt,min</t>
        </is>
      </c>
      <c r="D32" s="8" t="n">
        <v>1.2</v>
      </c>
      <c r="E32" t="inlineStr">
        <is>
          <t>-</t>
        </is>
      </c>
      <c r="F32" s="7" t="inlineStr">
        <is>
          <t>SRS-PERM-04 (SRS A.1)</t>
        </is>
      </c>
      <c r="G32" s="7" t="inlineStr">
        <is>
          <t>SRS-PERM-04</t>
        </is>
      </c>
      <c r="H32" t="inlineStr">
        <is>
          <t>[C]</t>
        </is>
      </c>
    </row>
    <row r="33">
      <c r="A33" t="inlineStr">
        <is>
          <t>klam</t>
        </is>
      </c>
      <c r="B33" s="7" t="inlineStr">
        <is>
          <t>Hệ số dự trữ quá tải mô-men tối thiểu</t>
        </is>
      </c>
      <c r="C33" t="inlineStr">
        <is>
          <t>k_λ,min</t>
        </is>
      </c>
      <c r="D33" s="8" t="n">
        <v>1.2</v>
      </c>
      <c r="E33" t="inlineStr">
        <is>
          <t>-</t>
        </is>
      </c>
      <c r="F33" s="7" t="inlineStr">
        <is>
          <t>M_max ≤ λ_K(U_min/U_N)²·M_N / 1.2</t>
        </is>
      </c>
      <c r="G33" s="7" t="inlineStr">
        <is>
          <t>Giả định nhóm</t>
        </is>
      </c>
      <c r="H33" t="inlineStr">
        <is>
          <t>[C]</t>
        </is>
      </c>
    </row>
    <row r="34">
      <c r="A34" t="inlineStr">
        <is>
          <t>UN</t>
        </is>
      </c>
      <c r="B34" s="7" t="inlineStr">
        <is>
          <t>Điện áp định mức động cơ</t>
        </is>
      </c>
      <c r="C34" t="inlineStr">
        <is>
          <t>U_N</t>
        </is>
      </c>
      <c r="D34" s="8" t="n">
        <v>400</v>
      </c>
      <c r="E34" t="inlineStr">
        <is>
          <t>V</t>
        </is>
      </c>
      <c r="F34" s="7" t="inlineStr">
        <is>
          <t>Động cơ DRN 400 V/50 Hz</t>
        </is>
      </c>
      <c r="G34" s="7" t="inlineStr">
        <is>
          <t>[W-01]</t>
        </is>
      </c>
      <c r="H34" t="inlineStr">
        <is>
          <t>[C]</t>
        </is>
      </c>
    </row>
    <row r="35">
      <c r="A35" t="inlineStr">
        <is>
          <t>pp</t>
        </is>
      </c>
      <c r="B35" s="7" t="inlineStr">
        <is>
          <t>Số đôi cực</t>
        </is>
      </c>
      <c r="C35" t="inlineStr">
        <is>
          <t>p</t>
        </is>
      </c>
      <c r="D35" s="8" t="n">
        <v>2</v>
      </c>
      <c r="E35" t="inlineStr">
        <is>
          <t>-</t>
        </is>
      </c>
      <c r="F35" s="7" t="inlineStr">
        <is>
          <t>Động cơ 4 cực</t>
        </is>
      </c>
      <c r="G35" s="7" t="inlineStr">
        <is>
          <t>[W-01]</t>
        </is>
      </c>
      <c r="H35" t="inlineStr">
        <is>
          <t>[C]</t>
        </is>
      </c>
    </row>
    <row r="36">
      <c r="A36" t="inlineStr">
        <is>
          <t>einv</t>
        </is>
      </c>
      <c r="B36" s="7" t="inlineStr">
        <is>
          <t>Hiệu suất biến tần</t>
        </is>
      </c>
      <c r="C36" t="inlineStr">
        <is>
          <t>η_inv</t>
        </is>
      </c>
      <c r="D36" s="8" t="n">
        <v>0.97</v>
      </c>
      <c r="E36" t="inlineStr">
        <is>
          <t>-</t>
        </is>
      </c>
      <c r="F36" s="7" t="inlineStr">
        <is>
          <t>Giá trị điển hình</t>
        </is>
      </c>
      <c r="G36" s="7" t="inlineStr">
        <is>
          <t>Giả định</t>
        </is>
      </c>
      <c r="H36" t="inlineStr">
        <is>
          <t>[C]</t>
        </is>
      </c>
    </row>
    <row r="37">
      <c r="A37" t="inlineStr">
        <is>
          <t>kp</t>
        </is>
      </c>
      <c r="B37" s="7" t="inlineStr">
        <is>
          <t>Hệ số an toàn phanh giữ</t>
        </is>
      </c>
      <c r="C37" t="inlineStr">
        <is>
          <t>k_p</t>
        </is>
      </c>
      <c r="D37" s="8" t="n">
        <v>1.25</v>
      </c>
      <c r="E37" t="inlineStr">
        <is>
          <t>-</t>
        </is>
      </c>
      <c r="F37" s="7" t="inlineStr"/>
      <c r="G37" s="7" t="inlineStr">
        <is>
          <t>TCVN 4244 §1.5.3.3 [R1]</t>
        </is>
      </c>
      <c r="H37" t="inlineStr">
        <is>
          <t>[C]</t>
        </is>
      </c>
    </row>
    <row r="38">
      <c r="A38" t="inlineStr">
        <is>
          <t>khold</t>
        </is>
      </c>
      <c r="B38" s="7" t="inlineStr">
        <is>
          <t>Mô-men thử trước khi nhả phanh (bội số M_N)</t>
        </is>
      </c>
      <c r="C38" t="inlineStr">
        <is>
          <t>M_hold/M_N</t>
        </is>
      </c>
      <c r="D38" s="8" t="n">
        <v>1</v>
      </c>
      <c r="E38" t="inlineStr">
        <is>
          <t>-</t>
        </is>
      </c>
      <c r="F38" s="7" t="inlineStr"/>
      <c r="G38" s="7" t="inlineStr">
        <is>
          <t>SDD §5</t>
        </is>
      </c>
      <c r="H38" t="inlineStr">
        <is>
          <t>[C]</t>
        </is>
      </c>
    </row>
    <row r="39">
      <c r="A39" t="inlineStr">
        <is>
          <t>ktest</t>
        </is>
      </c>
      <c r="B39" s="7" t="inlineStr">
        <is>
          <t>Hệ số dự trữ phanh khi thử mô-men</t>
        </is>
      </c>
      <c r="C39" t="inlineStr">
        <is>
          <t>k_thử</t>
        </is>
      </c>
      <c r="D39" s="8" t="n">
        <v>1.2</v>
      </c>
      <c r="E39" t="inlineStr">
        <is>
          <t>-</t>
        </is>
      </c>
      <c r="F39" s="7" t="inlineStr"/>
      <c r="G39" s="7" t="inlineStr">
        <is>
          <t>SDD §5</t>
        </is>
      </c>
      <c r="H39" t="inlineStr">
        <is>
          <t>[C]</t>
        </is>
      </c>
    </row>
    <row r="40">
      <c r="A40" t="inlineStr">
        <is>
          <t>kfe</t>
        </is>
      </c>
      <c r="B40" s="7" t="inlineStr">
        <is>
          <t>Tỷ lệ tổn hao sắt + cơ + phụ trong tổng tổn hao</t>
        </is>
      </c>
      <c r="C40" t="inlineStr">
        <is>
          <t>k_Fe</t>
        </is>
      </c>
      <c r="D40" s="8" t="n">
        <v>0.3</v>
      </c>
      <c r="E40" t="inlineStr">
        <is>
          <t>-</t>
        </is>
      </c>
      <c r="F40" s="7" t="inlineStr">
        <is>
          <t>Dùng tách R_s từ cân bằng công suất</t>
        </is>
      </c>
      <c r="G40" s="7" t="inlineStr">
        <is>
          <t>Giả định</t>
        </is>
      </c>
      <c r="H40" t="inlineStr">
        <is>
          <t>[C]</t>
        </is>
      </c>
    </row>
    <row r="41">
      <c r="A41" t="inlineStr">
        <is>
          <t>Uchop</t>
        </is>
      </c>
      <c r="B41" s="7" t="inlineStr">
        <is>
          <t>Ngưỡng mở chopper</t>
        </is>
      </c>
      <c r="C41" t="inlineStr">
        <is>
          <t>U_chop</t>
        </is>
      </c>
      <c r="D41" s="8" t="n">
        <v>700</v>
      </c>
      <c r="E41" t="inlineStr">
        <is>
          <t>V</t>
        </is>
      </c>
      <c r="F41" s="7" t="inlineStr">
        <is>
          <t>Tham số mô hình (CR-17)</t>
        </is>
      </c>
      <c r="G41" s="7" t="inlineStr">
        <is>
          <t>SRS Baseline A §4 #3</t>
        </is>
      </c>
      <c r="H41" t="inlineStr">
        <is>
          <t>[C]</t>
        </is>
      </c>
    </row>
    <row r="42">
      <c r="A42" t="inlineStr">
        <is>
          <t>iin</t>
        </is>
      </c>
      <c r="B42" s="7" t="inlineStr">
        <is>
          <t>Tỷ số truyền hộp số SEW R87</t>
        </is>
      </c>
      <c r="C42" t="inlineStr">
        <is>
          <t>i_thực</t>
        </is>
      </c>
      <c r="D42" s="8" t="n">
        <v>155.34</v>
      </c>
      <c r="E42" t="inlineStr">
        <is>
          <t>-</t>
        </is>
      </c>
      <c r="F42" s="7" t="inlineStr">
        <is>
          <t>SEW Drive Selection</t>
        </is>
      </c>
      <c r="G42" s="7" t="inlineStr">
        <is>
          <t>[W-06]</t>
        </is>
      </c>
      <c r="H42" t="inlineStr">
        <is>
          <t>[C]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9" customWidth="1" min="9" max="9"/>
    <col width="40" customWidth="1" min="10" max="10"/>
  </cols>
  <sheetData>
    <row r="1">
      <c r="A1" s="4" t="inlineStr">
        <is>
          <t>Mã</t>
        </is>
      </c>
      <c r="B1" s="4" t="inlineStr">
        <is>
          <t>Thông số</t>
        </is>
      </c>
      <c r="C1" s="4" t="inlineStr">
        <is>
          <t>Ký hiệu</t>
        </is>
      </c>
      <c r="D1" s="4" t="inlineStr">
        <is>
          <t>Ứng viên 1</t>
        </is>
      </c>
      <c r="E1" s="4" t="inlineStr">
        <is>
          <t>Ứng viên 2</t>
        </is>
      </c>
      <c r="F1" s="4" t="inlineStr">
        <is>
          <t>Ứng viên 3</t>
        </is>
      </c>
      <c r="G1" s="4" t="inlineStr">
        <is>
          <t>Ứng viên 4</t>
        </is>
      </c>
      <c r="H1" s="4" t="inlineStr">
        <is>
          <t>Đang chọn</t>
        </is>
      </c>
      <c r="I1" s="4" t="inlineStr">
        <is>
          <t>Đơn vị</t>
        </is>
      </c>
      <c r="J1" s="4" t="inlineStr">
        <is>
          <t>Nguồn</t>
        </is>
      </c>
    </row>
    <row r="2">
      <c r="A2" s="5" t="inlineStr">
        <is>
          <t>Ô chọn thiết bị (nhập số thứ tự cột ứng viên)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t="inlineStr">
        <is>
          <t>sel_mot</t>
        </is>
      </c>
      <c r="B3" t="inlineStr">
        <is>
          <t>Động cơ đang chọn (1..4)</t>
        </is>
      </c>
      <c r="D3" s="8" t="n">
        <v>2</v>
      </c>
      <c r="J3" t="inlineStr">
        <is>
          <t>2 = DRN71M4 (kết quả sheet Chon_DC)</t>
        </is>
      </c>
    </row>
    <row r="4">
      <c r="A4" t="inlineStr">
        <is>
          <t>sel_inv</t>
        </is>
      </c>
      <c r="B4" t="inlineStr">
        <is>
          <t>Biến tần đang chọn (1..3)</t>
        </is>
      </c>
      <c r="D4" s="8" t="n">
        <v>1</v>
      </c>
      <c r="J4" t="inlineStr">
        <is>
          <t>1 = ACS380-04xS-01A8-4 (kết quả sheet Thiet_bi)</t>
        </is>
      </c>
    </row>
    <row r="5">
      <c r="A5" s="5" t="inlineStr">
        <is>
          <t>Động cơ SEW DRN.. IE3, 400 V, 50 Hz, 4 cực, S1 — [W-01] tr.866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t="inlineStr">
        <is>
          <t>mname</t>
        </is>
      </c>
      <c r="B6" t="inlineStr">
        <is>
          <t>Mã động cơ</t>
        </is>
      </c>
      <c r="C6" t="inlineStr"/>
      <c r="D6" s="8" t="inlineStr">
        <is>
          <t>DRN71MS4</t>
        </is>
      </c>
      <c r="E6" s="8" t="inlineStr">
        <is>
          <t>DRN71M4</t>
        </is>
      </c>
      <c r="F6" s="8" t="inlineStr">
        <is>
          <t>DRN80MK4</t>
        </is>
      </c>
      <c r="G6" s="8" t="inlineStr">
        <is>
          <t>DRN80M4</t>
        </is>
      </c>
      <c r="H6">
        <f>INDEX($D$6:$G$6,Catalogue!$D$3)</f>
        <v/>
      </c>
      <c r="I6" t="inlineStr"/>
      <c r="J6" s="12" t="inlineStr">
        <is>
          <t>[W-01] tr.866</t>
        </is>
      </c>
    </row>
    <row r="7">
      <c r="A7" t="inlineStr">
        <is>
          <t>PN</t>
        </is>
      </c>
      <c r="B7" t="inlineStr">
        <is>
          <t>Công suất định mức</t>
        </is>
      </c>
      <c r="C7" t="inlineStr">
        <is>
          <t>P_N</t>
        </is>
      </c>
      <c r="D7" s="8" t="n">
        <v>0.25</v>
      </c>
      <c r="E7" s="8" t="n">
        <v>0.37</v>
      </c>
      <c r="F7" s="8" t="n">
        <v>0.55</v>
      </c>
      <c r="G7" s="8" t="n">
        <v>0.75</v>
      </c>
      <c r="H7">
        <f>INDEX($D$7:$G$7,Catalogue!$D$3)</f>
        <v/>
      </c>
      <c r="I7" t="inlineStr">
        <is>
          <t>kW</t>
        </is>
      </c>
      <c r="J7" s="12" t="inlineStr">
        <is>
          <t>[W-01] tr.866</t>
        </is>
      </c>
    </row>
    <row r="8">
      <c r="A8" t="inlineStr">
        <is>
          <t>MN</t>
        </is>
      </c>
      <c r="B8" t="inlineStr">
        <is>
          <t>Mô-men định mức</t>
        </is>
      </c>
      <c r="C8" t="inlineStr">
        <is>
          <t>M_N</t>
        </is>
      </c>
      <c r="D8" s="8" t="n">
        <v>1.7</v>
      </c>
      <c r="E8" s="8" t="n">
        <v>2.5</v>
      </c>
      <c r="F8" s="8" t="n">
        <v>3.65</v>
      </c>
      <c r="G8" s="8" t="n">
        <v>4.95</v>
      </c>
      <c r="H8">
        <f>INDEX($D$8:$G$8,Catalogue!$D$3)</f>
        <v/>
      </c>
      <c r="I8" t="inlineStr">
        <is>
          <t>N·m</t>
        </is>
      </c>
      <c r="J8" s="12" t="inlineStr">
        <is>
          <t>[W-01] tr.866</t>
        </is>
      </c>
    </row>
    <row r="9">
      <c r="A9" t="inlineStr">
        <is>
          <t>nN</t>
        </is>
      </c>
      <c r="B9" t="inlineStr">
        <is>
          <t>Tốc độ định mức</t>
        </is>
      </c>
      <c r="C9" t="inlineStr">
        <is>
          <t>n_N</t>
        </is>
      </c>
      <c r="D9" s="8" t="n">
        <v>1405</v>
      </c>
      <c r="E9" s="8" t="n">
        <v>1415</v>
      </c>
      <c r="F9" s="8" t="n">
        <v>1435</v>
      </c>
      <c r="G9" s="8" t="n">
        <v>1440</v>
      </c>
      <c r="H9">
        <f>INDEX($D$9:$G$9,Catalogue!$D$3)</f>
        <v/>
      </c>
      <c r="I9" t="inlineStr">
        <is>
          <t>vg/ph</t>
        </is>
      </c>
      <c r="J9" s="12" t="inlineStr">
        <is>
          <t>[W-01] tr.866</t>
        </is>
      </c>
    </row>
    <row r="10">
      <c r="A10" t="inlineStr">
        <is>
          <t>IN</t>
        </is>
      </c>
      <c r="B10" t="inlineStr">
        <is>
          <t>Dòng định mức (400 V)</t>
        </is>
      </c>
      <c r="C10" t="inlineStr">
        <is>
          <t>I_N</t>
        </is>
      </c>
      <c r="D10" s="8" t="n">
        <v>0.72</v>
      </c>
      <c r="E10" s="8" t="n">
        <v>1.02</v>
      </c>
      <c r="F10" s="8" t="n">
        <v>1.29</v>
      </c>
      <c r="G10" s="8" t="n">
        <v>1.75</v>
      </c>
      <c r="H10">
        <f>INDEX($D$10:$G$10,Catalogue!$D$3)</f>
        <v/>
      </c>
      <c r="I10" t="inlineStr">
        <is>
          <t>A</t>
        </is>
      </c>
      <c r="J10" s="12" t="inlineStr">
        <is>
          <t>[W-01] tr.866</t>
        </is>
      </c>
    </row>
    <row r="11">
      <c r="A11" t="inlineStr">
        <is>
          <t>cos</t>
        </is>
      </c>
      <c r="B11" t="inlineStr">
        <is>
          <t>Hệ số công suất</t>
        </is>
      </c>
      <c r="C11" t="inlineStr">
        <is>
          <t>cosφ_N</t>
        </is>
      </c>
      <c r="D11" s="8" t="n">
        <v>0.66</v>
      </c>
      <c r="E11" s="8" t="n">
        <v>0.66</v>
      </c>
      <c r="F11" s="8" t="n">
        <v>0.75</v>
      </c>
      <c r="G11" s="8" t="n">
        <v>0.74</v>
      </c>
      <c r="H11">
        <f>INDEX($D$11:$G$11,Catalogue!$D$3)</f>
        <v/>
      </c>
      <c r="I11" t="inlineStr">
        <is>
          <t>-</t>
        </is>
      </c>
      <c r="J11" s="12" t="inlineStr">
        <is>
          <t>[W-01] tr.866</t>
        </is>
      </c>
    </row>
    <row r="12">
      <c r="A12" t="inlineStr">
        <is>
          <t>eff</t>
        </is>
      </c>
      <c r="B12" t="inlineStr">
        <is>
          <t>Hiệu suất 100% tải</t>
        </is>
      </c>
      <c r="C12" t="inlineStr">
        <is>
          <t>η_đc</t>
        </is>
      </c>
      <c r="D12" s="8" t="n">
        <v>0.735</v>
      </c>
      <c r="E12" s="8" t="n">
        <v>0.773</v>
      </c>
      <c r="F12" s="8" t="n">
        <v>0.8080000000000001</v>
      </c>
      <c r="G12" s="8" t="n">
        <v>0.829</v>
      </c>
      <c r="H12">
        <f>INDEX($D$12:$G$12,Catalogue!$D$3)</f>
        <v/>
      </c>
      <c r="I12" t="inlineStr">
        <is>
          <t>-</t>
        </is>
      </c>
      <c r="J12" s="12" t="inlineStr">
        <is>
          <t>[W-01] tr.866</t>
        </is>
      </c>
    </row>
    <row r="13">
      <c r="A13" t="inlineStr">
        <is>
          <t>MA</t>
        </is>
      </c>
      <c r="B13" t="inlineStr">
        <is>
          <t>Bội số mô-men khởi động</t>
        </is>
      </c>
      <c r="C13" t="inlineStr">
        <is>
          <t>M_A/M_N</t>
        </is>
      </c>
      <c r="D13" s="8" t="n">
        <v>2.5</v>
      </c>
      <c r="E13" s="8" t="n">
        <v>2.8</v>
      </c>
      <c r="F13" s="8" t="n">
        <v>2.7</v>
      </c>
      <c r="G13" s="8" t="n">
        <v>3.1</v>
      </c>
      <c r="H13">
        <f>INDEX($D$13:$G$13,Catalogue!$D$3)</f>
        <v/>
      </c>
      <c r="I13" t="inlineStr">
        <is>
          <t>-</t>
        </is>
      </c>
      <c r="J13" s="12" t="inlineStr">
        <is>
          <t>[W-01] tr.866</t>
        </is>
      </c>
    </row>
    <row r="14">
      <c r="A14" t="inlineStr">
        <is>
          <t>lamK</t>
        </is>
      </c>
      <c r="B14" t="inlineStr">
        <is>
          <t>Bội số mô-men tới hạn</t>
        </is>
      </c>
      <c r="C14" t="inlineStr">
        <is>
          <t>λ_K</t>
        </is>
      </c>
      <c r="D14" s="8" t="n">
        <v>2.5</v>
      </c>
      <c r="E14" s="8" t="n">
        <v>2.8</v>
      </c>
      <c r="F14" s="8" t="n">
        <v>3.1</v>
      </c>
      <c r="G14" s="8" t="n">
        <v>3.4</v>
      </c>
      <c r="H14">
        <f>INDEX($D$14:$G$14,Catalogue!$D$3)</f>
        <v/>
      </c>
      <c r="I14" t="inlineStr">
        <is>
          <t>-</t>
        </is>
      </c>
      <c r="J14" s="12" t="inlineStr">
        <is>
          <t>[W-01] tr.866</t>
        </is>
      </c>
    </row>
    <row r="15">
      <c r="A15" t="inlineStr">
        <is>
          <t>JB</t>
        </is>
      </c>
      <c r="B15" t="inlineStr">
        <is>
          <t>Quán tính rotor kèm phanh</t>
        </is>
      </c>
      <c r="C15" t="inlineStr">
        <is>
          <t>J_BMot</t>
        </is>
      </c>
      <c r="D15" s="8" t="n">
        <v>0.00262</v>
      </c>
      <c r="E15" s="8" t="n">
        <v>0.00262</v>
      </c>
      <c r="F15" s="8" t="n">
        <v>0.00262</v>
      </c>
      <c r="G15" s="8" t="n">
        <v>0.00262</v>
      </c>
      <c r="H15">
        <f>INDEX($D$15:$G$15,Catalogue!$D$3)</f>
        <v/>
      </c>
      <c r="I15" t="inlineStr">
        <is>
          <t>kg·m²</t>
        </is>
      </c>
      <c r="J15" s="12" t="inlineStr">
        <is>
          <t>DRN80M4: 26.2×10⁻⁴ [W-02] tr.25. Khung DRN71/80MK chưa có số trong kho → lấy bằng DRN80M4 làm cận trên [C] (bảo thủ; ảnh hưởng &lt; 0.33 N·m tại a* = 0.1)</t>
        </is>
      </c>
    </row>
    <row r="16">
      <c r="A16" s="5" t="inlineStr">
        <is>
          <t>Biến tần ABB ACS380, 3 pha 400 V — [W-05] tr.12 (định mức), tr.24 (chopper); [W-08] (cầu chì)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t="inlineStr">
        <is>
          <t>iname</t>
        </is>
      </c>
      <c r="B17" t="inlineStr">
        <is>
          <t>Mã biến tần</t>
        </is>
      </c>
      <c r="C17" t="inlineStr"/>
      <c r="D17" s="8" t="inlineStr">
        <is>
          <t>ACS380-04xS-01A8-4</t>
        </is>
      </c>
      <c r="E17" s="8" t="inlineStr">
        <is>
          <t>ACS380-04xS-02A6-4</t>
        </is>
      </c>
      <c r="F17" s="8" t="inlineStr">
        <is>
          <t>ACS380-04xS-03A3-4</t>
        </is>
      </c>
      <c r="H17">
        <f>INDEX($D$17:$F$17,Catalogue!$D$4)</f>
        <v/>
      </c>
      <c r="I17" t="inlineStr"/>
      <c r="J17" s="12" t="inlineStr">
        <is>
          <t>[W-05] tr.12</t>
        </is>
      </c>
    </row>
    <row r="18">
      <c r="A18" t="inlineStr">
        <is>
          <t>IinvN</t>
        </is>
      </c>
      <c r="B18" t="inlineStr">
        <is>
          <t>Dòng định mức</t>
        </is>
      </c>
      <c r="C18" t="inlineStr">
        <is>
          <t>I_N,inv</t>
        </is>
      </c>
      <c r="D18" s="8" t="n">
        <v>1.8</v>
      </c>
      <c r="E18" s="8" t="n">
        <v>2.6</v>
      </c>
      <c r="F18" s="8" t="n">
        <v>3.3</v>
      </c>
      <c r="H18">
        <f>INDEX($D$18:$F$18,Catalogue!$D$4)</f>
        <v/>
      </c>
      <c r="I18" t="inlineStr">
        <is>
          <t>A</t>
        </is>
      </c>
      <c r="J18" s="12" t="inlineStr">
        <is>
          <t>[W-05] tr.12</t>
        </is>
      </c>
    </row>
    <row r="19">
      <c r="A19" t="inlineStr">
        <is>
          <t>IHd</t>
        </is>
      </c>
      <c r="B19" t="inlineStr">
        <is>
          <t>Dòng heavy-duty (cho phép 150% trong 1 phút/10 phút)</t>
        </is>
      </c>
      <c r="C19" t="inlineStr">
        <is>
          <t>I_Hd</t>
        </is>
      </c>
      <c r="D19" s="8" t="n">
        <v>1.2</v>
      </c>
      <c r="E19" s="8" t="n">
        <v>1.8</v>
      </c>
      <c r="F19" s="8" t="n">
        <v>2.6</v>
      </c>
      <c r="H19">
        <f>INDEX($D$19:$F$19,Catalogue!$D$4)</f>
        <v/>
      </c>
      <c r="I19" t="inlineStr">
        <is>
          <t>A</t>
        </is>
      </c>
      <c r="J19" s="12" t="inlineStr">
        <is>
          <t>[W-05] tr.12</t>
        </is>
      </c>
    </row>
    <row r="20">
      <c r="A20" t="inlineStr">
        <is>
          <t>PHd</t>
        </is>
      </c>
      <c r="B20" t="inlineStr">
        <is>
          <t>Công suất heavy-duty</t>
        </is>
      </c>
      <c r="C20" t="inlineStr">
        <is>
          <t>P_Hd</t>
        </is>
      </c>
      <c r="D20" s="8" t="n">
        <v>0.37</v>
      </c>
      <c r="E20" s="8" t="n">
        <v>0.55</v>
      </c>
      <c r="F20" s="8" t="n">
        <v>0.75</v>
      </c>
      <c r="H20">
        <f>INDEX($D$20:$F$20,Catalogue!$D$4)</f>
        <v/>
      </c>
      <c r="I20" t="inlineStr">
        <is>
          <t>kW</t>
        </is>
      </c>
      <c r="J20" s="12" t="inlineStr">
        <is>
          <t>[W-05] tr.12</t>
        </is>
      </c>
    </row>
    <row r="21">
      <c r="A21" t="inlineStr">
        <is>
          <t>Imax</t>
        </is>
      </c>
      <c r="B21" t="inlineStr">
        <is>
          <t>Dòng ra cực đại</t>
        </is>
      </c>
      <c r="C21" t="inlineStr">
        <is>
          <t>I_max</t>
        </is>
      </c>
      <c r="D21" s="8" t="n">
        <v>2.2</v>
      </c>
      <c r="E21" s="8" t="n">
        <v>3.2</v>
      </c>
      <c r="F21" s="8" t="n">
        <v>4.7</v>
      </c>
      <c r="H21">
        <f>INDEX($D$21:$F$21,Catalogue!$D$4)</f>
        <v/>
      </c>
      <c r="I21" t="inlineStr">
        <is>
          <t>A</t>
        </is>
      </c>
      <c r="J21" s="12" t="inlineStr">
        <is>
          <t>[W-05] tr.12</t>
        </is>
      </c>
    </row>
    <row r="22">
      <c r="A22" t="inlineStr">
        <is>
          <t>Rmin</t>
        </is>
      </c>
      <c r="B22" t="inlineStr">
        <is>
          <t>Điện trở hãm tối thiểu</t>
        </is>
      </c>
      <c r="C22" t="inlineStr">
        <is>
          <t>R_min</t>
        </is>
      </c>
      <c r="D22" s="8" t="n">
        <v>99</v>
      </c>
      <c r="E22" s="8" t="n">
        <v>99</v>
      </c>
      <c r="F22" s="8" t="n">
        <v>99</v>
      </c>
      <c r="H22">
        <f>INDEX($D$22:$F$22,Catalogue!$D$4)</f>
        <v/>
      </c>
      <c r="I22" t="inlineStr">
        <is>
          <t>Ω</t>
        </is>
      </c>
      <c r="J22" s="12" t="inlineStr">
        <is>
          <t>[W-05] tr.24</t>
        </is>
      </c>
    </row>
    <row r="23">
      <c r="A23" t="inlineStr">
        <is>
          <t>Rmax</t>
        </is>
      </c>
      <c r="B23" t="inlineStr">
        <is>
          <t>Điện trở hãm tối đa cho P_BRcont</t>
        </is>
      </c>
      <c r="C23" t="inlineStr">
        <is>
          <t>R_max</t>
        </is>
      </c>
      <c r="D23" s="8" t="n">
        <v>933</v>
      </c>
      <c r="E23" s="8" t="n">
        <v>628</v>
      </c>
      <c r="F23" s="8" t="n">
        <v>428</v>
      </c>
      <c r="H23">
        <f>INDEX($D$23:$F$23,Catalogue!$D$4)</f>
        <v/>
      </c>
      <c r="I23" t="inlineStr">
        <is>
          <t>Ω</t>
        </is>
      </c>
      <c r="J23" s="12" t="inlineStr">
        <is>
          <t>[W-05] tr.24</t>
        </is>
      </c>
    </row>
    <row r="24">
      <c r="A24" t="inlineStr">
        <is>
          <t>PBRc</t>
        </is>
      </c>
      <c r="B24" t="inlineStr">
        <is>
          <t>Công suất hãm liên tục</t>
        </is>
      </c>
      <c r="C24" t="inlineStr">
        <is>
          <t>P_BRcont</t>
        </is>
      </c>
      <c r="D24" s="8" t="n">
        <v>0.37</v>
      </c>
      <c r="E24" s="8" t="n">
        <v>0.55</v>
      </c>
      <c r="F24" s="8" t="n">
        <v>0.75</v>
      </c>
      <c r="H24">
        <f>INDEX($D$24:$F$24,Catalogue!$D$4)</f>
        <v/>
      </c>
      <c r="I24" t="inlineStr">
        <is>
          <t>kW</t>
        </is>
      </c>
      <c r="J24" s="12" t="inlineStr">
        <is>
          <t>[W-05] tr.24</t>
        </is>
      </c>
    </row>
    <row r="25">
      <c r="A25" t="inlineStr">
        <is>
          <t>PBRm</t>
        </is>
      </c>
      <c r="B25" t="inlineStr">
        <is>
          <t>Công suất hãm cực đại (xung ≤ 1 phút/10 phút)</t>
        </is>
      </c>
      <c r="C25" t="inlineStr">
        <is>
          <t>P_BRmax</t>
        </is>
      </c>
      <c r="D25" s="8" t="n">
        <v>0.5600000000000001</v>
      </c>
      <c r="E25" s="8" t="n">
        <v>0.83</v>
      </c>
      <c r="F25" s="8" t="n">
        <v>1.13</v>
      </c>
      <c r="H25">
        <f>INDEX($D$25:$F$25,Catalogue!$D$4)</f>
        <v/>
      </c>
      <c r="I25" t="inlineStr">
        <is>
          <t>kW</t>
        </is>
      </c>
      <c r="J25" s="12" t="inlineStr">
        <is>
          <t>[W-05] tr.24</t>
        </is>
      </c>
    </row>
    <row r="26">
      <c r="A26" t="inlineStr">
        <is>
          <t>fuse</t>
        </is>
      </c>
      <c r="B26" t="inlineStr">
        <is>
          <t>Cầu chì gG khuyến nghị</t>
        </is>
      </c>
      <c r="C26" t="inlineStr"/>
      <c r="D26" s="8" t="inlineStr">
        <is>
          <t>OFAF000H4 (4 A)</t>
        </is>
      </c>
      <c r="E26" s="8" t="inlineStr">
        <is>
          <t>OFAF000H6 (6 A)</t>
        </is>
      </c>
      <c r="F26" s="8" t="inlineStr">
        <is>
          <t>OFAF000H6 (6 A)</t>
        </is>
      </c>
      <c r="H26">
        <f>INDEX($D$26:$F$26,Catalogue!$D$4)</f>
        <v/>
      </c>
      <c r="I26" t="inlineStr"/>
      <c r="J26" s="12" t="inlineStr">
        <is>
          <t>[W-08]; cáp 3×1.5 + 1.5 mm²</t>
        </is>
      </c>
    </row>
    <row r="27">
      <c r="A27" s="5" t="inlineStr">
        <is>
          <t>Phanh, hộp số, điện trở hãm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t="inlineStr">
        <is>
          <t>BE1</t>
        </is>
      </c>
      <c r="B28" t="inlineStr">
        <is>
          <t>Các cấp mô-men phanh BE1 (lắp được cho DR71/80/90)</t>
        </is>
      </c>
      <c r="C28" t="inlineStr">
        <is>
          <t>M_B</t>
        </is>
      </c>
      <c r="D28" s="8" t="n">
        <v>5</v>
      </c>
      <c r="E28" s="8" t="n">
        <v>7</v>
      </c>
      <c r="F28" s="8" t="n">
        <v>10</v>
      </c>
      <c r="I28" t="inlineStr">
        <is>
          <t>N·m</t>
        </is>
      </c>
      <c r="J28" s="12" t="inlineStr">
        <is>
          <t>[W-07] SEW B-107-04</t>
        </is>
      </c>
    </row>
    <row r="29">
      <c r="A29" t="inlineStr">
        <is>
          <t>MBsel</t>
        </is>
      </c>
      <c r="B29" t="inlineStr">
        <is>
          <t>Mô-men phanh chọn</t>
        </is>
      </c>
      <c r="C29" t="inlineStr">
        <is>
          <t>M_B</t>
        </is>
      </c>
      <c r="D29" s="8" t="n">
        <v>5</v>
      </c>
      <c r="I29" t="inlineStr">
        <is>
          <t>N·m</t>
        </is>
      </c>
      <c r="J29" s="12" t="inlineStr">
        <is>
          <t>BE1, 3 lò xo thường [W-07]</t>
        </is>
      </c>
    </row>
    <row r="30">
      <c r="A30" t="inlineStr">
        <is>
          <t>Mamax</t>
        </is>
      </c>
      <c r="B30" t="inlineStr">
        <is>
          <t>Mô-men ra cho phép lớn nhất hộp số R87</t>
        </is>
      </c>
      <c r="C30" t="inlineStr">
        <is>
          <t>M_a,max</t>
        </is>
      </c>
      <c r="D30" s="8" t="n">
        <v>1550</v>
      </c>
      <c r="I30" t="inlineStr">
        <is>
          <t>N·m</t>
        </is>
      </c>
      <c r="J30" s="12" t="inlineStr">
        <is>
          <t>[W-06]</t>
        </is>
      </c>
    </row>
    <row r="31">
      <c r="A31" t="inlineStr">
        <is>
          <t>Rh</t>
        </is>
      </c>
      <c r="B31" t="inlineStr">
        <is>
          <t>Điện trở hãm Danotherm CBH 360 C T 406 210R</t>
        </is>
      </c>
      <c r="C31" t="inlineStr">
        <is>
          <t>R_h</t>
        </is>
      </c>
      <c r="D31" s="8" t="n">
        <v>210</v>
      </c>
      <c r="I31" t="inlineStr">
        <is>
          <t>Ω</t>
        </is>
      </c>
      <c r="J31" s="12" t="inlineStr">
        <is>
          <t>[W-05] tr.24 (điện trở mẫu cho 01A8..03A3); [W-09]</t>
        </is>
      </c>
    </row>
    <row r="32">
      <c r="A32" t="inlineStr">
        <is>
          <t>PRh</t>
        </is>
      </c>
      <c r="B32" t="inlineStr">
        <is>
          <t>Công suất định mức điện trở hãm (40 °C)</t>
        </is>
      </c>
      <c r="C32" t="inlineStr">
        <is>
          <t>P_Rh</t>
        </is>
      </c>
      <c r="D32" s="8" t="n">
        <v>200</v>
      </c>
      <c r="I32" t="inlineStr">
        <is>
          <t>W</t>
        </is>
      </c>
      <c r="J32" s="12" t="inlineStr">
        <is>
          <t>[W-09]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4" customWidth="1" min="3" max="3"/>
    <col width="14" customWidth="1" min="4" max="4"/>
    <col width="10" customWidth="1" min="5" max="5"/>
    <col width="52" customWidth="1" min="6" max="6"/>
    <col width="30" customWidth="1" min="7" max="7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4" t="inlineStr">
        <is>
          <t>Mã</t>
        </is>
      </c>
      <c r="B1" s="4" t="inlineStr">
        <is>
          <t>Đại lượng</t>
        </is>
      </c>
      <c r="C1" s="4" t="inlineStr">
        <is>
          <t>Ký hiệu</t>
        </is>
      </c>
      <c r="D1" s="4" t="inlineStr">
        <is>
          <t>Giá trị</t>
        </is>
      </c>
      <c r="E1" s="4" t="inlineStr">
        <is>
          <t>Đơn vị</t>
        </is>
      </c>
      <c r="F1" s="4" t="inlineStr">
        <is>
          <t>Công thức / Ghi chú</t>
        </is>
      </c>
      <c r="G1" s="4" t="inlineStr">
        <is>
          <t>Nguồn</t>
        </is>
      </c>
      <c r="I1" s="13" t="inlineStr">
        <is>
          <t>t (s)</t>
        </is>
      </c>
      <c r="J1" s="13" t="inlineStr">
        <is>
          <t>a (m/s²)</t>
        </is>
      </c>
      <c r="K1" s="13" t="inlineStr">
        <is>
          <t>v (m/s)</t>
        </is>
      </c>
      <c r="L1" s="13" t="inlineStr">
        <is>
          <t>M đầy tải (N·m)</t>
        </is>
      </c>
      <c r="M1" s="13" t="inlineStr">
        <is>
          <t>M không tải (N·m)</t>
        </is>
      </c>
    </row>
    <row r="2">
      <c r="A2" s="5" t="inlineStr">
        <is>
          <t>A. Động học và phụ tải tĩnh</t>
        </is>
      </c>
      <c r="B2" s="6" t="n"/>
      <c r="C2" s="6" t="n"/>
      <c r="D2" s="6" t="n"/>
      <c r="E2" s="6" t="n"/>
      <c r="F2" s="6" t="n"/>
      <c r="G2" s="6" t="n"/>
      <c r="I2" t="n">
        <v>0</v>
      </c>
      <c r="J2">
        <f>IF(I2&lt;Phu_tai!$D$15,Params!$D$27*I2,IF(I2&lt;Phu_tai!$D$15+Phu_tai!$D$17,Params!$D$26,IF(I2&lt;Phu_tai!$D$18,Params!$D$26-Params!$D$27*(I2-Phu_tai!$D$15-Phu_tai!$D$17),0)))+IF(AND((I2-Phu_tai!$D$18-Phu_tai!$D$40)&gt;=0,(I2-Phu_tai!$D$18-Phu_tai!$D$40)&lt;Phu_tai!$D$18),-(IF((I2-Phu_tai!$D$18-Phu_tai!$D$40)&lt;Phu_tai!$D$15,Params!$D$27*(I2-Phu_tai!$D$18-Phu_tai!$D$40),IF((I2-Phu_tai!$D$18-Phu_tai!$D$40)&lt;Phu_tai!$D$15+Phu_tai!$D$17,Params!$D$26,Params!$D$26-Params!$D$27*((I2-Phu_tai!$D$18-Phu_tai!$D$40)-Phu_tai!$D$15-Phu_tai!$D$17)))),0)</f>
        <v/>
      </c>
      <c r="K2" t="n">
        <v>0</v>
      </c>
      <c r="L2">
        <f>IF(AND(K2&lt;0.0001,J2=0,I2&gt;0),0,Phu_tai!$D$12+Phu_tai!$D$24*J2/Params!$D$26)</f>
        <v/>
      </c>
      <c r="M2">
        <f>IF(AND(K2&lt;0.0001,J2=0,I2&gt;0),0,Phu_tai!$D$13+Phu_tai!$D$25*J2/Params!$D$26)</f>
        <v/>
      </c>
    </row>
    <row r="3">
      <c r="A3" t="inlineStr">
        <is>
          <t>wbx</t>
        </is>
      </c>
      <c r="B3" s="7" t="inlineStr">
        <is>
          <t>Tốc độ góc trục bánh xe</t>
        </is>
      </c>
      <c r="C3" t="inlineStr">
        <is>
          <t>ω_bx</t>
        </is>
      </c>
      <c r="D3" s="9">
        <f>2*Params!$D$12/Params!$D$15</f>
        <v/>
      </c>
      <c r="E3" t="inlineStr">
        <is>
          <t>rad/s</t>
        </is>
      </c>
      <c r="F3" s="7" t="inlineStr">
        <is>
          <t>2v/D</t>
        </is>
      </c>
      <c r="G3" s="7" t="inlineStr"/>
      <c r="I3">
        <f>1*Phu_tai!$D$39</f>
        <v/>
      </c>
      <c r="J3">
        <f>IF(I3&lt;Phu_tai!$D$15,Params!$D$27*I3,IF(I3&lt;Phu_tai!$D$15+Phu_tai!$D$17,Params!$D$26,IF(I3&lt;Phu_tai!$D$18,Params!$D$26-Params!$D$27*(I3-Phu_tai!$D$15-Phu_tai!$D$17),0)))+IF(AND((I3-Phu_tai!$D$18-Phu_tai!$D$40)&gt;=0,(I3-Phu_tai!$D$18-Phu_tai!$D$40)&lt;Phu_tai!$D$18),-(IF((I3-Phu_tai!$D$18-Phu_tai!$D$40)&lt;Phu_tai!$D$15,Params!$D$27*(I3-Phu_tai!$D$18-Phu_tai!$D$40),IF((I3-Phu_tai!$D$18-Phu_tai!$D$40)&lt;Phu_tai!$D$15+Phu_tai!$D$17,Params!$D$26,Params!$D$26-Params!$D$27*((I3-Phu_tai!$D$18-Phu_tai!$D$40)-Phu_tai!$D$15-Phu_tai!$D$17)))),0)</f>
        <v/>
      </c>
      <c r="K3">
        <f>MAX(0,K2+(J3+J2)/2*Phu_tai!$D$39)</f>
        <v/>
      </c>
      <c r="L3">
        <f>IF(AND(K3&lt;0.0001,J3=0,I3&gt;0),0,Phu_tai!$D$12+Phu_tai!$D$24*J3/Params!$D$26)</f>
        <v/>
      </c>
      <c r="M3">
        <f>IF(AND(K3&lt;0.0001,J3=0,I3&gt;0),0,Phu_tai!$D$13+Phu_tai!$D$25*J3/Params!$D$26)</f>
        <v/>
      </c>
    </row>
    <row r="4">
      <c r="A4" t="inlineStr">
        <is>
          <t>Fc</t>
        </is>
      </c>
      <c r="B4" s="7" t="inlineStr">
        <is>
          <t>Lực cản tĩnh đầy tải</t>
        </is>
      </c>
      <c r="C4" t="inlineStr">
        <is>
          <t>F_c</t>
        </is>
      </c>
      <c r="D4" s="11">
        <f>Params!$D$24</f>
        <v/>
      </c>
      <c r="E4" t="inlineStr">
        <is>
          <t>N</t>
        </is>
      </c>
      <c r="F4" s="7">
        <f> P-20</f>
        <v/>
      </c>
      <c r="G4" s="7" t="inlineStr"/>
      <c r="I4">
        <f>2*Phu_tai!$D$39</f>
        <v/>
      </c>
      <c r="J4">
        <f>IF(I4&lt;Phu_tai!$D$15,Params!$D$27*I4,IF(I4&lt;Phu_tai!$D$15+Phu_tai!$D$17,Params!$D$26,IF(I4&lt;Phu_tai!$D$18,Params!$D$26-Params!$D$27*(I4-Phu_tai!$D$15-Phu_tai!$D$17),0)))+IF(AND((I4-Phu_tai!$D$18-Phu_tai!$D$40)&gt;=0,(I4-Phu_tai!$D$18-Phu_tai!$D$40)&lt;Phu_tai!$D$18),-(IF((I4-Phu_tai!$D$18-Phu_tai!$D$40)&lt;Phu_tai!$D$15,Params!$D$27*(I4-Phu_tai!$D$18-Phu_tai!$D$40),IF((I4-Phu_tai!$D$18-Phu_tai!$D$40)&lt;Phu_tai!$D$15+Phu_tai!$D$17,Params!$D$26,Params!$D$26-Params!$D$27*((I4-Phu_tai!$D$18-Phu_tai!$D$40)-Phu_tai!$D$15-Phu_tai!$D$17)))),0)</f>
        <v/>
      </c>
      <c r="K4">
        <f>MAX(0,K3+(J4+J3)/2*Phu_tai!$D$39)</f>
        <v/>
      </c>
      <c r="L4">
        <f>IF(AND(K4&lt;0.0001,J4=0,I4&gt;0),0,Phu_tai!$D$12+Phu_tai!$D$24*J4/Params!$D$26)</f>
        <v/>
      </c>
      <c r="M4">
        <f>IF(AND(K4&lt;0.0001,J4=0,I4&gt;0),0,Phu_tai!$D$13+Phu_tai!$D$25*J4/Params!$D$26)</f>
        <v/>
      </c>
    </row>
    <row r="5">
      <c r="A5" t="inlineStr">
        <is>
          <t>Fc0</t>
        </is>
      </c>
      <c r="B5" s="7" t="inlineStr">
        <is>
          <t>Lực cản tĩnh không tải</t>
        </is>
      </c>
      <c r="C5" t="inlineStr">
        <is>
          <t>F_c,0</t>
        </is>
      </c>
      <c r="D5" s="11">
        <f>Params!$D$7*Params!$D$9*Params!$D$16</f>
        <v/>
      </c>
      <c r="E5" t="inlineStr">
        <is>
          <t>N</t>
        </is>
      </c>
      <c r="F5" s="7" t="inlineStr">
        <is>
          <t>m_0·g·w_0</t>
        </is>
      </c>
      <c r="G5" s="7" t="inlineStr"/>
      <c r="I5">
        <f>3*Phu_tai!$D$39</f>
        <v/>
      </c>
      <c r="J5">
        <f>IF(I5&lt;Phu_tai!$D$15,Params!$D$27*I5,IF(I5&lt;Phu_tai!$D$15+Phu_tai!$D$17,Params!$D$26,IF(I5&lt;Phu_tai!$D$18,Params!$D$26-Params!$D$27*(I5-Phu_tai!$D$15-Phu_tai!$D$17),0)))+IF(AND((I5-Phu_tai!$D$18-Phu_tai!$D$40)&gt;=0,(I5-Phu_tai!$D$18-Phu_tai!$D$40)&lt;Phu_tai!$D$18),-(IF((I5-Phu_tai!$D$18-Phu_tai!$D$40)&lt;Phu_tai!$D$15,Params!$D$27*(I5-Phu_tai!$D$18-Phu_tai!$D$40),IF((I5-Phu_tai!$D$18-Phu_tai!$D$40)&lt;Phu_tai!$D$15+Phu_tai!$D$17,Params!$D$26,Params!$D$26-Params!$D$27*((I5-Phu_tai!$D$18-Phu_tai!$D$40)-Phu_tai!$D$15-Phu_tai!$D$17)))),0)</f>
        <v/>
      </c>
      <c r="K5">
        <f>MAX(0,K4+(J5+J4)/2*Phu_tai!$D$39)</f>
        <v/>
      </c>
      <c r="L5">
        <f>IF(AND(K5&lt;0.0001,J5=0,I5&gt;0),0,Phu_tai!$D$12+Phu_tai!$D$24*J5/Params!$D$26)</f>
        <v/>
      </c>
      <c r="M5">
        <f>IF(AND(K5&lt;0.0001,J5=0,I5&gt;0),0,Phu_tai!$D$13+Phu_tai!$D$25*J5/Params!$D$26)</f>
        <v/>
      </c>
    </row>
    <row r="6">
      <c r="A6" t="inlineStr">
        <is>
          <t>Pt</t>
        </is>
      </c>
      <c r="B6" s="7" t="inlineStr">
        <is>
          <t>Công suất cản tĩnh</t>
        </is>
      </c>
      <c r="C6" t="inlineStr">
        <is>
          <t>P_tĩnh</t>
        </is>
      </c>
      <c r="D6" s="11">
        <f>Phu_tai!$D$4*Params!$D$12/Params!$D$18</f>
        <v/>
      </c>
      <c r="E6" t="inlineStr">
        <is>
          <t>W</t>
        </is>
      </c>
      <c r="F6" s="7" t="inlineStr">
        <is>
          <t>F_c·v/η</t>
        </is>
      </c>
      <c r="G6" s="7" t="inlineStr"/>
      <c r="I6">
        <f>4*Phu_tai!$D$39</f>
        <v/>
      </c>
      <c r="J6">
        <f>IF(I6&lt;Phu_tai!$D$15,Params!$D$27*I6,IF(I6&lt;Phu_tai!$D$15+Phu_tai!$D$17,Params!$D$26,IF(I6&lt;Phu_tai!$D$18,Params!$D$26-Params!$D$27*(I6-Phu_tai!$D$15-Phu_tai!$D$17),0)))+IF(AND((I6-Phu_tai!$D$18-Phu_tai!$D$40)&gt;=0,(I6-Phu_tai!$D$18-Phu_tai!$D$40)&lt;Phu_tai!$D$18),-(IF((I6-Phu_tai!$D$18-Phu_tai!$D$40)&lt;Phu_tai!$D$15,Params!$D$27*(I6-Phu_tai!$D$18-Phu_tai!$D$40),IF((I6-Phu_tai!$D$18-Phu_tai!$D$40)&lt;Phu_tai!$D$15+Phu_tai!$D$17,Params!$D$26,Params!$D$26-Params!$D$27*((I6-Phu_tai!$D$18-Phu_tai!$D$40)-Phu_tai!$D$15-Phu_tai!$D$17)))),0)</f>
        <v/>
      </c>
      <c r="K6">
        <f>MAX(0,K5+(J6+J5)/2*Phu_tai!$D$39)</f>
        <v/>
      </c>
      <c r="L6">
        <f>IF(AND(K6&lt;0.0001,J6=0,I6&gt;0),0,Phu_tai!$D$12+Phu_tai!$D$24*J6/Params!$D$26)</f>
        <v/>
      </c>
      <c r="M6">
        <f>IF(AND(K6&lt;0.0001,J6=0,I6&gt;0),0,Phu_tai!$D$13+Phu_tai!$D$25*J6/Params!$D$26)</f>
        <v/>
      </c>
    </row>
    <row r="7">
      <c r="A7" t="inlineStr">
        <is>
          <t>Fbam</t>
        </is>
      </c>
      <c r="B7" s="7" t="inlineStr">
        <is>
          <t>Lực bám bánh dẫn đầy tải</t>
        </is>
      </c>
      <c r="C7" t="inlineStr">
        <is>
          <t>F_bám</t>
        </is>
      </c>
      <c r="D7" s="14">
        <f>Params!$D$17*Params!$D$29*Params!$D$6*Params!$D$9</f>
        <v/>
      </c>
      <c r="E7" t="inlineStr">
        <is>
          <t>N</t>
        </is>
      </c>
      <c r="F7" s="7" t="inlineStr">
        <is>
          <t>φ·k_dẫn·M_Σ·g</t>
        </is>
      </c>
      <c r="G7" s="7" t="inlineStr"/>
      <c r="I7">
        <f>5*Phu_tai!$D$39</f>
        <v/>
      </c>
      <c r="J7">
        <f>IF(I7&lt;Phu_tai!$D$15,Params!$D$27*I7,IF(I7&lt;Phu_tai!$D$15+Phu_tai!$D$17,Params!$D$26,IF(I7&lt;Phu_tai!$D$18,Params!$D$26-Params!$D$27*(I7-Phu_tai!$D$15-Phu_tai!$D$17),0)))+IF(AND((I7-Phu_tai!$D$18-Phu_tai!$D$40)&gt;=0,(I7-Phu_tai!$D$18-Phu_tai!$D$40)&lt;Phu_tai!$D$18),-(IF((I7-Phu_tai!$D$18-Phu_tai!$D$40)&lt;Phu_tai!$D$15,Params!$D$27*(I7-Phu_tai!$D$18-Phu_tai!$D$40),IF((I7-Phu_tai!$D$18-Phu_tai!$D$40)&lt;Phu_tai!$D$15+Phu_tai!$D$17,Params!$D$26,Params!$D$26-Params!$D$27*((I7-Phu_tai!$D$18-Phu_tai!$D$40)-Phu_tai!$D$15-Phu_tai!$D$17)))),0)</f>
        <v/>
      </c>
      <c r="K7">
        <f>MAX(0,K6+(J7+J6)/2*Phu_tai!$D$39)</f>
        <v/>
      </c>
      <c r="L7">
        <f>IF(AND(K7&lt;0.0001,J7=0,I7&gt;0),0,Phu_tai!$D$12+Phu_tai!$D$24*J7/Params!$D$26)</f>
        <v/>
      </c>
      <c r="M7">
        <f>IF(AND(K7&lt;0.0001,J7=0,I7&gt;0),0,Phu_tai!$D$13+Phu_tai!$D$25*J7/Params!$D$26)</f>
        <v/>
      </c>
    </row>
    <row r="8">
      <c r="A8" s="5" t="inlineStr">
        <is>
          <t>B. Quy đổi về trục động cơ — Bài 3 [R5]</t>
        </is>
      </c>
      <c r="B8" s="6" t="n"/>
      <c r="C8" s="6" t="n"/>
      <c r="D8" s="6" t="n"/>
      <c r="E8" s="6" t="n"/>
      <c r="F8" s="6" t="n"/>
      <c r="G8" s="6" t="n"/>
      <c r="I8">
        <f>6*Phu_tai!$D$39</f>
        <v/>
      </c>
      <c r="J8">
        <f>IF(I8&lt;Phu_tai!$D$15,Params!$D$27*I8,IF(I8&lt;Phu_tai!$D$15+Phu_tai!$D$17,Params!$D$26,IF(I8&lt;Phu_tai!$D$18,Params!$D$26-Params!$D$27*(I8-Phu_tai!$D$15-Phu_tai!$D$17),0)))+IF(AND((I8-Phu_tai!$D$18-Phu_tai!$D$40)&gt;=0,(I8-Phu_tai!$D$18-Phu_tai!$D$40)&lt;Phu_tai!$D$18),-(IF((I8-Phu_tai!$D$18-Phu_tai!$D$40)&lt;Phu_tai!$D$15,Params!$D$27*(I8-Phu_tai!$D$18-Phu_tai!$D$40),IF((I8-Phu_tai!$D$18-Phu_tai!$D$40)&lt;Phu_tai!$D$15+Phu_tai!$D$17,Params!$D$26,Params!$D$26-Params!$D$27*((I8-Phu_tai!$D$18-Phu_tai!$D$40)-Phu_tai!$D$15-Phu_tai!$D$17)))),0)</f>
        <v/>
      </c>
      <c r="K8">
        <f>MAX(0,K7+(J8+J7)/2*Phu_tai!$D$39)</f>
        <v/>
      </c>
      <c r="L8">
        <f>IF(AND(K8&lt;0.0001,J8=0,I8&gt;0),0,Phu_tai!$D$12+Phu_tai!$D$24*J8/Params!$D$26)</f>
        <v/>
      </c>
      <c r="M8">
        <f>IF(AND(K8&lt;0.0001,J8=0,I8&gt;0),0,Phu_tai!$D$13+Phu_tai!$D$25*J8/Params!$D$26)</f>
        <v/>
      </c>
    </row>
    <row r="9">
      <c r="A9" t="inlineStr">
        <is>
          <t>k</t>
        </is>
      </c>
      <c r="B9" s="7" t="inlineStr">
        <is>
          <t>Hệ số quy đổi tịnh tiến–quay</t>
        </is>
      </c>
      <c r="C9" t="inlineStr">
        <is>
          <t>k_qđ</t>
        </is>
      </c>
      <c r="D9" s="15">
        <f>Params!$D$15/(2*Params!$D$42)</f>
        <v/>
      </c>
      <c r="E9" t="inlineStr">
        <is>
          <t>m/rad</t>
        </is>
      </c>
      <c r="F9" s="7" t="inlineStr">
        <is>
          <t>D/(2i)</t>
        </is>
      </c>
      <c r="G9" s="7" t="inlineStr"/>
      <c r="I9">
        <f>7*Phu_tai!$D$39</f>
        <v/>
      </c>
      <c r="J9">
        <f>IF(I9&lt;Phu_tai!$D$15,Params!$D$27*I9,IF(I9&lt;Phu_tai!$D$15+Phu_tai!$D$17,Params!$D$26,IF(I9&lt;Phu_tai!$D$18,Params!$D$26-Params!$D$27*(I9-Phu_tai!$D$15-Phu_tai!$D$17),0)))+IF(AND((I9-Phu_tai!$D$18-Phu_tai!$D$40)&gt;=0,(I9-Phu_tai!$D$18-Phu_tai!$D$40)&lt;Phu_tai!$D$18),-(IF((I9-Phu_tai!$D$18-Phu_tai!$D$40)&lt;Phu_tai!$D$15,Params!$D$27*(I9-Phu_tai!$D$18-Phu_tai!$D$40),IF((I9-Phu_tai!$D$18-Phu_tai!$D$40)&lt;Phu_tai!$D$15+Phu_tai!$D$17,Params!$D$26,Params!$D$26-Params!$D$27*((I9-Phu_tai!$D$18-Phu_tai!$D$40)-Phu_tai!$D$15-Phu_tai!$D$17)))),0)</f>
        <v/>
      </c>
      <c r="K9">
        <f>MAX(0,K8+(J9+J8)/2*Phu_tai!$D$39)</f>
        <v/>
      </c>
      <c r="L9">
        <f>IF(AND(K9&lt;0.0001,J9=0,I9&gt;0),0,Phu_tai!$D$12+Phu_tai!$D$24*J9/Params!$D$26)</f>
        <v/>
      </c>
      <c r="M9">
        <f>IF(AND(K9&lt;0.0001,J9=0,I9&gt;0),0,Phu_tai!$D$13+Phu_tai!$D$25*J9/Params!$D$26)</f>
        <v/>
      </c>
    </row>
    <row r="10">
      <c r="A10" t="inlineStr">
        <is>
          <t>wm</t>
        </is>
      </c>
      <c r="B10" s="7" t="inlineStr">
        <is>
          <t>Tốc độ động cơ khi xe chạy v_max</t>
        </is>
      </c>
      <c r="C10" t="inlineStr">
        <is>
          <t>ω_m</t>
        </is>
      </c>
      <c r="D10" s="10">
        <f>Params!$D$12/Phu_tai!$D$9</f>
        <v/>
      </c>
      <c r="E10" t="inlineStr">
        <is>
          <t>rad/s</t>
        </is>
      </c>
      <c r="F10" s="7" t="inlineStr">
        <is>
          <t>v/k</t>
        </is>
      </c>
      <c r="G10" s="7" t="inlineStr"/>
      <c r="I10">
        <f>8*Phu_tai!$D$39</f>
        <v/>
      </c>
      <c r="J10">
        <f>IF(I10&lt;Phu_tai!$D$15,Params!$D$27*I10,IF(I10&lt;Phu_tai!$D$15+Phu_tai!$D$17,Params!$D$26,IF(I10&lt;Phu_tai!$D$18,Params!$D$26-Params!$D$27*(I10-Phu_tai!$D$15-Phu_tai!$D$17),0)))+IF(AND((I10-Phu_tai!$D$18-Phu_tai!$D$40)&gt;=0,(I10-Phu_tai!$D$18-Phu_tai!$D$40)&lt;Phu_tai!$D$18),-(IF((I10-Phu_tai!$D$18-Phu_tai!$D$40)&lt;Phu_tai!$D$15,Params!$D$27*(I10-Phu_tai!$D$18-Phu_tai!$D$40),IF((I10-Phu_tai!$D$18-Phu_tai!$D$40)&lt;Phu_tai!$D$15+Phu_tai!$D$17,Params!$D$26,Params!$D$26-Params!$D$27*((I10-Phu_tai!$D$18-Phu_tai!$D$40)-Phu_tai!$D$15-Phu_tai!$D$17)))),0)</f>
        <v/>
      </c>
      <c r="K10">
        <f>MAX(0,K9+(J10+J9)/2*Phu_tai!$D$39)</f>
        <v/>
      </c>
      <c r="L10">
        <f>IF(AND(K10&lt;0.0001,J10=0,I10&gt;0),0,Phu_tai!$D$12+Phu_tai!$D$24*J10/Params!$D$26)</f>
        <v/>
      </c>
      <c r="M10">
        <f>IF(AND(K10&lt;0.0001,J10=0,I10&gt;0),0,Phu_tai!$D$13+Phu_tai!$D$25*J10/Params!$D$26)</f>
        <v/>
      </c>
    </row>
    <row r="11">
      <c r="A11" t="inlineStr">
        <is>
          <t>nm</t>
        </is>
      </c>
      <c r="B11" s="7" t="inlineStr">
        <is>
          <t>Tốc độ động cơ khi xe chạy v_max</t>
        </is>
      </c>
      <c r="C11" t="inlineStr">
        <is>
          <t>n_m</t>
        </is>
      </c>
      <c r="D11" s="14">
        <f>Phu_tai!$D$10*60/(2*PI())</f>
        <v/>
      </c>
      <c r="E11" t="inlineStr">
        <is>
          <t>vg/ph</t>
        </is>
      </c>
      <c r="F11" s="7" t="inlineStr"/>
      <c r="G11" s="7" t="inlineStr"/>
      <c r="I11">
        <f>9*Phu_tai!$D$39</f>
        <v/>
      </c>
      <c r="J11">
        <f>IF(I11&lt;Phu_tai!$D$15,Params!$D$27*I11,IF(I11&lt;Phu_tai!$D$15+Phu_tai!$D$17,Params!$D$26,IF(I11&lt;Phu_tai!$D$18,Params!$D$26-Params!$D$27*(I11-Phu_tai!$D$15-Phu_tai!$D$17),0)))+IF(AND((I11-Phu_tai!$D$18-Phu_tai!$D$40)&gt;=0,(I11-Phu_tai!$D$18-Phu_tai!$D$40)&lt;Phu_tai!$D$18),-(IF((I11-Phu_tai!$D$18-Phu_tai!$D$40)&lt;Phu_tai!$D$15,Params!$D$27*(I11-Phu_tai!$D$18-Phu_tai!$D$40),IF((I11-Phu_tai!$D$18-Phu_tai!$D$40)&lt;Phu_tai!$D$15+Phu_tai!$D$17,Params!$D$26,Params!$D$26-Params!$D$27*((I11-Phu_tai!$D$18-Phu_tai!$D$40)-Phu_tai!$D$15-Phu_tai!$D$17)))),0)</f>
        <v/>
      </c>
      <c r="K11">
        <f>MAX(0,K10+(J11+J10)/2*Phu_tai!$D$39)</f>
        <v/>
      </c>
      <c r="L11">
        <f>IF(AND(K11&lt;0.0001,J11=0,I11&gt;0),0,Phu_tai!$D$12+Phu_tai!$D$24*J11/Params!$D$26)</f>
        <v/>
      </c>
      <c r="M11">
        <f>IF(AND(K11&lt;0.0001,J11=0,I11&gt;0),0,Phu_tai!$D$13+Phu_tai!$D$25*J11/Params!$D$26)</f>
        <v/>
      </c>
    </row>
    <row r="12">
      <c r="A12" t="inlineStr">
        <is>
          <t>Mc</t>
        </is>
      </c>
      <c r="B12" s="7" t="inlineStr">
        <is>
          <t>Mô-men cản đầy tải quy về trục ĐC</t>
        </is>
      </c>
      <c r="C12" t="inlineStr">
        <is>
          <t>M_c</t>
        </is>
      </c>
      <c r="D12" s="9">
        <f>Phu_tai!$D$4*Phu_tai!$D$9/Params!$D$18</f>
        <v/>
      </c>
      <c r="E12" t="inlineStr">
        <is>
          <t>N·m</t>
        </is>
      </c>
      <c r="F12" s="7" t="inlineStr">
        <is>
          <t>F_c·k/η</t>
        </is>
      </c>
      <c r="G12" s="7" t="inlineStr"/>
      <c r="I12">
        <f>10*Phu_tai!$D$39</f>
        <v/>
      </c>
      <c r="J12">
        <f>IF(I12&lt;Phu_tai!$D$15,Params!$D$27*I12,IF(I12&lt;Phu_tai!$D$15+Phu_tai!$D$17,Params!$D$26,IF(I12&lt;Phu_tai!$D$18,Params!$D$26-Params!$D$27*(I12-Phu_tai!$D$15-Phu_tai!$D$17),0)))+IF(AND((I12-Phu_tai!$D$18-Phu_tai!$D$40)&gt;=0,(I12-Phu_tai!$D$18-Phu_tai!$D$40)&lt;Phu_tai!$D$18),-(IF((I12-Phu_tai!$D$18-Phu_tai!$D$40)&lt;Phu_tai!$D$15,Params!$D$27*(I12-Phu_tai!$D$18-Phu_tai!$D$40),IF((I12-Phu_tai!$D$18-Phu_tai!$D$40)&lt;Phu_tai!$D$15+Phu_tai!$D$17,Params!$D$26,Params!$D$26-Params!$D$27*((I12-Phu_tai!$D$18-Phu_tai!$D$40)-Phu_tai!$D$15-Phu_tai!$D$17)))),0)</f>
        <v/>
      </c>
      <c r="K12">
        <f>MAX(0,K11+(J12+J11)/2*Phu_tai!$D$39)</f>
        <v/>
      </c>
      <c r="L12">
        <f>IF(AND(K12&lt;0.0001,J12=0,I12&gt;0),0,Phu_tai!$D$12+Phu_tai!$D$24*J12/Params!$D$26)</f>
        <v/>
      </c>
      <c r="M12">
        <f>IF(AND(K12&lt;0.0001,J12=0,I12&gt;0),0,Phu_tai!$D$13+Phu_tai!$D$25*J12/Params!$D$26)</f>
        <v/>
      </c>
    </row>
    <row r="13">
      <c r="A13" t="inlineStr">
        <is>
          <t>Mc0</t>
        </is>
      </c>
      <c r="B13" s="7" t="inlineStr">
        <is>
          <t>Mô-men cản không tải</t>
        </is>
      </c>
      <c r="C13" t="inlineStr">
        <is>
          <t>M_c,0</t>
        </is>
      </c>
      <c r="D13" s="9">
        <f>Phu_tai!$D$5*Phu_tai!$D$9/Params!$D$18</f>
        <v/>
      </c>
      <c r="E13" t="inlineStr">
        <is>
          <t>N·m</t>
        </is>
      </c>
      <c r="F13" s="7" t="inlineStr"/>
      <c r="G13" s="7" t="inlineStr"/>
      <c r="I13">
        <f>11*Phu_tai!$D$39</f>
        <v/>
      </c>
      <c r="J13">
        <f>IF(I13&lt;Phu_tai!$D$15,Params!$D$27*I13,IF(I13&lt;Phu_tai!$D$15+Phu_tai!$D$17,Params!$D$26,IF(I13&lt;Phu_tai!$D$18,Params!$D$26-Params!$D$27*(I13-Phu_tai!$D$15-Phu_tai!$D$17),0)))+IF(AND((I13-Phu_tai!$D$18-Phu_tai!$D$40)&gt;=0,(I13-Phu_tai!$D$18-Phu_tai!$D$40)&lt;Phu_tai!$D$18),-(IF((I13-Phu_tai!$D$18-Phu_tai!$D$40)&lt;Phu_tai!$D$15,Params!$D$27*(I13-Phu_tai!$D$18-Phu_tai!$D$40),IF((I13-Phu_tai!$D$18-Phu_tai!$D$40)&lt;Phu_tai!$D$15+Phu_tai!$D$17,Params!$D$26,Params!$D$26-Params!$D$27*((I13-Phu_tai!$D$18-Phu_tai!$D$40)-Phu_tai!$D$15-Phu_tai!$D$17)))),0)</f>
        <v/>
      </c>
      <c r="K13">
        <f>MAX(0,K12+(J13+J12)/2*Phu_tai!$D$39)</f>
        <v/>
      </c>
      <c r="L13">
        <f>IF(AND(K13&lt;0.0001,J13=0,I13&gt;0),0,Phu_tai!$D$12+Phu_tai!$D$24*J13/Params!$D$26)</f>
        <v/>
      </c>
      <c r="M13">
        <f>IF(AND(K13&lt;0.0001,J13=0,I13&gt;0),0,Phu_tai!$D$13+Phu_tai!$D$25*J13/Params!$D$26)</f>
        <v/>
      </c>
    </row>
    <row r="14">
      <c r="A14" s="5" t="inlineStr">
        <is>
          <t>C. Quỹ đạo S-curve 7 đoạn với lượng đặt a*, ρ* — [R9-11]</t>
        </is>
      </c>
      <c r="B14" s="6" t="n"/>
      <c r="C14" s="6" t="n"/>
      <c r="D14" s="6" t="n"/>
      <c r="E14" s="6" t="n"/>
      <c r="F14" s="6" t="n"/>
      <c r="G14" s="6" t="n"/>
      <c r="I14">
        <f>12*Phu_tai!$D$39</f>
        <v/>
      </c>
      <c r="J14">
        <f>IF(I14&lt;Phu_tai!$D$15,Params!$D$27*I14,IF(I14&lt;Phu_tai!$D$15+Phu_tai!$D$17,Params!$D$26,IF(I14&lt;Phu_tai!$D$18,Params!$D$26-Params!$D$27*(I14-Phu_tai!$D$15-Phu_tai!$D$17),0)))+IF(AND((I14-Phu_tai!$D$18-Phu_tai!$D$40)&gt;=0,(I14-Phu_tai!$D$18-Phu_tai!$D$40)&lt;Phu_tai!$D$18),-(IF((I14-Phu_tai!$D$18-Phu_tai!$D$40)&lt;Phu_tai!$D$15,Params!$D$27*(I14-Phu_tai!$D$18-Phu_tai!$D$40),IF((I14-Phu_tai!$D$18-Phu_tai!$D$40)&lt;Phu_tai!$D$15+Phu_tai!$D$17,Params!$D$26,Params!$D$26-Params!$D$27*((I14-Phu_tai!$D$18-Phu_tai!$D$40)-Phu_tai!$D$15-Phu_tai!$D$17)))),0)</f>
        <v/>
      </c>
      <c r="K14">
        <f>MAX(0,K13+(J14+J13)/2*Phu_tai!$D$39)</f>
        <v/>
      </c>
      <c r="L14">
        <f>IF(AND(K14&lt;0.0001,J14=0,I14&gt;0),0,Phu_tai!$D$12+Phu_tai!$D$24*J14/Params!$D$26)</f>
        <v/>
      </c>
      <c r="M14">
        <f>IF(AND(K14&lt;0.0001,J14=0,I14&gt;0),0,Phu_tai!$D$13+Phu_tai!$D$25*J14/Params!$D$26)</f>
        <v/>
      </c>
    </row>
    <row r="15">
      <c r="A15" t="inlineStr">
        <is>
          <t>Tj</t>
        </is>
      </c>
      <c r="B15" s="7" t="inlineStr">
        <is>
          <t>Thời gian tăng/giảm độ giật</t>
        </is>
      </c>
      <c r="C15" t="inlineStr">
        <is>
          <t>T_j</t>
        </is>
      </c>
      <c r="D15" s="9">
        <f>Params!$D$26/Params!$D$27</f>
        <v/>
      </c>
      <c r="E15" t="inlineStr">
        <is>
          <t>s</t>
        </is>
      </c>
      <c r="F15" s="7" t="inlineStr">
        <is>
          <t>a*/ρ*</t>
        </is>
      </c>
      <c r="G15" s="7" t="inlineStr"/>
      <c r="I15">
        <f>13*Phu_tai!$D$39</f>
        <v/>
      </c>
      <c r="J15">
        <f>IF(I15&lt;Phu_tai!$D$15,Params!$D$27*I15,IF(I15&lt;Phu_tai!$D$15+Phu_tai!$D$17,Params!$D$26,IF(I15&lt;Phu_tai!$D$18,Params!$D$26-Params!$D$27*(I15-Phu_tai!$D$15-Phu_tai!$D$17),0)))+IF(AND((I15-Phu_tai!$D$18-Phu_tai!$D$40)&gt;=0,(I15-Phu_tai!$D$18-Phu_tai!$D$40)&lt;Phu_tai!$D$18),-(IF((I15-Phu_tai!$D$18-Phu_tai!$D$40)&lt;Phu_tai!$D$15,Params!$D$27*(I15-Phu_tai!$D$18-Phu_tai!$D$40),IF((I15-Phu_tai!$D$18-Phu_tai!$D$40)&lt;Phu_tai!$D$15+Phu_tai!$D$17,Params!$D$26,Params!$D$26-Params!$D$27*((I15-Phu_tai!$D$18-Phu_tai!$D$40)-Phu_tai!$D$15-Phu_tai!$D$17)))),0)</f>
        <v/>
      </c>
      <c r="K15">
        <f>MAX(0,K14+(J15+J14)/2*Phu_tai!$D$39)</f>
        <v/>
      </c>
      <c r="L15">
        <f>IF(AND(K15&lt;0.0001,J15=0,I15&gt;0),0,Phu_tai!$D$12+Phu_tai!$D$24*J15/Params!$D$26)</f>
        <v/>
      </c>
      <c r="M15">
        <f>IF(AND(K15&lt;0.0001,J15=0,I15&gt;0),0,Phu_tai!$D$13+Phu_tai!$D$25*J15/Params!$D$26)</f>
        <v/>
      </c>
    </row>
    <row r="16">
      <c r="A16" t="inlineStr">
        <is>
          <t>vlim</t>
        </is>
      </c>
      <c r="B16" s="7" t="inlineStr">
        <is>
          <t>Vận tốc ngưỡng để có đoạn gia tốc không đổi</t>
        </is>
      </c>
      <c r="C16" t="inlineStr">
        <is>
          <t>a*²/ρ*</t>
        </is>
      </c>
      <c r="D16" s="16">
        <f>Params!$D$26^2/Params!$D$27</f>
        <v/>
      </c>
      <c r="E16" t="inlineStr">
        <is>
          <t>m/s</t>
        </is>
      </c>
      <c r="F16" s="7" t="inlineStr">
        <is>
          <t>Phải &lt; v_max</t>
        </is>
      </c>
      <c r="G16" s="7" t="inlineStr"/>
      <c r="I16">
        <f>14*Phu_tai!$D$39</f>
        <v/>
      </c>
      <c r="J16">
        <f>IF(I16&lt;Phu_tai!$D$15,Params!$D$27*I16,IF(I16&lt;Phu_tai!$D$15+Phu_tai!$D$17,Params!$D$26,IF(I16&lt;Phu_tai!$D$18,Params!$D$26-Params!$D$27*(I16-Phu_tai!$D$15-Phu_tai!$D$17),0)))+IF(AND((I16-Phu_tai!$D$18-Phu_tai!$D$40)&gt;=0,(I16-Phu_tai!$D$18-Phu_tai!$D$40)&lt;Phu_tai!$D$18),-(IF((I16-Phu_tai!$D$18-Phu_tai!$D$40)&lt;Phu_tai!$D$15,Params!$D$27*(I16-Phu_tai!$D$18-Phu_tai!$D$40),IF((I16-Phu_tai!$D$18-Phu_tai!$D$40)&lt;Phu_tai!$D$15+Phu_tai!$D$17,Params!$D$26,Params!$D$26-Params!$D$27*((I16-Phu_tai!$D$18-Phu_tai!$D$40)-Phu_tai!$D$15-Phu_tai!$D$17)))),0)</f>
        <v/>
      </c>
      <c r="K16">
        <f>MAX(0,K15+(J16+J15)/2*Phu_tai!$D$39)</f>
        <v/>
      </c>
      <c r="L16">
        <f>IF(AND(K16&lt;0.0001,J16=0,I16&gt;0),0,Phu_tai!$D$12+Phu_tai!$D$24*J16/Params!$D$26)</f>
        <v/>
      </c>
      <c r="M16">
        <f>IF(AND(K16&lt;0.0001,J16=0,I16&gt;0),0,Phu_tai!$D$13+Phu_tai!$D$25*J16/Params!$D$26)</f>
        <v/>
      </c>
    </row>
    <row r="17">
      <c r="A17" t="inlineStr">
        <is>
          <t>Ta</t>
        </is>
      </c>
      <c r="B17" s="7" t="inlineStr">
        <is>
          <t>Thời gian gia tốc không đổi</t>
        </is>
      </c>
      <c r="C17" t="inlineStr">
        <is>
          <t>T_a</t>
        </is>
      </c>
      <c r="D17" s="9">
        <f>Params!$D$12/Params!$D$26-Phu_tai!$D$15</f>
        <v/>
      </c>
      <c r="E17" t="inlineStr">
        <is>
          <t>s</t>
        </is>
      </c>
      <c r="F17" s="7" t="inlineStr">
        <is>
          <t>v/a* − T_j</t>
        </is>
      </c>
      <c r="G17" s="7" t="inlineStr"/>
      <c r="I17">
        <f>15*Phu_tai!$D$39</f>
        <v/>
      </c>
      <c r="J17">
        <f>IF(I17&lt;Phu_tai!$D$15,Params!$D$27*I17,IF(I17&lt;Phu_tai!$D$15+Phu_tai!$D$17,Params!$D$26,IF(I17&lt;Phu_tai!$D$18,Params!$D$26-Params!$D$27*(I17-Phu_tai!$D$15-Phu_tai!$D$17),0)))+IF(AND((I17-Phu_tai!$D$18-Phu_tai!$D$40)&gt;=0,(I17-Phu_tai!$D$18-Phu_tai!$D$40)&lt;Phu_tai!$D$18),-(IF((I17-Phu_tai!$D$18-Phu_tai!$D$40)&lt;Phu_tai!$D$15,Params!$D$27*(I17-Phu_tai!$D$18-Phu_tai!$D$40),IF((I17-Phu_tai!$D$18-Phu_tai!$D$40)&lt;Phu_tai!$D$15+Phu_tai!$D$17,Params!$D$26,Params!$D$26-Params!$D$27*((I17-Phu_tai!$D$18-Phu_tai!$D$40)-Phu_tai!$D$15-Phu_tai!$D$17)))),0)</f>
        <v/>
      </c>
      <c r="K17">
        <f>MAX(0,K16+(J17+J16)/2*Phu_tai!$D$39)</f>
        <v/>
      </c>
      <c r="L17">
        <f>IF(AND(K17&lt;0.0001,J17=0,I17&gt;0),0,Phu_tai!$D$12+Phu_tai!$D$24*J17/Params!$D$26)</f>
        <v/>
      </c>
      <c r="M17">
        <f>IF(AND(K17&lt;0.0001,J17=0,I17&gt;0),0,Phu_tai!$D$13+Phu_tai!$D$25*J17/Params!$D$26)</f>
        <v/>
      </c>
    </row>
    <row r="18">
      <c r="A18" t="inlineStr">
        <is>
          <t>tacc</t>
        </is>
      </c>
      <c r="B18" s="7" t="inlineStr">
        <is>
          <t>Thời gian tăng tốc</t>
        </is>
      </c>
      <c r="C18" t="inlineStr">
        <is>
          <t>t_acc</t>
        </is>
      </c>
      <c r="D18" s="9">
        <f>2*Phu_tai!$D$15+Phu_tai!$D$17</f>
        <v/>
      </c>
      <c r="E18" t="inlineStr">
        <is>
          <t>s</t>
        </is>
      </c>
      <c r="F18" s="7" t="inlineStr">
        <is>
          <t>2T_j + T_a</t>
        </is>
      </c>
      <c r="G18" s="7" t="inlineStr"/>
      <c r="I18">
        <f>16*Phu_tai!$D$39</f>
        <v/>
      </c>
      <c r="J18">
        <f>IF(I18&lt;Phu_tai!$D$15,Params!$D$27*I18,IF(I18&lt;Phu_tai!$D$15+Phu_tai!$D$17,Params!$D$26,IF(I18&lt;Phu_tai!$D$18,Params!$D$26-Params!$D$27*(I18-Phu_tai!$D$15-Phu_tai!$D$17),0)))+IF(AND((I18-Phu_tai!$D$18-Phu_tai!$D$40)&gt;=0,(I18-Phu_tai!$D$18-Phu_tai!$D$40)&lt;Phu_tai!$D$18),-(IF((I18-Phu_tai!$D$18-Phu_tai!$D$40)&lt;Phu_tai!$D$15,Params!$D$27*(I18-Phu_tai!$D$18-Phu_tai!$D$40),IF((I18-Phu_tai!$D$18-Phu_tai!$D$40)&lt;Phu_tai!$D$15+Phu_tai!$D$17,Params!$D$26,Params!$D$26-Params!$D$27*((I18-Phu_tai!$D$18-Phu_tai!$D$40)-Phu_tai!$D$15-Phu_tai!$D$17)))),0)</f>
        <v/>
      </c>
      <c r="K18">
        <f>MAX(0,K17+(J18+J17)/2*Phu_tai!$D$39)</f>
        <v/>
      </c>
      <c r="L18">
        <f>IF(AND(K18&lt;0.0001,J18=0,I18&gt;0),0,Phu_tai!$D$12+Phu_tai!$D$24*J18/Params!$D$26)</f>
        <v/>
      </c>
      <c r="M18">
        <f>IF(AND(K18&lt;0.0001,J18=0,I18&gt;0),0,Phu_tai!$D$13+Phu_tai!$D$25*J18/Params!$D$26)</f>
        <v/>
      </c>
    </row>
    <row r="19">
      <c r="A19" t="inlineStr">
        <is>
          <t>sacc</t>
        </is>
      </c>
      <c r="B19" s="7" t="inlineStr">
        <is>
          <t>Quãng đường tăng tốc</t>
        </is>
      </c>
      <c r="C19" t="inlineStr">
        <is>
          <t>s_acc</t>
        </is>
      </c>
      <c r="D19" s="9">
        <f>Params!$D$12*Phu_tai!$D$18/2</f>
        <v/>
      </c>
      <c r="E19" t="inlineStr">
        <is>
          <t>m</t>
        </is>
      </c>
      <c r="F19" s="7" t="inlineStr"/>
      <c r="G19" s="7" t="inlineStr"/>
      <c r="I19">
        <f>17*Phu_tai!$D$39</f>
        <v/>
      </c>
      <c r="J19">
        <f>IF(I19&lt;Phu_tai!$D$15,Params!$D$27*I19,IF(I19&lt;Phu_tai!$D$15+Phu_tai!$D$17,Params!$D$26,IF(I19&lt;Phu_tai!$D$18,Params!$D$26-Params!$D$27*(I19-Phu_tai!$D$15-Phu_tai!$D$17),0)))+IF(AND((I19-Phu_tai!$D$18-Phu_tai!$D$40)&gt;=0,(I19-Phu_tai!$D$18-Phu_tai!$D$40)&lt;Phu_tai!$D$18),-(IF((I19-Phu_tai!$D$18-Phu_tai!$D$40)&lt;Phu_tai!$D$15,Params!$D$27*(I19-Phu_tai!$D$18-Phu_tai!$D$40),IF((I19-Phu_tai!$D$18-Phu_tai!$D$40)&lt;Phu_tai!$D$15+Phu_tai!$D$17,Params!$D$26,Params!$D$26-Params!$D$27*((I19-Phu_tai!$D$18-Phu_tai!$D$40)-Phu_tai!$D$15-Phu_tai!$D$17)))),0)</f>
        <v/>
      </c>
      <c r="K19">
        <f>MAX(0,K18+(J19+J18)/2*Phu_tai!$D$39)</f>
        <v/>
      </c>
      <c r="L19">
        <f>IF(AND(K19&lt;0.0001,J19=0,I19&gt;0),0,Phu_tai!$D$12+Phu_tai!$D$24*J19/Params!$D$26)</f>
        <v/>
      </c>
      <c r="M19">
        <f>IF(AND(K19&lt;0.0001,J19=0,I19&gt;0),0,Phu_tai!$D$13+Phu_tai!$D$25*J19/Params!$D$26)</f>
        <v/>
      </c>
    </row>
    <row r="20">
      <c r="A20" t="inlineStr">
        <is>
          <t>f2</t>
        </is>
      </c>
      <c r="B20" s="7" t="inlineStr">
        <is>
          <t>Hệ số trung bình a²(t)/a*² pha tăng tốc</t>
        </is>
      </c>
      <c r="C20" t="inlineStr">
        <is>
          <t>f₂</t>
        </is>
      </c>
      <c r="D20" s="9">
        <f>(2*Phu_tai!$D$15/3+Phu_tai!$D$17)/Phu_tai!$D$18</f>
        <v/>
      </c>
      <c r="E20" t="inlineStr">
        <is>
          <t>-</t>
        </is>
      </c>
      <c r="F20" s="7" t="inlineStr">
        <is>
          <t>Cho tính M_đt</t>
        </is>
      </c>
      <c r="G20" s="7" t="inlineStr"/>
      <c r="I20">
        <f>18*Phu_tai!$D$39</f>
        <v/>
      </c>
      <c r="J20">
        <f>IF(I20&lt;Phu_tai!$D$15,Params!$D$27*I20,IF(I20&lt;Phu_tai!$D$15+Phu_tai!$D$17,Params!$D$26,IF(I20&lt;Phu_tai!$D$18,Params!$D$26-Params!$D$27*(I20-Phu_tai!$D$15-Phu_tai!$D$17),0)))+IF(AND((I20-Phu_tai!$D$18-Phu_tai!$D$40)&gt;=0,(I20-Phu_tai!$D$18-Phu_tai!$D$40)&lt;Phu_tai!$D$18),-(IF((I20-Phu_tai!$D$18-Phu_tai!$D$40)&lt;Phu_tai!$D$15,Params!$D$27*(I20-Phu_tai!$D$18-Phu_tai!$D$40),IF((I20-Phu_tai!$D$18-Phu_tai!$D$40)&lt;Phu_tai!$D$15+Phu_tai!$D$17,Params!$D$26,Params!$D$26-Params!$D$27*((I20-Phu_tai!$D$18-Phu_tai!$D$40)-Phu_tai!$D$15-Phu_tai!$D$17)))),0)</f>
        <v/>
      </c>
      <c r="K20">
        <f>MAX(0,K19+(J20+J19)/2*Phu_tai!$D$39)</f>
        <v/>
      </c>
      <c r="L20">
        <f>IF(AND(K20&lt;0.0001,J20=0,I20&gt;0),0,Phu_tai!$D$12+Phu_tai!$D$24*J20/Params!$D$26)</f>
        <v/>
      </c>
      <c r="M20">
        <f>IF(AND(K20&lt;0.0001,J20=0,I20&gt;0),0,Phu_tai!$D$13+Phu_tai!$D$25*J20/Params!$D$26)</f>
        <v/>
      </c>
    </row>
    <row r="21">
      <c r="A21" t="inlineStr">
        <is>
          <t>th0</t>
        </is>
      </c>
      <c r="B21" s="7" t="inlineStr">
        <is>
          <t>Góc lệch cáp tựa tĩnh ứng a*</t>
        </is>
      </c>
      <c r="C21" t="inlineStr">
        <is>
          <t>θ_0</t>
        </is>
      </c>
      <c r="D21" s="10">
        <f>DEGREES(ATAN(Params!$D$26/Params!$D$9))</f>
        <v/>
      </c>
      <c r="E21" t="inlineStr">
        <is>
          <t>°</t>
        </is>
      </c>
      <c r="F21" s="7" t="inlineStr">
        <is>
          <t>atan(a*/g)</t>
        </is>
      </c>
      <c r="G21" s="7" t="inlineStr"/>
      <c r="I21">
        <f>19*Phu_tai!$D$39</f>
        <v/>
      </c>
      <c r="J21">
        <f>IF(I21&lt;Phu_tai!$D$15,Params!$D$27*I21,IF(I21&lt;Phu_tai!$D$15+Phu_tai!$D$17,Params!$D$26,IF(I21&lt;Phu_tai!$D$18,Params!$D$26-Params!$D$27*(I21-Phu_tai!$D$15-Phu_tai!$D$17),0)))+IF(AND((I21-Phu_tai!$D$18-Phu_tai!$D$40)&gt;=0,(I21-Phu_tai!$D$18-Phu_tai!$D$40)&lt;Phu_tai!$D$18),-(IF((I21-Phu_tai!$D$18-Phu_tai!$D$40)&lt;Phu_tai!$D$15,Params!$D$27*(I21-Phu_tai!$D$18-Phu_tai!$D$40),IF((I21-Phu_tai!$D$18-Phu_tai!$D$40)&lt;Phu_tai!$D$15+Phu_tai!$D$17,Params!$D$26,Params!$D$26-Params!$D$27*((I21-Phu_tai!$D$18-Phu_tai!$D$40)-Phu_tai!$D$15-Phu_tai!$D$17)))),0)</f>
        <v/>
      </c>
      <c r="K21">
        <f>MAX(0,K20+(J21+J20)/2*Phu_tai!$D$39)</f>
        <v/>
      </c>
      <c r="L21">
        <f>IF(AND(K21&lt;0.0001,J21=0,I21&gt;0),0,Phu_tai!$D$12+Phu_tai!$D$24*J21/Params!$D$26)</f>
        <v/>
      </c>
      <c r="M21">
        <f>IF(AND(K21&lt;0.0001,J21=0,I21&gt;0),0,Phu_tai!$D$13+Phu_tai!$D$25*J21/Params!$D$26)</f>
        <v/>
      </c>
    </row>
    <row r="22">
      <c r="A22" s="5" t="inlineStr">
        <is>
          <t>D. Mô-men động và mô-men từng pha (động cơ đang chọn)</t>
        </is>
      </c>
      <c r="B22" s="6" t="n"/>
      <c r="C22" s="6" t="n"/>
      <c r="D22" s="6" t="n"/>
      <c r="E22" s="6" t="n"/>
      <c r="F22" s="6" t="n"/>
      <c r="G22" s="6" t="n"/>
      <c r="I22">
        <f>20*Phu_tai!$D$39</f>
        <v/>
      </c>
      <c r="J22">
        <f>IF(I22&lt;Phu_tai!$D$15,Params!$D$27*I22,IF(I22&lt;Phu_tai!$D$15+Phu_tai!$D$17,Params!$D$26,IF(I22&lt;Phu_tai!$D$18,Params!$D$26-Params!$D$27*(I22-Phu_tai!$D$15-Phu_tai!$D$17),0)))+IF(AND((I22-Phu_tai!$D$18-Phu_tai!$D$40)&gt;=0,(I22-Phu_tai!$D$18-Phu_tai!$D$40)&lt;Phu_tai!$D$18),-(IF((I22-Phu_tai!$D$18-Phu_tai!$D$40)&lt;Phu_tai!$D$15,Params!$D$27*(I22-Phu_tai!$D$18-Phu_tai!$D$40),IF((I22-Phu_tai!$D$18-Phu_tai!$D$40)&lt;Phu_tai!$D$15+Phu_tai!$D$17,Params!$D$26,Params!$D$26-Params!$D$27*((I22-Phu_tai!$D$18-Phu_tai!$D$40)-Phu_tai!$D$15-Phu_tai!$D$17)))),0)</f>
        <v/>
      </c>
      <c r="K22">
        <f>MAX(0,K21+(J22+J21)/2*Phu_tai!$D$39)</f>
        <v/>
      </c>
      <c r="L22">
        <f>IF(AND(K22&lt;0.0001,J22=0,I22&gt;0),0,Phu_tai!$D$12+Phu_tai!$D$24*J22/Params!$D$26)</f>
        <v/>
      </c>
      <c r="M22">
        <f>IF(AND(K22&lt;0.0001,J22=0,I22&gt;0),0,Phu_tai!$D$13+Phu_tai!$D$25*J22/Params!$D$26)</f>
        <v/>
      </c>
    </row>
    <row r="23">
      <c r="A23" t="inlineStr">
        <is>
          <t>Jl</t>
        </is>
      </c>
      <c r="B23" s="7" t="inlineStr">
        <is>
          <t>Quán tính tải quy đổi đầy tải</t>
        </is>
      </c>
      <c r="C23" t="inlineStr">
        <is>
          <t>J_tải</t>
        </is>
      </c>
      <c r="D23" s="17">
        <f>Params!$D$28*Params!$D$6*Phu_tai!$D$9^2</f>
        <v/>
      </c>
      <c r="E23" t="inlineStr">
        <is>
          <t>kg·m²</t>
        </is>
      </c>
      <c r="F23" s="7" t="inlineStr">
        <is>
          <t>δ·M_Σ·k²</t>
        </is>
      </c>
      <c r="G23" s="7" t="inlineStr"/>
      <c r="I23">
        <f>21*Phu_tai!$D$39</f>
        <v/>
      </c>
      <c r="J23">
        <f>IF(I23&lt;Phu_tai!$D$15,Params!$D$27*I23,IF(I23&lt;Phu_tai!$D$15+Phu_tai!$D$17,Params!$D$26,IF(I23&lt;Phu_tai!$D$18,Params!$D$26-Params!$D$27*(I23-Phu_tai!$D$15-Phu_tai!$D$17),0)))+IF(AND((I23-Phu_tai!$D$18-Phu_tai!$D$40)&gt;=0,(I23-Phu_tai!$D$18-Phu_tai!$D$40)&lt;Phu_tai!$D$18),-(IF((I23-Phu_tai!$D$18-Phu_tai!$D$40)&lt;Phu_tai!$D$15,Params!$D$27*(I23-Phu_tai!$D$18-Phu_tai!$D$40),IF((I23-Phu_tai!$D$18-Phu_tai!$D$40)&lt;Phu_tai!$D$15+Phu_tai!$D$17,Params!$D$26,Params!$D$26-Params!$D$27*((I23-Phu_tai!$D$18-Phu_tai!$D$40)-Phu_tai!$D$15-Phu_tai!$D$17)))),0)</f>
        <v/>
      </c>
      <c r="K23">
        <f>MAX(0,K22+(J23+J22)/2*Phu_tai!$D$39)</f>
        <v/>
      </c>
      <c r="L23">
        <f>IF(AND(K23&lt;0.0001,J23=0,I23&gt;0),0,Phu_tai!$D$12+Phu_tai!$D$24*J23/Params!$D$26)</f>
        <v/>
      </c>
      <c r="M23">
        <f>IF(AND(K23&lt;0.0001,J23=0,I23&gt;0),0,Phu_tai!$D$13+Phu_tai!$D$25*J23/Params!$D$26)</f>
        <v/>
      </c>
    </row>
    <row r="24">
      <c r="A24" t="inlineStr">
        <is>
          <t>Mdg</t>
        </is>
      </c>
      <c r="B24" s="7" t="inlineStr">
        <is>
          <t>Mô-men động đầy tải tại a*</t>
        </is>
      </c>
      <c r="C24" t="inlineStr">
        <is>
          <t>M_đg</t>
        </is>
      </c>
      <c r="D24" s="9">
        <f>Params!$D$28*Params!$D$6*Params!$D$26*Phu_tai!$D$9/Params!$D$18+Catalogue!$H$15*Params!$D$26/Phu_tai!$D$9</f>
        <v/>
      </c>
      <c r="E24" t="inlineStr">
        <is>
          <t>N·m</t>
        </is>
      </c>
      <c r="F24" s="7" t="inlineStr">
        <is>
          <t>δM_Σa*k/η + J_B·a*/k</t>
        </is>
      </c>
      <c r="G24" s="7" t="inlineStr"/>
      <c r="I24">
        <f>22*Phu_tai!$D$39</f>
        <v/>
      </c>
      <c r="J24">
        <f>IF(I24&lt;Phu_tai!$D$15,Params!$D$27*I24,IF(I24&lt;Phu_tai!$D$15+Phu_tai!$D$17,Params!$D$26,IF(I24&lt;Phu_tai!$D$18,Params!$D$26-Params!$D$27*(I24-Phu_tai!$D$15-Phu_tai!$D$17),0)))+IF(AND((I24-Phu_tai!$D$18-Phu_tai!$D$40)&gt;=0,(I24-Phu_tai!$D$18-Phu_tai!$D$40)&lt;Phu_tai!$D$18),-(IF((I24-Phu_tai!$D$18-Phu_tai!$D$40)&lt;Phu_tai!$D$15,Params!$D$27*(I24-Phu_tai!$D$18-Phu_tai!$D$40),IF((I24-Phu_tai!$D$18-Phu_tai!$D$40)&lt;Phu_tai!$D$15+Phu_tai!$D$17,Params!$D$26,Params!$D$26-Params!$D$27*((I24-Phu_tai!$D$18-Phu_tai!$D$40)-Phu_tai!$D$15-Phu_tai!$D$17)))),0)</f>
        <v/>
      </c>
      <c r="K24">
        <f>MAX(0,K23+(J24+J23)/2*Phu_tai!$D$39)</f>
        <v/>
      </c>
      <c r="L24">
        <f>IF(AND(K24&lt;0.0001,J24=0,I24&gt;0),0,Phu_tai!$D$12+Phu_tai!$D$24*J24/Params!$D$26)</f>
        <v/>
      </c>
      <c r="M24">
        <f>IF(AND(K24&lt;0.0001,J24=0,I24&gt;0),0,Phu_tai!$D$13+Phu_tai!$D$25*J24/Params!$D$26)</f>
        <v/>
      </c>
    </row>
    <row r="25">
      <c r="A25" t="inlineStr">
        <is>
          <t>Mdg0</t>
        </is>
      </c>
      <c r="B25" s="7" t="inlineStr">
        <is>
          <t>Mô-men động không tải tại a*</t>
        </is>
      </c>
      <c r="C25" t="inlineStr">
        <is>
          <t>M_đg,0</t>
        </is>
      </c>
      <c r="D25" s="9">
        <f>Params!$D$28*Params!$D$7*Params!$D$26*Phu_tai!$D$9/Params!$D$18+Catalogue!$H$15*Params!$D$26/Phu_tai!$D$9</f>
        <v/>
      </c>
      <c r="E25" t="inlineStr">
        <is>
          <t>N·m</t>
        </is>
      </c>
      <c r="F25" s="7" t="inlineStr"/>
      <c r="G25" s="7" t="inlineStr"/>
      <c r="I25">
        <f>23*Phu_tai!$D$39</f>
        <v/>
      </c>
      <c r="J25">
        <f>IF(I25&lt;Phu_tai!$D$15,Params!$D$27*I25,IF(I25&lt;Phu_tai!$D$15+Phu_tai!$D$17,Params!$D$26,IF(I25&lt;Phu_tai!$D$18,Params!$D$26-Params!$D$27*(I25-Phu_tai!$D$15-Phu_tai!$D$17),0)))+IF(AND((I25-Phu_tai!$D$18-Phu_tai!$D$40)&gt;=0,(I25-Phu_tai!$D$18-Phu_tai!$D$40)&lt;Phu_tai!$D$18),-(IF((I25-Phu_tai!$D$18-Phu_tai!$D$40)&lt;Phu_tai!$D$15,Params!$D$27*(I25-Phu_tai!$D$18-Phu_tai!$D$40),IF((I25-Phu_tai!$D$18-Phu_tai!$D$40)&lt;Phu_tai!$D$15+Phu_tai!$D$17,Params!$D$26,Params!$D$26-Params!$D$27*((I25-Phu_tai!$D$18-Phu_tai!$D$40)-Phu_tai!$D$15-Phu_tai!$D$17)))),0)</f>
        <v/>
      </c>
      <c r="K25">
        <f>MAX(0,K24+(J25+J24)/2*Phu_tai!$D$39)</f>
        <v/>
      </c>
      <c r="L25">
        <f>IF(AND(K25&lt;0.0001,J25=0,I25&gt;0),0,Phu_tai!$D$12+Phu_tai!$D$24*J25/Params!$D$26)</f>
        <v/>
      </c>
      <c r="M25">
        <f>IF(AND(K25&lt;0.0001,J25=0,I25&gt;0),0,Phu_tai!$D$13+Phu_tai!$D$25*J25/Params!$D$26)</f>
        <v/>
      </c>
    </row>
    <row r="26">
      <c r="A26" t="inlineStr">
        <is>
          <t>Mkd</t>
        </is>
      </c>
      <c r="B26" s="7" t="inlineStr">
        <is>
          <t>Mô-men đỉnh khi tăng tốc đầy tải</t>
        </is>
      </c>
      <c r="C26" t="inlineStr">
        <is>
          <t>M_max</t>
        </is>
      </c>
      <c r="D26" s="9">
        <f>Phu_tai!$D$12+Phu_tai!$D$24</f>
        <v/>
      </c>
      <c r="E26" t="inlineStr">
        <is>
          <t>N·m</t>
        </is>
      </c>
      <c r="F26" s="7" t="inlineStr">
        <is>
          <t>M_c + M_đg</t>
        </is>
      </c>
      <c r="G26" s="7" t="inlineStr"/>
      <c r="I26">
        <f>24*Phu_tai!$D$39</f>
        <v/>
      </c>
      <c r="J26">
        <f>IF(I26&lt;Phu_tai!$D$15,Params!$D$27*I26,IF(I26&lt;Phu_tai!$D$15+Phu_tai!$D$17,Params!$D$26,IF(I26&lt;Phu_tai!$D$18,Params!$D$26-Params!$D$27*(I26-Phu_tai!$D$15-Phu_tai!$D$17),0)))+IF(AND((I26-Phu_tai!$D$18-Phu_tai!$D$40)&gt;=0,(I26-Phu_tai!$D$18-Phu_tai!$D$40)&lt;Phu_tai!$D$18),-(IF((I26-Phu_tai!$D$18-Phu_tai!$D$40)&lt;Phu_tai!$D$15,Params!$D$27*(I26-Phu_tai!$D$18-Phu_tai!$D$40),IF((I26-Phu_tai!$D$18-Phu_tai!$D$40)&lt;Phu_tai!$D$15+Phu_tai!$D$17,Params!$D$26,Params!$D$26-Params!$D$27*((I26-Phu_tai!$D$18-Phu_tai!$D$40)-Phu_tai!$D$15-Phu_tai!$D$17)))),0)</f>
        <v/>
      </c>
      <c r="K26">
        <f>MAX(0,K25+(J26+J25)/2*Phu_tai!$D$39)</f>
        <v/>
      </c>
      <c r="L26">
        <f>IF(AND(K26&lt;0.0001,J26=0,I26&gt;0),0,Phu_tai!$D$12+Phu_tai!$D$24*J26/Params!$D$26)</f>
        <v/>
      </c>
      <c r="M26">
        <f>IF(AND(K26&lt;0.0001,J26=0,I26&gt;0),0,Phu_tai!$D$13+Phu_tai!$D$25*J26/Params!$D$26)</f>
        <v/>
      </c>
    </row>
    <row r="27">
      <c r="A27" t="inlineStr">
        <is>
          <t>Mh</t>
        </is>
      </c>
      <c r="B27" s="7" t="inlineStr">
        <is>
          <t>Mô-men khi giảm tốc đầy tải (nhỏ nhất)</t>
        </is>
      </c>
      <c r="C27" t="inlineStr">
        <is>
          <t>M_h</t>
        </is>
      </c>
      <c r="D27" s="9">
        <f>Phu_tai!$D$12-Phu_tai!$D$24</f>
        <v/>
      </c>
      <c r="E27" t="inlineStr">
        <is>
          <t>N·m</t>
        </is>
      </c>
      <c r="F27" s="7" t="inlineStr">
        <is>
          <t>&gt; 0: lực cản đủ hãm, không có năng lượng tái sinh</t>
        </is>
      </c>
      <c r="G27" s="7" t="inlineStr"/>
      <c r="I27">
        <f>25*Phu_tai!$D$39</f>
        <v/>
      </c>
      <c r="J27">
        <f>IF(I27&lt;Phu_tai!$D$15,Params!$D$27*I27,IF(I27&lt;Phu_tai!$D$15+Phu_tai!$D$17,Params!$D$26,IF(I27&lt;Phu_tai!$D$18,Params!$D$26-Params!$D$27*(I27-Phu_tai!$D$15-Phu_tai!$D$17),0)))+IF(AND((I27-Phu_tai!$D$18-Phu_tai!$D$40)&gt;=0,(I27-Phu_tai!$D$18-Phu_tai!$D$40)&lt;Phu_tai!$D$18),-(IF((I27-Phu_tai!$D$18-Phu_tai!$D$40)&lt;Phu_tai!$D$15,Params!$D$27*(I27-Phu_tai!$D$18-Phu_tai!$D$40),IF((I27-Phu_tai!$D$18-Phu_tai!$D$40)&lt;Phu_tai!$D$15+Phu_tai!$D$17,Params!$D$26,Params!$D$26-Params!$D$27*((I27-Phu_tai!$D$18-Phu_tai!$D$40)-Phu_tai!$D$15-Phu_tai!$D$17)))),0)</f>
        <v/>
      </c>
      <c r="K27">
        <f>MAX(0,K26+(J27+J26)/2*Phu_tai!$D$39)</f>
        <v/>
      </c>
      <c r="L27">
        <f>IF(AND(K27&lt;0.0001,J27=0,I27&gt;0),0,Phu_tai!$D$12+Phu_tai!$D$24*J27/Params!$D$26)</f>
        <v/>
      </c>
      <c r="M27">
        <f>IF(AND(K27&lt;0.0001,J27=0,I27&gt;0),0,Phu_tai!$D$13+Phu_tai!$D$25*J27/Params!$D$26)</f>
        <v/>
      </c>
    </row>
    <row r="28">
      <c r="A28" t="inlineStr">
        <is>
          <t>Mkd0</t>
        </is>
      </c>
      <c r="B28" s="7" t="inlineStr">
        <is>
          <t>Mô-men đỉnh khi tăng tốc không tải</t>
        </is>
      </c>
      <c r="C28" t="inlineStr">
        <is>
          <t>M_max,0</t>
        </is>
      </c>
      <c r="D28" s="9">
        <f>Phu_tai!$D$13+Phu_tai!$D$25</f>
        <v/>
      </c>
      <c r="E28" t="inlineStr">
        <is>
          <t>N·m</t>
        </is>
      </c>
      <c r="F28" s="7" t="inlineStr"/>
      <c r="G28" s="7" t="inlineStr"/>
      <c r="I28">
        <f>26*Phu_tai!$D$39</f>
        <v/>
      </c>
      <c r="J28">
        <f>IF(I28&lt;Phu_tai!$D$15,Params!$D$27*I28,IF(I28&lt;Phu_tai!$D$15+Phu_tai!$D$17,Params!$D$26,IF(I28&lt;Phu_tai!$D$18,Params!$D$26-Params!$D$27*(I28-Phu_tai!$D$15-Phu_tai!$D$17),0)))+IF(AND((I28-Phu_tai!$D$18-Phu_tai!$D$40)&gt;=0,(I28-Phu_tai!$D$18-Phu_tai!$D$40)&lt;Phu_tai!$D$18),-(IF((I28-Phu_tai!$D$18-Phu_tai!$D$40)&lt;Phu_tai!$D$15,Params!$D$27*(I28-Phu_tai!$D$18-Phu_tai!$D$40),IF((I28-Phu_tai!$D$18-Phu_tai!$D$40)&lt;Phu_tai!$D$15+Phu_tai!$D$17,Params!$D$26,Params!$D$26-Params!$D$27*((I28-Phu_tai!$D$18-Phu_tai!$D$40)-Phu_tai!$D$15-Phu_tai!$D$17)))),0)</f>
        <v/>
      </c>
      <c r="K28">
        <f>MAX(0,K27+(J28+J27)/2*Phu_tai!$D$39)</f>
        <v/>
      </c>
      <c r="L28">
        <f>IF(AND(K28&lt;0.0001,J28=0,I28&gt;0),0,Phu_tai!$D$12+Phu_tai!$D$24*J28/Params!$D$26)</f>
        <v/>
      </c>
      <c r="M28">
        <f>IF(AND(K28&lt;0.0001,J28=0,I28&gt;0),0,Phu_tai!$D$13+Phu_tai!$D$25*J28/Params!$D$26)</f>
        <v/>
      </c>
    </row>
    <row r="29">
      <c r="A29" t="inlineStr">
        <is>
          <t>Mh0</t>
        </is>
      </c>
      <c r="B29" s="7" t="inlineStr">
        <is>
          <t>Mô-men khi giảm tốc không tải</t>
        </is>
      </c>
      <c r="C29" t="inlineStr">
        <is>
          <t>M_h,0</t>
        </is>
      </c>
      <c r="D29" s="9">
        <f>Phu_tai!$D$13-Phu_tai!$D$25</f>
        <v/>
      </c>
      <c r="E29" t="inlineStr">
        <is>
          <t>N·m</t>
        </is>
      </c>
      <c r="F29" s="7" t="inlineStr">
        <is>
          <t>&lt; 0: hãm tái sinh nhỏ do quán tính rotor</t>
        </is>
      </c>
      <c r="G29" s="7" t="inlineStr"/>
      <c r="I29">
        <f>27*Phu_tai!$D$39</f>
        <v/>
      </c>
      <c r="J29">
        <f>IF(I29&lt;Phu_tai!$D$15,Params!$D$27*I29,IF(I29&lt;Phu_tai!$D$15+Phu_tai!$D$17,Params!$D$26,IF(I29&lt;Phu_tai!$D$18,Params!$D$26-Params!$D$27*(I29-Phu_tai!$D$15-Phu_tai!$D$17),0)))+IF(AND((I29-Phu_tai!$D$18-Phu_tai!$D$40)&gt;=0,(I29-Phu_tai!$D$18-Phu_tai!$D$40)&lt;Phu_tai!$D$18),-(IF((I29-Phu_tai!$D$18-Phu_tai!$D$40)&lt;Phu_tai!$D$15,Params!$D$27*(I29-Phu_tai!$D$18-Phu_tai!$D$40),IF((I29-Phu_tai!$D$18-Phu_tai!$D$40)&lt;Phu_tai!$D$15+Phu_tai!$D$17,Params!$D$26,Params!$D$26-Params!$D$27*((I29-Phu_tai!$D$18-Phu_tai!$D$40)-Phu_tai!$D$15-Phu_tai!$D$17)))),0)</f>
        <v/>
      </c>
      <c r="K29">
        <f>MAX(0,K28+(J29+J28)/2*Phu_tai!$D$39)</f>
        <v/>
      </c>
      <c r="L29">
        <f>IF(AND(K29&lt;0.0001,J29=0,I29&gt;0),0,Phu_tai!$D$12+Phu_tai!$D$24*J29/Params!$D$26)</f>
        <v/>
      </c>
      <c r="M29">
        <f>IF(AND(K29&lt;0.0001,J29=0,I29&gt;0),0,Phu_tai!$D$13+Phu_tai!$D$25*J29/Params!$D$26)</f>
        <v/>
      </c>
    </row>
    <row r="30">
      <c r="A30" s="5" t="inlineStr">
        <is>
          <t>E. Chu trình S3-40% và mô-men đẳng trị — Bài 4 [R5]</t>
        </is>
      </c>
      <c r="B30" s="6" t="n"/>
      <c r="C30" s="6" t="n"/>
      <c r="D30" s="6" t="n"/>
      <c r="E30" s="6" t="n"/>
      <c r="F30" s="6" t="n"/>
      <c r="G30" s="6" t="n"/>
      <c r="I30">
        <f>28*Phu_tai!$D$39</f>
        <v/>
      </c>
      <c r="J30">
        <f>IF(I30&lt;Phu_tai!$D$15,Params!$D$27*I30,IF(I30&lt;Phu_tai!$D$15+Phu_tai!$D$17,Params!$D$26,IF(I30&lt;Phu_tai!$D$18,Params!$D$26-Params!$D$27*(I30-Phu_tai!$D$15-Phu_tai!$D$17),0)))+IF(AND((I30-Phu_tai!$D$18-Phu_tai!$D$40)&gt;=0,(I30-Phu_tai!$D$18-Phu_tai!$D$40)&lt;Phu_tai!$D$18),-(IF((I30-Phu_tai!$D$18-Phu_tai!$D$40)&lt;Phu_tai!$D$15,Params!$D$27*(I30-Phu_tai!$D$18-Phu_tai!$D$40),IF((I30-Phu_tai!$D$18-Phu_tai!$D$40)&lt;Phu_tai!$D$15+Phu_tai!$D$17,Params!$D$26,Params!$D$26-Params!$D$27*((I30-Phu_tai!$D$18-Phu_tai!$D$40)-Phu_tai!$D$15-Phu_tai!$D$17)))),0)</f>
        <v/>
      </c>
      <c r="K30">
        <f>MAX(0,K29+(J30+J29)/2*Phu_tai!$D$39)</f>
        <v/>
      </c>
      <c r="L30">
        <f>IF(AND(K30&lt;0.0001,J30=0,I30&gt;0),0,Phu_tai!$D$12+Phu_tai!$D$24*J30/Params!$D$26)</f>
        <v/>
      </c>
      <c r="M30">
        <f>IF(AND(K30&lt;0.0001,J30=0,I30&gt;0),0,Phu_tai!$D$13+Phu_tai!$D$25*J30/Params!$D$26)</f>
        <v/>
      </c>
    </row>
    <row r="31">
      <c r="A31" t="inlineStr">
        <is>
          <t>tlv</t>
        </is>
      </c>
      <c r="B31" s="7" t="inlineStr">
        <is>
          <t>Tổng thời gian đóng điện</t>
        </is>
      </c>
      <c r="C31" t="inlineStr">
        <is>
          <t>Σt_lv</t>
        </is>
      </c>
      <c r="D31">
        <f>Params!$D$19*Params!$D$20</f>
        <v/>
      </c>
      <c r="E31" t="inlineStr">
        <is>
          <t>s</t>
        </is>
      </c>
      <c r="F31" s="7" t="inlineStr">
        <is>
          <t>CD·T_ck</t>
        </is>
      </c>
      <c r="G31" s="7" t="inlineStr"/>
      <c r="I31">
        <f>29*Phu_tai!$D$39</f>
        <v/>
      </c>
      <c r="J31">
        <f>IF(I31&lt;Phu_tai!$D$15,Params!$D$27*I31,IF(I31&lt;Phu_tai!$D$15+Phu_tai!$D$17,Params!$D$26,IF(I31&lt;Phu_tai!$D$18,Params!$D$26-Params!$D$27*(I31-Phu_tai!$D$15-Phu_tai!$D$17),0)))+IF(AND((I31-Phu_tai!$D$18-Phu_tai!$D$40)&gt;=0,(I31-Phu_tai!$D$18-Phu_tai!$D$40)&lt;Phu_tai!$D$18),-(IF((I31-Phu_tai!$D$18-Phu_tai!$D$40)&lt;Phu_tai!$D$15,Params!$D$27*(I31-Phu_tai!$D$18-Phu_tai!$D$40),IF((I31-Phu_tai!$D$18-Phu_tai!$D$40)&lt;Phu_tai!$D$15+Phu_tai!$D$17,Params!$D$26,Params!$D$26-Params!$D$27*((I31-Phu_tai!$D$18-Phu_tai!$D$40)-Phu_tai!$D$15-Phu_tai!$D$17)))),0)</f>
        <v/>
      </c>
      <c r="K31">
        <f>MAX(0,K30+(J31+J30)/2*Phu_tai!$D$39)</f>
        <v/>
      </c>
      <c r="L31">
        <f>IF(AND(K31&lt;0.0001,J31=0,I31&gt;0),0,Phu_tai!$D$12+Phu_tai!$D$24*J31/Params!$D$26)</f>
        <v/>
      </c>
      <c r="M31">
        <f>IF(AND(K31&lt;0.0001,J31=0,I31&gt;0),0,Phu_tai!$D$13+Phu_tai!$D$25*J31/Params!$D$26)</f>
        <v/>
      </c>
    </row>
    <row r="32">
      <c r="A32" t="inlineStr">
        <is>
          <t>tht</t>
        </is>
      </c>
      <c r="B32" s="7" t="inlineStr">
        <is>
          <t>Thời gian một hành trình</t>
        </is>
      </c>
      <c r="C32" t="inlineStr">
        <is>
          <t>t_ht</t>
        </is>
      </c>
      <c r="D32">
        <f>Phu_tai!$D$31/Params!$D$30</f>
        <v/>
      </c>
      <c r="E32" t="inlineStr">
        <is>
          <t>s</t>
        </is>
      </c>
      <c r="F32" s="7" t="inlineStr"/>
      <c r="G32" s="7" t="inlineStr"/>
      <c r="I32">
        <f>30*Phu_tai!$D$39</f>
        <v/>
      </c>
      <c r="J32">
        <f>IF(I32&lt;Phu_tai!$D$15,Params!$D$27*I32,IF(I32&lt;Phu_tai!$D$15+Phu_tai!$D$17,Params!$D$26,IF(I32&lt;Phu_tai!$D$18,Params!$D$26-Params!$D$27*(I32-Phu_tai!$D$15-Phu_tai!$D$17),0)))+IF(AND((I32-Phu_tai!$D$18-Phu_tai!$D$40)&gt;=0,(I32-Phu_tai!$D$18-Phu_tai!$D$40)&lt;Phu_tai!$D$18),-(IF((I32-Phu_tai!$D$18-Phu_tai!$D$40)&lt;Phu_tai!$D$15,Params!$D$27*(I32-Phu_tai!$D$18-Phu_tai!$D$40),IF((I32-Phu_tai!$D$18-Phu_tai!$D$40)&lt;Phu_tai!$D$15+Phu_tai!$D$17,Params!$D$26,Params!$D$26-Params!$D$27*((I32-Phu_tai!$D$18-Phu_tai!$D$40)-Phu_tai!$D$15-Phu_tai!$D$17)))),0)</f>
        <v/>
      </c>
      <c r="K32">
        <f>MAX(0,K31+(J32+J31)/2*Phu_tai!$D$39)</f>
        <v/>
      </c>
      <c r="L32">
        <f>IF(AND(K32&lt;0.0001,J32=0,I32&gt;0),0,Phu_tai!$D$12+Phu_tai!$D$24*J32/Params!$D$26)</f>
        <v/>
      </c>
      <c r="M32">
        <f>IF(AND(K32&lt;0.0001,J32=0,I32&gt;0),0,Phu_tai!$D$13+Phu_tai!$D$25*J32/Params!$D$26)</f>
        <v/>
      </c>
    </row>
    <row r="33">
      <c r="A33" t="inlineStr">
        <is>
          <t>tc</t>
        </is>
      </c>
      <c r="B33" s="7" t="inlineStr">
        <is>
          <t>Thời gian chạy đều mỗi hành trình</t>
        </is>
      </c>
      <c r="C33" t="inlineStr">
        <is>
          <t>t_đều</t>
        </is>
      </c>
      <c r="D33" s="10">
        <f>Phu_tai!$D$32-2*Phu_tai!$D$18</f>
        <v/>
      </c>
      <c r="E33" t="inlineStr">
        <is>
          <t>s</t>
        </is>
      </c>
      <c r="F33" s="7" t="inlineStr"/>
      <c r="G33" s="7" t="inlineStr"/>
      <c r="I33">
        <f>31*Phu_tai!$D$39</f>
        <v/>
      </c>
      <c r="J33">
        <f>IF(I33&lt;Phu_tai!$D$15,Params!$D$27*I33,IF(I33&lt;Phu_tai!$D$15+Phu_tai!$D$17,Params!$D$26,IF(I33&lt;Phu_tai!$D$18,Params!$D$26-Params!$D$27*(I33-Phu_tai!$D$15-Phu_tai!$D$17),0)))+IF(AND((I33-Phu_tai!$D$18-Phu_tai!$D$40)&gt;=0,(I33-Phu_tai!$D$18-Phu_tai!$D$40)&lt;Phu_tai!$D$18),-(IF((I33-Phu_tai!$D$18-Phu_tai!$D$40)&lt;Phu_tai!$D$15,Params!$D$27*(I33-Phu_tai!$D$18-Phu_tai!$D$40),IF((I33-Phu_tai!$D$18-Phu_tai!$D$40)&lt;Phu_tai!$D$15+Phu_tai!$D$17,Params!$D$26,Params!$D$26-Params!$D$27*((I33-Phu_tai!$D$18-Phu_tai!$D$40)-Phu_tai!$D$15-Phu_tai!$D$17)))),0)</f>
        <v/>
      </c>
      <c r="K33">
        <f>MAX(0,K32+(J33+J32)/2*Phu_tai!$D$39)</f>
        <v/>
      </c>
      <c r="L33">
        <f>IF(AND(K33&lt;0.0001,J33=0,I33&gt;0),0,Phu_tai!$D$12+Phu_tai!$D$24*J33/Params!$D$26)</f>
        <v/>
      </c>
      <c r="M33">
        <f>IF(AND(K33&lt;0.0001,J33=0,I33&gt;0),0,Phu_tai!$D$13+Phu_tai!$D$25*J33/Params!$D$26)</f>
        <v/>
      </c>
    </row>
    <row r="34">
      <c r="A34" t="inlineStr">
        <is>
          <t>Lht</t>
        </is>
      </c>
      <c r="B34" s="7" t="inlineStr">
        <is>
          <t>Chiều dài hành trình suy ra</t>
        </is>
      </c>
      <c r="C34" t="inlineStr">
        <is>
          <t>L_ht</t>
        </is>
      </c>
      <c r="D34" s="10">
        <f>Params!$D$12*(Phu_tai!$D$33+Phu_tai!$D$18)</f>
        <v/>
      </c>
      <c r="E34" t="inlineStr">
        <is>
          <t>m</t>
        </is>
      </c>
      <c r="F34" s="7" t="inlineStr">
        <is>
          <t>Kiểm tra hợp lý với khẩu độ</t>
        </is>
      </c>
      <c r="G34" s="7" t="inlineStr"/>
      <c r="I34">
        <f>32*Phu_tai!$D$39</f>
        <v/>
      </c>
      <c r="J34">
        <f>IF(I34&lt;Phu_tai!$D$15,Params!$D$27*I34,IF(I34&lt;Phu_tai!$D$15+Phu_tai!$D$17,Params!$D$26,IF(I34&lt;Phu_tai!$D$18,Params!$D$26-Params!$D$27*(I34-Phu_tai!$D$15-Phu_tai!$D$17),0)))+IF(AND((I34-Phu_tai!$D$18-Phu_tai!$D$40)&gt;=0,(I34-Phu_tai!$D$18-Phu_tai!$D$40)&lt;Phu_tai!$D$18),-(IF((I34-Phu_tai!$D$18-Phu_tai!$D$40)&lt;Phu_tai!$D$15,Params!$D$27*(I34-Phu_tai!$D$18-Phu_tai!$D$40),IF((I34-Phu_tai!$D$18-Phu_tai!$D$40)&lt;Phu_tai!$D$15+Phu_tai!$D$17,Params!$D$26,Params!$D$26-Params!$D$27*((I34-Phu_tai!$D$18-Phu_tai!$D$40)-Phu_tai!$D$15-Phu_tai!$D$17)))),0)</f>
        <v/>
      </c>
      <c r="K34">
        <f>MAX(0,K33+(J34+J33)/2*Phu_tai!$D$39)</f>
        <v/>
      </c>
      <c r="L34">
        <f>IF(AND(K34&lt;0.0001,J34=0,I34&gt;0),0,Phu_tai!$D$12+Phu_tai!$D$24*J34/Params!$D$26)</f>
        <v/>
      </c>
      <c r="M34">
        <f>IF(AND(K34&lt;0.0001,J34=0,I34&gt;0),0,Phu_tai!$D$13+Phu_tai!$D$25*J34/Params!$D$26)</f>
        <v/>
      </c>
    </row>
    <row r="35">
      <c r="A35" t="inlineStr">
        <is>
          <t>S1</t>
        </is>
      </c>
      <c r="B35" s="7" t="inlineStr">
        <is>
          <t>Σ M²t hành trình đầy tải</t>
        </is>
      </c>
      <c r="C35" t="inlineStr">
        <is>
          <t>ΣM²t</t>
        </is>
      </c>
      <c r="D35" s="10">
        <f>Phu_tai!$D$12^2*Phu_tai!$D$32+2*Phu_tai!$D$18*Phu_tai!$D$24^2*Phu_tai!$D$20</f>
        <v/>
      </c>
      <c r="E35" t="inlineStr">
        <is>
          <t>N²m²s</t>
        </is>
      </c>
      <c r="F35" s="7" t="inlineStr">
        <is>
          <t>Số hạng chéo tăng/giảm tốc triệt tiêu</t>
        </is>
      </c>
      <c r="G35" s="7" t="inlineStr"/>
      <c r="I35">
        <f>33*Phu_tai!$D$39</f>
        <v/>
      </c>
      <c r="J35">
        <f>IF(I35&lt;Phu_tai!$D$15,Params!$D$27*I35,IF(I35&lt;Phu_tai!$D$15+Phu_tai!$D$17,Params!$D$26,IF(I35&lt;Phu_tai!$D$18,Params!$D$26-Params!$D$27*(I35-Phu_tai!$D$15-Phu_tai!$D$17),0)))+IF(AND((I35-Phu_tai!$D$18-Phu_tai!$D$40)&gt;=0,(I35-Phu_tai!$D$18-Phu_tai!$D$40)&lt;Phu_tai!$D$18),-(IF((I35-Phu_tai!$D$18-Phu_tai!$D$40)&lt;Phu_tai!$D$15,Params!$D$27*(I35-Phu_tai!$D$18-Phu_tai!$D$40),IF((I35-Phu_tai!$D$18-Phu_tai!$D$40)&lt;Phu_tai!$D$15+Phu_tai!$D$17,Params!$D$26,Params!$D$26-Params!$D$27*((I35-Phu_tai!$D$18-Phu_tai!$D$40)-Phu_tai!$D$15-Phu_tai!$D$17)))),0)</f>
        <v/>
      </c>
      <c r="K35">
        <f>MAX(0,K34+(J35+J34)/2*Phu_tai!$D$39)</f>
        <v/>
      </c>
      <c r="L35">
        <f>IF(AND(K35&lt;0.0001,J35=0,I35&gt;0),0,Phu_tai!$D$12+Phu_tai!$D$24*J35/Params!$D$26)</f>
        <v/>
      </c>
      <c r="M35">
        <f>IF(AND(K35&lt;0.0001,J35=0,I35&gt;0),0,Phu_tai!$D$13+Phu_tai!$D$25*J35/Params!$D$26)</f>
        <v/>
      </c>
    </row>
    <row r="36">
      <c r="A36" t="inlineStr">
        <is>
          <t>S0</t>
        </is>
      </c>
      <c r="B36" s="7" t="inlineStr">
        <is>
          <t>Σ M²t hành trình không tải</t>
        </is>
      </c>
      <c r="C36" t="inlineStr">
        <is>
          <t>ΣM²t,0</t>
        </is>
      </c>
      <c r="D36" s="10">
        <f>Phu_tai!$D$13^2*Phu_tai!$D$32+2*Phu_tai!$D$18*Phu_tai!$D$25^2*Phu_tai!$D$20</f>
        <v/>
      </c>
      <c r="E36" t="inlineStr">
        <is>
          <t>N²m²s</t>
        </is>
      </c>
      <c r="F36" s="7" t="inlineStr"/>
      <c r="G36" s="7" t="inlineStr"/>
      <c r="I36">
        <f>34*Phu_tai!$D$39</f>
        <v/>
      </c>
      <c r="J36">
        <f>IF(I36&lt;Phu_tai!$D$15,Params!$D$27*I36,IF(I36&lt;Phu_tai!$D$15+Phu_tai!$D$17,Params!$D$26,IF(I36&lt;Phu_tai!$D$18,Params!$D$26-Params!$D$27*(I36-Phu_tai!$D$15-Phu_tai!$D$17),0)))+IF(AND((I36-Phu_tai!$D$18-Phu_tai!$D$40)&gt;=0,(I36-Phu_tai!$D$18-Phu_tai!$D$40)&lt;Phu_tai!$D$18),-(IF((I36-Phu_tai!$D$18-Phu_tai!$D$40)&lt;Phu_tai!$D$15,Params!$D$27*(I36-Phu_tai!$D$18-Phu_tai!$D$40),IF((I36-Phu_tai!$D$18-Phu_tai!$D$40)&lt;Phu_tai!$D$15+Phu_tai!$D$17,Params!$D$26,Params!$D$26-Params!$D$27*((I36-Phu_tai!$D$18-Phu_tai!$D$40)-Phu_tai!$D$15-Phu_tai!$D$17)))),0)</f>
        <v/>
      </c>
      <c r="K36">
        <f>MAX(0,K35+(J36+J35)/2*Phu_tai!$D$39)</f>
        <v/>
      </c>
      <c r="L36">
        <f>IF(AND(K36&lt;0.0001,J36=0,I36&gt;0),0,Phu_tai!$D$12+Phu_tai!$D$24*J36/Params!$D$26)</f>
        <v/>
      </c>
      <c r="M36">
        <f>IF(AND(K36&lt;0.0001,J36=0,I36&gt;0),0,Phu_tai!$D$13+Phu_tai!$D$25*J36/Params!$D$26)</f>
        <v/>
      </c>
    </row>
    <row r="37">
      <c r="A37" t="inlineStr">
        <is>
          <t>Mdt</t>
        </is>
      </c>
      <c r="B37" s="7" t="inlineStr">
        <is>
          <t>Mô-men đẳng trị nhiệt</t>
        </is>
      </c>
      <c r="C37" t="inlineStr">
        <is>
          <t>M_đt</t>
        </is>
      </c>
      <c r="D37" s="9">
        <f>SQRT((Phu_tai!$D$35+Phu_tai!$D$36)/Phu_tai!$D$31)</f>
        <v/>
      </c>
      <c r="E37" t="inlineStr">
        <is>
          <t>N·m</t>
        </is>
      </c>
      <c r="F37" s="7" t="inlineStr">
        <is>
          <t>√(ΣM²t/Σt_lv)</t>
        </is>
      </c>
      <c r="G37" s="7" t="inlineStr"/>
      <c r="I37">
        <f>35*Phu_tai!$D$39</f>
        <v/>
      </c>
      <c r="J37">
        <f>IF(I37&lt;Phu_tai!$D$15,Params!$D$27*I37,IF(I37&lt;Phu_tai!$D$15+Phu_tai!$D$17,Params!$D$26,IF(I37&lt;Phu_tai!$D$18,Params!$D$26-Params!$D$27*(I37-Phu_tai!$D$15-Phu_tai!$D$17),0)))+IF(AND((I37-Phu_tai!$D$18-Phu_tai!$D$40)&gt;=0,(I37-Phu_tai!$D$18-Phu_tai!$D$40)&lt;Phu_tai!$D$18),-(IF((I37-Phu_tai!$D$18-Phu_tai!$D$40)&lt;Phu_tai!$D$15,Params!$D$27*(I37-Phu_tai!$D$18-Phu_tai!$D$40),IF((I37-Phu_tai!$D$18-Phu_tai!$D$40)&lt;Phu_tai!$D$15+Phu_tai!$D$17,Params!$D$26,Params!$D$26-Params!$D$27*((I37-Phu_tai!$D$18-Phu_tai!$D$40)-Phu_tai!$D$15-Phu_tai!$D$17)))),0)</f>
        <v/>
      </c>
      <c r="K37">
        <f>MAX(0,K36+(J37+J36)/2*Phu_tai!$D$39)</f>
        <v/>
      </c>
      <c r="L37">
        <f>IF(AND(K37&lt;0.0001,J37=0,I37&gt;0),0,Phu_tai!$D$12+Phu_tai!$D$24*J37/Params!$D$26)</f>
        <v/>
      </c>
      <c r="M37">
        <f>IF(AND(K37&lt;0.0001,J37=0,I37&gt;0),0,Phu_tai!$D$13+Phu_tai!$D$25*J37/Params!$D$26)</f>
        <v/>
      </c>
    </row>
    <row r="38">
      <c r="A38" s="5" t="inlineStr">
        <is>
          <t>F. Đồ thị phụ tải một hành trình đầy tải (chạy đều rút gọn 1 s) — bảng bên phải, cột I..M</t>
        </is>
      </c>
      <c r="B38" s="6" t="n"/>
      <c r="C38" s="6" t="n"/>
      <c r="D38" s="6" t="n"/>
      <c r="E38" s="6" t="n"/>
      <c r="F38" s="6" t="n"/>
      <c r="G38" s="6" t="n"/>
      <c r="I38">
        <f>36*Phu_tai!$D$39</f>
        <v/>
      </c>
      <c r="J38">
        <f>IF(I38&lt;Phu_tai!$D$15,Params!$D$27*I38,IF(I38&lt;Phu_tai!$D$15+Phu_tai!$D$17,Params!$D$26,IF(I38&lt;Phu_tai!$D$18,Params!$D$26-Params!$D$27*(I38-Phu_tai!$D$15-Phu_tai!$D$17),0)))+IF(AND((I38-Phu_tai!$D$18-Phu_tai!$D$40)&gt;=0,(I38-Phu_tai!$D$18-Phu_tai!$D$40)&lt;Phu_tai!$D$18),-(IF((I38-Phu_tai!$D$18-Phu_tai!$D$40)&lt;Phu_tai!$D$15,Params!$D$27*(I38-Phu_tai!$D$18-Phu_tai!$D$40),IF((I38-Phu_tai!$D$18-Phu_tai!$D$40)&lt;Phu_tai!$D$15+Phu_tai!$D$17,Params!$D$26,Params!$D$26-Params!$D$27*((I38-Phu_tai!$D$18-Phu_tai!$D$40)-Phu_tai!$D$15-Phu_tai!$D$17)))),0)</f>
        <v/>
      </c>
      <c r="K38">
        <f>MAX(0,K37+(J38+J37)/2*Phu_tai!$D$39)</f>
        <v/>
      </c>
      <c r="L38">
        <f>IF(AND(K38&lt;0.0001,J38=0,I38&gt;0),0,Phu_tai!$D$12+Phu_tai!$D$24*J38/Params!$D$26)</f>
        <v/>
      </c>
      <c r="M38">
        <f>IF(AND(K38&lt;0.0001,J38=0,I38&gt;0),0,Phu_tai!$D$13+Phu_tai!$D$25*J38/Params!$D$26)</f>
        <v/>
      </c>
    </row>
    <row r="39">
      <c r="A39" t="inlineStr">
        <is>
          <t>dt</t>
        </is>
      </c>
      <c r="B39" s="7" t="inlineStr">
        <is>
          <t>Bước thời gian đồ thị</t>
        </is>
      </c>
      <c r="C39" t="inlineStr">
        <is>
          <t>Δt</t>
        </is>
      </c>
      <c r="D39" s="8" t="n">
        <v>0.02</v>
      </c>
      <c r="E39" t="inlineStr">
        <is>
          <t>s</t>
        </is>
      </c>
      <c r="F39" s="7" t="inlineStr"/>
      <c r="G39" s="7" t="inlineStr"/>
      <c r="I39">
        <f>37*Phu_tai!$D$39</f>
        <v/>
      </c>
      <c r="J39">
        <f>IF(I39&lt;Phu_tai!$D$15,Params!$D$27*I39,IF(I39&lt;Phu_tai!$D$15+Phu_tai!$D$17,Params!$D$26,IF(I39&lt;Phu_tai!$D$18,Params!$D$26-Params!$D$27*(I39-Phu_tai!$D$15-Phu_tai!$D$17),0)))+IF(AND((I39-Phu_tai!$D$18-Phu_tai!$D$40)&gt;=0,(I39-Phu_tai!$D$18-Phu_tai!$D$40)&lt;Phu_tai!$D$18),-(IF((I39-Phu_tai!$D$18-Phu_tai!$D$40)&lt;Phu_tai!$D$15,Params!$D$27*(I39-Phu_tai!$D$18-Phu_tai!$D$40),IF((I39-Phu_tai!$D$18-Phu_tai!$D$40)&lt;Phu_tai!$D$15+Phu_tai!$D$17,Params!$D$26,Params!$D$26-Params!$D$27*((I39-Phu_tai!$D$18-Phu_tai!$D$40)-Phu_tai!$D$15-Phu_tai!$D$17)))),0)</f>
        <v/>
      </c>
      <c r="K39">
        <f>MAX(0,K38+(J39+J38)/2*Phu_tai!$D$39)</f>
        <v/>
      </c>
      <c r="L39">
        <f>IF(AND(K39&lt;0.0001,J39=0,I39&gt;0),0,Phu_tai!$D$12+Phu_tai!$D$24*J39/Params!$D$26)</f>
        <v/>
      </c>
      <c r="M39">
        <f>IF(AND(K39&lt;0.0001,J39=0,I39&gt;0),0,Phu_tai!$D$13+Phu_tai!$D$25*J39/Params!$D$26)</f>
        <v/>
      </c>
    </row>
    <row r="40">
      <c r="A40" t="inlineStr">
        <is>
          <t>Tshow</t>
        </is>
      </c>
      <c r="B40" s="7" t="inlineStr">
        <is>
          <t>Thời gian chạy đều hiển thị</t>
        </is>
      </c>
      <c r="C40" t="inlineStr">
        <is>
          <t>T_hiển thị</t>
        </is>
      </c>
      <c r="D40" s="8" t="n">
        <v>1</v>
      </c>
      <c r="E40" t="inlineStr">
        <is>
          <t>s</t>
        </is>
      </c>
      <c r="F40" s="7" t="inlineStr">
        <is>
          <t>Thực tế ≈ t_đều</t>
        </is>
      </c>
      <c r="G40" s="7" t="inlineStr"/>
      <c r="I40">
        <f>38*Phu_tai!$D$39</f>
        <v/>
      </c>
      <c r="J40">
        <f>IF(I40&lt;Phu_tai!$D$15,Params!$D$27*I40,IF(I40&lt;Phu_tai!$D$15+Phu_tai!$D$17,Params!$D$26,IF(I40&lt;Phu_tai!$D$18,Params!$D$26-Params!$D$27*(I40-Phu_tai!$D$15-Phu_tai!$D$17),0)))+IF(AND((I40-Phu_tai!$D$18-Phu_tai!$D$40)&gt;=0,(I40-Phu_tai!$D$18-Phu_tai!$D$40)&lt;Phu_tai!$D$18),-(IF((I40-Phu_tai!$D$18-Phu_tai!$D$40)&lt;Phu_tai!$D$15,Params!$D$27*(I40-Phu_tai!$D$18-Phu_tai!$D$40),IF((I40-Phu_tai!$D$18-Phu_tai!$D$40)&lt;Phu_tai!$D$15+Phu_tai!$D$17,Params!$D$26,Params!$D$26-Params!$D$27*((I40-Phu_tai!$D$18-Phu_tai!$D$40)-Phu_tai!$D$15-Phu_tai!$D$17)))),0)</f>
        <v/>
      </c>
      <c r="K40">
        <f>MAX(0,K39+(J40+J39)/2*Phu_tai!$D$39)</f>
        <v/>
      </c>
      <c r="L40">
        <f>IF(AND(K40&lt;0.0001,J40=0,I40&gt;0),0,Phu_tai!$D$12+Phu_tai!$D$24*J40/Params!$D$26)</f>
        <v/>
      </c>
      <c r="M40">
        <f>IF(AND(K40&lt;0.0001,J40=0,I40&gt;0),0,Phu_tai!$D$13+Phu_tai!$D$25*J40/Params!$D$26)</f>
        <v/>
      </c>
    </row>
    <row r="41">
      <c r="I41">
        <f>39*Phu_tai!$D$39</f>
        <v/>
      </c>
      <c r="J41">
        <f>IF(I41&lt;Phu_tai!$D$15,Params!$D$27*I41,IF(I41&lt;Phu_tai!$D$15+Phu_tai!$D$17,Params!$D$26,IF(I41&lt;Phu_tai!$D$18,Params!$D$26-Params!$D$27*(I41-Phu_tai!$D$15-Phu_tai!$D$17),0)))+IF(AND((I41-Phu_tai!$D$18-Phu_tai!$D$40)&gt;=0,(I41-Phu_tai!$D$18-Phu_tai!$D$40)&lt;Phu_tai!$D$18),-(IF((I41-Phu_tai!$D$18-Phu_tai!$D$40)&lt;Phu_tai!$D$15,Params!$D$27*(I41-Phu_tai!$D$18-Phu_tai!$D$40),IF((I41-Phu_tai!$D$18-Phu_tai!$D$40)&lt;Phu_tai!$D$15+Phu_tai!$D$17,Params!$D$26,Params!$D$26-Params!$D$27*((I41-Phu_tai!$D$18-Phu_tai!$D$40)-Phu_tai!$D$15-Phu_tai!$D$17)))),0)</f>
        <v/>
      </c>
      <c r="K41">
        <f>MAX(0,K40+(J41+J40)/2*Phu_tai!$D$39)</f>
        <v/>
      </c>
      <c r="L41">
        <f>IF(AND(K41&lt;0.0001,J41=0,I41&gt;0),0,Phu_tai!$D$12+Phu_tai!$D$24*J41/Params!$D$26)</f>
        <v/>
      </c>
      <c r="M41">
        <f>IF(AND(K41&lt;0.0001,J41=0,I41&gt;0),0,Phu_tai!$D$13+Phu_tai!$D$25*J41/Params!$D$26)</f>
        <v/>
      </c>
    </row>
    <row r="42">
      <c r="I42">
        <f>40*Phu_tai!$D$39</f>
        <v/>
      </c>
      <c r="J42">
        <f>IF(I42&lt;Phu_tai!$D$15,Params!$D$27*I42,IF(I42&lt;Phu_tai!$D$15+Phu_tai!$D$17,Params!$D$26,IF(I42&lt;Phu_tai!$D$18,Params!$D$26-Params!$D$27*(I42-Phu_tai!$D$15-Phu_tai!$D$17),0)))+IF(AND((I42-Phu_tai!$D$18-Phu_tai!$D$40)&gt;=0,(I42-Phu_tai!$D$18-Phu_tai!$D$40)&lt;Phu_tai!$D$18),-(IF((I42-Phu_tai!$D$18-Phu_tai!$D$40)&lt;Phu_tai!$D$15,Params!$D$27*(I42-Phu_tai!$D$18-Phu_tai!$D$40),IF((I42-Phu_tai!$D$18-Phu_tai!$D$40)&lt;Phu_tai!$D$15+Phu_tai!$D$17,Params!$D$26,Params!$D$26-Params!$D$27*((I42-Phu_tai!$D$18-Phu_tai!$D$40)-Phu_tai!$D$15-Phu_tai!$D$17)))),0)</f>
        <v/>
      </c>
      <c r="K42">
        <f>MAX(0,K41+(J42+J41)/2*Phu_tai!$D$39)</f>
        <v/>
      </c>
      <c r="L42">
        <f>IF(AND(K42&lt;0.0001,J42=0,I42&gt;0),0,Phu_tai!$D$12+Phu_tai!$D$24*J42/Params!$D$26)</f>
        <v/>
      </c>
      <c r="M42">
        <f>IF(AND(K42&lt;0.0001,J42=0,I42&gt;0),0,Phu_tai!$D$13+Phu_tai!$D$25*J42/Params!$D$26)</f>
        <v/>
      </c>
    </row>
    <row r="43">
      <c r="I43">
        <f>41*Phu_tai!$D$39</f>
        <v/>
      </c>
      <c r="J43">
        <f>IF(I43&lt;Phu_tai!$D$15,Params!$D$27*I43,IF(I43&lt;Phu_tai!$D$15+Phu_tai!$D$17,Params!$D$26,IF(I43&lt;Phu_tai!$D$18,Params!$D$26-Params!$D$27*(I43-Phu_tai!$D$15-Phu_tai!$D$17),0)))+IF(AND((I43-Phu_tai!$D$18-Phu_tai!$D$40)&gt;=0,(I43-Phu_tai!$D$18-Phu_tai!$D$40)&lt;Phu_tai!$D$18),-(IF((I43-Phu_tai!$D$18-Phu_tai!$D$40)&lt;Phu_tai!$D$15,Params!$D$27*(I43-Phu_tai!$D$18-Phu_tai!$D$40),IF((I43-Phu_tai!$D$18-Phu_tai!$D$40)&lt;Phu_tai!$D$15+Phu_tai!$D$17,Params!$D$26,Params!$D$26-Params!$D$27*((I43-Phu_tai!$D$18-Phu_tai!$D$40)-Phu_tai!$D$15-Phu_tai!$D$17)))),0)</f>
        <v/>
      </c>
      <c r="K43">
        <f>MAX(0,K42+(J43+J42)/2*Phu_tai!$D$39)</f>
        <v/>
      </c>
      <c r="L43">
        <f>IF(AND(K43&lt;0.0001,J43=0,I43&gt;0),0,Phu_tai!$D$12+Phu_tai!$D$24*J43/Params!$D$26)</f>
        <v/>
      </c>
      <c r="M43">
        <f>IF(AND(K43&lt;0.0001,J43=0,I43&gt;0),0,Phu_tai!$D$13+Phu_tai!$D$25*J43/Params!$D$26)</f>
        <v/>
      </c>
    </row>
    <row r="44">
      <c r="I44">
        <f>42*Phu_tai!$D$39</f>
        <v/>
      </c>
      <c r="J44">
        <f>IF(I44&lt;Phu_tai!$D$15,Params!$D$27*I44,IF(I44&lt;Phu_tai!$D$15+Phu_tai!$D$17,Params!$D$26,IF(I44&lt;Phu_tai!$D$18,Params!$D$26-Params!$D$27*(I44-Phu_tai!$D$15-Phu_tai!$D$17),0)))+IF(AND((I44-Phu_tai!$D$18-Phu_tai!$D$40)&gt;=0,(I44-Phu_tai!$D$18-Phu_tai!$D$40)&lt;Phu_tai!$D$18),-(IF((I44-Phu_tai!$D$18-Phu_tai!$D$40)&lt;Phu_tai!$D$15,Params!$D$27*(I44-Phu_tai!$D$18-Phu_tai!$D$40),IF((I44-Phu_tai!$D$18-Phu_tai!$D$40)&lt;Phu_tai!$D$15+Phu_tai!$D$17,Params!$D$26,Params!$D$26-Params!$D$27*((I44-Phu_tai!$D$18-Phu_tai!$D$40)-Phu_tai!$D$15-Phu_tai!$D$17)))),0)</f>
        <v/>
      </c>
      <c r="K44">
        <f>MAX(0,K43+(J44+J43)/2*Phu_tai!$D$39)</f>
        <v/>
      </c>
      <c r="L44">
        <f>IF(AND(K44&lt;0.0001,J44=0,I44&gt;0),0,Phu_tai!$D$12+Phu_tai!$D$24*J44/Params!$D$26)</f>
        <v/>
      </c>
      <c r="M44">
        <f>IF(AND(K44&lt;0.0001,J44=0,I44&gt;0),0,Phu_tai!$D$13+Phu_tai!$D$25*J44/Params!$D$26)</f>
        <v/>
      </c>
    </row>
    <row r="45">
      <c r="I45">
        <f>43*Phu_tai!$D$39</f>
        <v/>
      </c>
      <c r="J45">
        <f>IF(I45&lt;Phu_tai!$D$15,Params!$D$27*I45,IF(I45&lt;Phu_tai!$D$15+Phu_tai!$D$17,Params!$D$26,IF(I45&lt;Phu_tai!$D$18,Params!$D$26-Params!$D$27*(I45-Phu_tai!$D$15-Phu_tai!$D$17),0)))+IF(AND((I45-Phu_tai!$D$18-Phu_tai!$D$40)&gt;=0,(I45-Phu_tai!$D$18-Phu_tai!$D$40)&lt;Phu_tai!$D$18),-(IF((I45-Phu_tai!$D$18-Phu_tai!$D$40)&lt;Phu_tai!$D$15,Params!$D$27*(I45-Phu_tai!$D$18-Phu_tai!$D$40),IF((I45-Phu_tai!$D$18-Phu_tai!$D$40)&lt;Phu_tai!$D$15+Phu_tai!$D$17,Params!$D$26,Params!$D$26-Params!$D$27*((I45-Phu_tai!$D$18-Phu_tai!$D$40)-Phu_tai!$D$15-Phu_tai!$D$17)))),0)</f>
        <v/>
      </c>
      <c r="K45">
        <f>MAX(0,K44+(J45+J44)/2*Phu_tai!$D$39)</f>
        <v/>
      </c>
      <c r="L45">
        <f>IF(AND(K45&lt;0.0001,J45=0,I45&gt;0),0,Phu_tai!$D$12+Phu_tai!$D$24*J45/Params!$D$26)</f>
        <v/>
      </c>
      <c r="M45">
        <f>IF(AND(K45&lt;0.0001,J45=0,I45&gt;0),0,Phu_tai!$D$13+Phu_tai!$D$25*J45/Params!$D$26)</f>
        <v/>
      </c>
    </row>
    <row r="46">
      <c r="I46">
        <f>44*Phu_tai!$D$39</f>
        <v/>
      </c>
      <c r="J46">
        <f>IF(I46&lt;Phu_tai!$D$15,Params!$D$27*I46,IF(I46&lt;Phu_tai!$D$15+Phu_tai!$D$17,Params!$D$26,IF(I46&lt;Phu_tai!$D$18,Params!$D$26-Params!$D$27*(I46-Phu_tai!$D$15-Phu_tai!$D$17),0)))+IF(AND((I46-Phu_tai!$D$18-Phu_tai!$D$40)&gt;=0,(I46-Phu_tai!$D$18-Phu_tai!$D$40)&lt;Phu_tai!$D$18),-(IF((I46-Phu_tai!$D$18-Phu_tai!$D$40)&lt;Phu_tai!$D$15,Params!$D$27*(I46-Phu_tai!$D$18-Phu_tai!$D$40),IF((I46-Phu_tai!$D$18-Phu_tai!$D$40)&lt;Phu_tai!$D$15+Phu_tai!$D$17,Params!$D$26,Params!$D$26-Params!$D$27*((I46-Phu_tai!$D$18-Phu_tai!$D$40)-Phu_tai!$D$15-Phu_tai!$D$17)))),0)</f>
        <v/>
      </c>
      <c r="K46">
        <f>MAX(0,K45+(J46+J45)/2*Phu_tai!$D$39)</f>
        <v/>
      </c>
      <c r="L46">
        <f>IF(AND(K46&lt;0.0001,J46=0,I46&gt;0),0,Phu_tai!$D$12+Phu_tai!$D$24*J46/Params!$D$26)</f>
        <v/>
      </c>
      <c r="M46">
        <f>IF(AND(K46&lt;0.0001,J46=0,I46&gt;0),0,Phu_tai!$D$13+Phu_tai!$D$25*J46/Params!$D$26)</f>
        <v/>
      </c>
    </row>
    <row r="47">
      <c r="I47">
        <f>45*Phu_tai!$D$39</f>
        <v/>
      </c>
      <c r="J47">
        <f>IF(I47&lt;Phu_tai!$D$15,Params!$D$27*I47,IF(I47&lt;Phu_tai!$D$15+Phu_tai!$D$17,Params!$D$26,IF(I47&lt;Phu_tai!$D$18,Params!$D$26-Params!$D$27*(I47-Phu_tai!$D$15-Phu_tai!$D$17),0)))+IF(AND((I47-Phu_tai!$D$18-Phu_tai!$D$40)&gt;=0,(I47-Phu_tai!$D$18-Phu_tai!$D$40)&lt;Phu_tai!$D$18),-(IF((I47-Phu_tai!$D$18-Phu_tai!$D$40)&lt;Phu_tai!$D$15,Params!$D$27*(I47-Phu_tai!$D$18-Phu_tai!$D$40),IF((I47-Phu_tai!$D$18-Phu_tai!$D$40)&lt;Phu_tai!$D$15+Phu_tai!$D$17,Params!$D$26,Params!$D$26-Params!$D$27*((I47-Phu_tai!$D$18-Phu_tai!$D$40)-Phu_tai!$D$15-Phu_tai!$D$17)))),0)</f>
        <v/>
      </c>
      <c r="K47">
        <f>MAX(0,K46+(J47+J46)/2*Phu_tai!$D$39)</f>
        <v/>
      </c>
      <c r="L47">
        <f>IF(AND(K47&lt;0.0001,J47=0,I47&gt;0),0,Phu_tai!$D$12+Phu_tai!$D$24*J47/Params!$D$26)</f>
        <v/>
      </c>
      <c r="M47">
        <f>IF(AND(K47&lt;0.0001,J47=0,I47&gt;0),0,Phu_tai!$D$13+Phu_tai!$D$25*J47/Params!$D$26)</f>
        <v/>
      </c>
    </row>
    <row r="48">
      <c r="I48">
        <f>46*Phu_tai!$D$39</f>
        <v/>
      </c>
      <c r="J48">
        <f>IF(I48&lt;Phu_tai!$D$15,Params!$D$27*I48,IF(I48&lt;Phu_tai!$D$15+Phu_tai!$D$17,Params!$D$26,IF(I48&lt;Phu_tai!$D$18,Params!$D$26-Params!$D$27*(I48-Phu_tai!$D$15-Phu_tai!$D$17),0)))+IF(AND((I48-Phu_tai!$D$18-Phu_tai!$D$40)&gt;=0,(I48-Phu_tai!$D$18-Phu_tai!$D$40)&lt;Phu_tai!$D$18),-(IF((I48-Phu_tai!$D$18-Phu_tai!$D$40)&lt;Phu_tai!$D$15,Params!$D$27*(I48-Phu_tai!$D$18-Phu_tai!$D$40),IF((I48-Phu_tai!$D$18-Phu_tai!$D$40)&lt;Phu_tai!$D$15+Phu_tai!$D$17,Params!$D$26,Params!$D$26-Params!$D$27*((I48-Phu_tai!$D$18-Phu_tai!$D$40)-Phu_tai!$D$15-Phu_tai!$D$17)))),0)</f>
        <v/>
      </c>
      <c r="K48">
        <f>MAX(0,K47+(J48+J47)/2*Phu_tai!$D$39)</f>
        <v/>
      </c>
      <c r="L48">
        <f>IF(AND(K48&lt;0.0001,J48=0,I48&gt;0),0,Phu_tai!$D$12+Phu_tai!$D$24*J48/Params!$D$26)</f>
        <v/>
      </c>
      <c r="M48">
        <f>IF(AND(K48&lt;0.0001,J48=0,I48&gt;0),0,Phu_tai!$D$13+Phu_tai!$D$25*J48/Params!$D$26)</f>
        <v/>
      </c>
    </row>
    <row r="49">
      <c r="I49">
        <f>47*Phu_tai!$D$39</f>
        <v/>
      </c>
      <c r="J49">
        <f>IF(I49&lt;Phu_tai!$D$15,Params!$D$27*I49,IF(I49&lt;Phu_tai!$D$15+Phu_tai!$D$17,Params!$D$26,IF(I49&lt;Phu_tai!$D$18,Params!$D$26-Params!$D$27*(I49-Phu_tai!$D$15-Phu_tai!$D$17),0)))+IF(AND((I49-Phu_tai!$D$18-Phu_tai!$D$40)&gt;=0,(I49-Phu_tai!$D$18-Phu_tai!$D$40)&lt;Phu_tai!$D$18),-(IF((I49-Phu_tai!$D$18-Phu_tai!$D$40)&lt;Phu_tai!$D$15,Params!$D$27*(I49-Phu_tai!$D$18-Phu_tai!$D$40),IF((I49-Phu_tai!$D$18-Phu_tai!$D$40)&lt;Phu_tai!$D$15+Phu_tai!$D$17,Params!$D$26,Params!$D$26-Params!$D$27*((I49-Phu_tai!$D$18-Phu_tai!$D$40)-Phu_tai!$D$15-Phu_tai!$D$17)))),0)</f>
        <v/>
      </c>
      <c r="K49">
        <f>MAX(0,K48+(J49+J48)/2*Phu_tai!$D$39)</f>
        <v/>
      </c>
      <c r="L49">
        <f>IF(AND(K49&lt;0.0001,J49=0,I49&gt;0),0,Phu_tai!$D$12+Phu_tai!$D$24*J49/Params!$D$26)</f>
        <v/>
      </c>
      <c r="M49">
        <f>IF(AND(K49&lt;0.0001,J49=0,I49&gt;0),0,Phu_tai!$D$13+Phu_tai!$D$25*J49/Params!$D$26)</f>
        <v/>
      </c>
    </row>
    <row r="50">
      <c r="I50">
        <f>48*Phu_tai!$D$39</f>
        <v/>
      </c>
      <c r="J50">
        <f>IF(I50&lt;Phu_tai!$D$15,Params!$D$27*I50,IF(I50&lt;Phu_tai!$D$15+Phu_tai!$D$17,Params!$D$26,IF(I50&lt;Phu_tai!$D$18,Params!$D$26-Params!$D$27*(I50-Phu_tai!$D$15-Phu_tai!$D$17),0)))+IF(AND((I50-Phu_tai!$D$18-Phu_tai!$D$40)&gt;=0,(I50-Phu_tai!$D$18-Phu_tai!$D$40)&lt;Phu_tai!$D$18),-(IF((I50-Phu_tai!$D$18-Phu_tai!$D$40)&lt;Phu_tai!$D$15,Params!$D$27*(I50-Phu_tai!$D$18-Phu_tai!$D$40),IF((I50-Phu_tai!$D$18-Phu_tai!$D$40)&lt;Phu_tai!$D$15+Phu_tai!$D$17,Params!$D$26,Params!$D$26-Params!$D$27*((I50-Phu_tai!$D$18-Phu_tai!$D$40)-Phu_tai!$D$15-Phu_tai!$D$17)))),0)</f>
        <v/>
      </c>
      <c r="K50">
        <f>MAX(0,K49+(J50+J49)/2*Phu_tai!$D$39)</f>
        <v/>
      </c>
      <c r="L50">
        <f>IF(AND(K50&lt;0.0001,J50=0,I50&gt;0),0,Phu_tai!$D$12+Phu_tai!$D$24*J50/Params!$D$26)</f>
        <v/>
      </c>
      <c r="M50">
        <f>IF(AND(K50&lt;0.0001,J50=0,I50&gt;0),0,Phu_tai!$D$13+Phu_tai!$D$25*J50/Params!$D$26)</f>
        <v/>
      </c>
    </row>
    <row r="51">
      <c r="I51">
        <f>49*Phu_tai!$D$39</f>
        <v/>
      </c>
      <c r="J51">
        <f>IF(I51&lt;Phu_tai!$D$15,Params!$D$27*I51,IF(I51&lt;Phu_tai!$D$15+Phu_tai!$D$17,Params!$D$26,IF(I51&lt;Phu_tai!$D$18,Params!$D$26-Params!$D$27*(I51-Phu_tai!$D$15-Phu_tai!$D$17),0)))+IF(AND((I51-Phu_tai!$D$18-Phu_tai!$D$40)&gt;=0,(I51-Phu_tai!$D$18-Phu_tai!$D$40)&lt;Phu_tai!$D$18),-(IF((I51-Phu_tai!$D$18-Phu_tai!$D$40)&lt;Phu_tai!$D$15,Params!$D$27*(I51-Phu_tai!$D$18-Phu_tai!$D$40),IF((I51-Phu_tai!$D$18-Phu_tai!$D$40)&lt;Phu_tai!$D$15+Phu_tai!$D$17,Params!$D$26,Params!$D$26-Params!$D$27*((I51-Phu_tai!$D$18-Phu_tai!$D$40)-Phu_tai!$D$15-Phu_tai!$D$17)))),0)</f>
        <v/>
      </c>
      <c r="K51">
        <f>MAX(0,K50+(J51+J50)/2*Phu_tai!$D$39)</f>
        <v/>
      </c>
      <c r="L51">
        <f>IF(AND(K51&lt;0.0001,J51=0,I51&gt;0),0,Phu_tai!$D$12+Phu_tai!$D$24*J51/Params!$D$26)</f>
        <v/>
      </c>
      <c r="M51">
        <f>IF(AND(K51&lt;0.0001,J51=0,I51&gt;0),0,Phu_tai!$D$13+Phu_tai!$D$25*J51/Params!$D$26)</f>
        <v/>
      </c>
    </row>
    <row r="52">
      <c r="I52">
        <f>50*Phu_tai!$D$39</f>
        <v/>
      </c>
      <c r="J52">
        <f>IF(I52&lt;Phu_tai!$D$15,Params!$D$27*I52,IF(I52&lt;Phu_tai!$D$15+Phu_tai!$D$17,Params!$D$26,IF(I52&lt;Phu_tai!$D$18,Params!$D$26-Params!$D$27*(I52-Phu_tai!$D$15-Phu_tai!$D$17),0)))+IF(AND((I52-Phu_tai!$D$18-Phu_tai!$D$40)&gt;=0,(I52-Phu_tai!$D$18-Phu_tai!$D$40)&lt;Phu_tai!$D$18),-(IF((I52-Phu_tai!$D$18-Phu_tai!$D$40)&lt;Phu_tai!$D$15,Params!$D$27*(I52-Phu_tai!$D$18-Phu_tai!$D$40),IF((I52-Phu_tai!$D$18-Phu_tai!$D$40)&lt;Phu_tai!$D$15+Phu_tai!$D$17,Params!$D$26,Params!$D$26-Params!$D$27*((I52-Phu_tai!$D$18-Phu_tai!$D$40)-Phu_tai!$D$15-Phu_tai!$D$17)))),0)</f>
        <v/>
      </c>
      <c r="K52">
        <f>MAX(0,K51+(J52+J51)/2*Phu_tai!$D$39)</f>
        <v/>
      </c>
      <c r="L52">
        <f>IF(AND(K52&lt;0.0001,J52=0,I52&gt;0),0,Phu_tai!$D$12+Phu_tai!$D$24*J52/Params!$D$26)</f>
        <v/>
      </c>
      <c r="M52">
        <f>IF(AND(K52&lt;0.0001,J52=0,I52&gt;0),0,Phu_tai!$D$13+Phu_tai!$D$25*J52/Params!$D$26)</f>
        <v/>
      </c>
    </row>
    <row r="53">
      <c r="I53">
        <f>51*Phu_tai!$D$39</f>
        <v/>
      </c>
      <c r="J53">
        <f>IF(I53&lt;Phu_tai!$D$15,Params!$D$27*I53,IF(I53&lt;Phu_tai!$D$15+Phu_tai!$D$17,Params!$D$26,IF(I53&lt;Phu_tai!$D$18,Params!$D$26-Params!$D$27*(I53-Phu_tai!$D$15-Phu_tai!$D$17),0)))+IF(AND((I53-Phu_tai!$D$18-Phu_tai!$D$40)&gt;=0,(I53-Phu_tai!$D$18-Phu_tai!$D$40)&lt;Phu_tai!$D$18),-(IF((I53-Phu_tai!$D$18-Phu_tai!$D$40)&lt;Phu_tai!$D$15,Params!$D$27*(I53-Phu_tai!$D$18-Phu_tai!$D$40),IF((I53-Phu_tai!$D$18-Phu_tai!$D$40)&lt;Phu_tai!$D$15+Phu_tai!$D$17,Params!$D$26,Params!$D$26-Params!$D$27*((I53-Phu_tai!$D$18-Phu_tai!$D$40)-Phu_tai!$D$15-Phu_tai!$D$17)))),0)</f>
        <v/>
      </c>
      <c r="K53">
        <f>MAX(0,K52+(J53+J52)/2*Phu_tai!$D$39)</f>
        <v/>
      </c>
      <c r="L53">
        <f>IF(AND(K53&lt;0.0001,J53=0,I53&gt;0),0,Phu_tai!$D$12+Phu_tai!$D$24*J53/Params!$D$26)</f>
        <v/>
      </c>
      <c r="M53">
        <f>IF(AND(K53&lt;0.0001,J53=0,I53&gt;0),0,Phu_tai!$D$13+Phu_tai!$D$25*J53/Params!$D$26)</f>
        <v/>
      </c>
    </row>
    <row r="54">
      <c r="I54">
        <f>52*Phu_tai!$D$39</f>
        <v/>
      </c>
      <c r="J54">
        <f>IF(I54&lt;Phu_tai!$D$15,Params!$D$27*I54,IF(I54&lt;Phu_tai!$D$15+Phu_tai!$D$17,Params!$D$26,IF(I54&lt;Phu_tai!$D$18,Params!$D$26-Params!$D$27*(I54-Phu_tai!$D$15-Phu_tai!$D$17),0)))+IF(AND((I54-Phu_tai!$D$18-Phu_tai!$D$40)&gt;=0,(I54-Phu_tai!$D$18-Phu_tai!$D$40)&lt;Phu_tai!$D$18),-(IF((I54-Phu_tai!$D$18-Phu_tai!$D$40)&lt;Phu_tai!$D$15,Params!$D$27*(I54-Phu_tai!$D$18-Phu_tai!$D$40),IF((I54-Phu_tai!$D$18-Phu_tai!$D$40)&lt;Phu_tai!$D$15+Phu_tai!$D$17,Params!$D$26,Params!$D$26-Params!$D$27*((I54-Phu_tai!$D$18-Phu_tai!$D$40)-Phu_tai!$D$15-Phu_tai!$D$17)))),0)</f>
        <v/>
      </c>
      <c r="K54">
        <f>MAX(0,K53+(J54+J53)/2*Phu_tai!$D$39)</f>
        <v/>
      </c>
      <c r="L54">
        <f>IF(AND(K54&lt;0.0001,J54=0,I54&gt;0),0,Phu_tai!$D$12+Phu_tai!$D$24*J54/Params!$D$26)</f>
        <v/>
      </c>
      <c r="M54">
        <f>IF(AND(K54&lt;0.0001,J54=0,I54&gt;0),0,Phu_tai!$D$13+Phu_tai!$D$25*J54/Params!$D$26)</f>
        <v/>
      </c>
    </row>
    <row r="55">
      <c r="I55">
        <f>53*Phu_tai!$D$39</f>
        <v/>
      </c>
      <c r="J55">
        <f>IF(I55&lt;Phu_tai!$D$15,Params!$D$27*I55,IF(I55&lt;Phu_tai!$D$15+Phu_tai!$D$17,Params!$D$26,IF(I55&lt;Phu_tai!$D$18,Params!$D$26-Params!$D$27*(I55-Phu_tai!$D$15-Phu_tai!$D$17),0)))+IF(AND((I55-Phu_tai!$D$18-Phu_tai!$D$40)&gt;=0,(I55-Phu_tai!$D$18-Phu_tai!$D$40)&lt;Phu_tai!$D$18),-(IF((I55-Phu_tai!$D$18-Phu_tai!$D$40)&lt;Phu_tai!$D$15,Params!$D$27*(I55-Phu_tai!$D$18-Phu_tai!$D$40),IF((I55-Phu_tai!$D$18-Phu_tai!$D$40)&lt;Phu_tai!$D$15+Phu_tai!$D$17,Params!$D$26,Params!$D$26-Params!$D$27*((I55-Phu_tai!$D$18-Phu_tai!$D$40)-Phu_tai!$D$15-Phu_tai!$D$17)))),0)</f>
        <v/>
      </c>
      <c r="K55">
        <f>MAX(0,K54+(J55+J54)/2*Phu_tai!$D$39)</f>
        <v/>
      </c>
      <c r="L55">
        <f>IF(AND(K55&lt;0.0001,J55=0,I55&gt;0),0,Phu_tai!$D$12+Phu_tai!$D$24*J55/Params!$D$26)</f>
        <v/>
      </c>
      <c r="M55">
        <f>IF(AND(K55&lt;0.0001,J55=0,I55&gt;0),0,Phu_tai!$D$13+Phu_tai!$D$25*J55/Params!$D$26)</f>
        <v/>
      </c>
    </row>
    <row r="56">
      <c r="I56">
        <f>54*Phu_tai!$D$39</f>
        <v/>
      </c>
      <c r="J56">
        <f>IF(I56&lt;Phu_tai!$D$15,Params!$D$27*I56,IF(I56&lt;Phu_tai!$D$15+Phu_tai!$D$17,Params!$D$26,IF(I56&lt;Phu_tai!$D$18,Params!$D$26-Params!$D$27*(I56-Phu_tai!$D$15-Phu_tai!$D$17),0)))+IF(AND((I56-Phu_tai!$D$18-Phu_tai!$D$40)&gt;=0,(I56-Phu_tai!$D$18-Phu_tai!$D$40)&lt;Phu_tai!$D$18),-(IF((I56-Phu_tai!$D$18-Phu_tai!$D$40)&lt;Phu_tai!$D$15,Params!$D$27*(I56-Phu_tai!$D$18-Phu_tai!$D$40),IF((I56-Phu_tai!$D$18-Phu_tai!$D$40)&lt;Phu_tai!$D$15+Phu_tai!$D$17,Params!$D$26,Params!$D$26-Params!$D$27*((I56-Phu_tai!$D$18-Phu_tai!$D$40)-Phu_tai!$D$15-Phu_tai!$D$17)))),0)</f>
        <v/>
      </c>
      <c r="K56">
        <f>MAX(0,K55+(J56+J55)/2*Phu_tai!$D$39)</f>
        <v/>
      </c>
      <c r="L56">
        <f>IF(AND(K56&lt;0.0001,J56=0,I56&gt;0),0,Phu_tai!$D$12+Phu_tai!$D$24*J56/Params!$D$26)</f>
        <v/>
      </c>
      <c r="M56">
        <f>IF(AND(K56&lt;0.0001,J56=0,I56&gt;0),0,Phu_tai!$D$13+Phu_tai!$D$25*J56/Params!$D$26)</f>
        <v/>
      </c>
    </row>
    <row r="57">
      <c r="I57">
        <f>55*Phu_tai!$D$39</f>
        <v/>
      </c>
      <c r="J57">
        <f>IF(I57&lt;Phu_tai!$D$15,Params!$D$27*I57,IF(I57&lt;Phu_tai!$D$15+Phu_tai!$D$17,Params!$D$26,IF(I57&lt;Phu_tai!$D$18,Params!$D$26-Params!$D$27*(I57-Phu_tai!$D$15-Phu_tai!$D$17),0)))+IF(AND((I57-Phu_tai!$D$18-Phu_tai!$D$40)&gt;=0,(I57-Phu_tai!$D$18-Phu_tai!$D$40)&lt;Phu_tai!$D$18),-(IF((I57-Phu_tai!$D$18-Phu_tai!$D$40)&lt;Phu_tai!$D$15,Params!$D$27*(I57-Phu_tai!$D$18-Phu_tai!$D$40),IF((I57-Phu_tai!$D$18-Phu_tai!$D$40)&lt;Phu_tai!$D$15+Phu_tai!$D$17,Params!$D$26,Params!$D$26-Params!$D$27*((I57-Phu_tai!$D$18-Phu_tai!$D$40)-Phu_tai!$D$15-Phu_tai!$D$17)))),0)</f>
        <v/>
      </c>
      <c r="K57">
        <f>MAX(0,K56+(J57+J56)/2*Phu_tai!$D$39)</f>
        <v/>
      </c>
      <c r="L57">
        <f>IF(AND(K57&lt;0.0001,J57=0,I57&gt;0),0,Phu_tai!$D$12+Phu_tai!$D$24*J57/Params!$D$26)</f>
        <v/>
      </c>
      <c r="M57">
        <f>IF(AND(K57&lt;0.0001,J57=0,I57&gt;0),0,Phu_tai!$D$13+Phu_tai!$D$25*J57/Params!$D$26)</f>
        <v/>
      </c>
    </row>
    <row r="58">
      <c r="I58">
        <f>56*Phu_tai!$D$39</f>
        <v/>
      </c>
      <c r="J58">
        <f>IF(I58&lt;Phu_tai!$D$15,Params!$D$27*I58,IF(I58&lt;Phu_tai!$D$15+Phu_tai!$D$17,Params!$D$26,IF(I58&lt;Phu_tai!$D$18,Params!$D$26-Params!$D$27*(I58-Phu_tai!$D$15-Phu_tai!$D$17),0)))+IF(AND((I58-Phu_tai!$D$18-Phu_tai!$D$40)&gt;=0,(I58-Phu_tai!$D$18-Phu_tai!$D$40)&lt;Phu_tai!$D$18),-(IF((I58-Phu_tai!$D$18-Phu_tai!$D$40)&lt;Phu_tai!$D$15,Params!$D$27*(I58-Phu_tai!$D$18-Phu_tai!$D$40),IF((I58-Phu_tai!$D$18-Phu_tai!$D$40)&lt;Phu_tai!$D$15+Phu_tai!$D$17,Params!$D$26,Params!$D$26-Params!$D$27*((I58-Phu_tai!$D$18-Phu_tai!$D$40)-Phu_tai!$D$15-Phu_tai!$D$17)))),0)</f>
        <v/>
      </c>
      <c r="K58">
        <f>MAX(0,K57+(J58+J57)/2*Phu_tai!$D$39)</f>
        <v/>
      </c>
      <c r="L58">
        <f>IF(AND(K58&lt;0.0001,J58=0,I58&gt;0),0,Phu_tai!$D$12+Phu_tai!$D$24*J58/Params!$D$26)</f>
        <v/>
      </c>
      <c r="M58">
        <f>IF(AND(K58&lt;0.0001,J58=0,I58&gt;0),0,Phu_tai!$D$13+Phu_tai!$D$25*J58/Params!$D$26)</f>
        <v/>
      </c>
    </row>
    <row r="59">
      <c r="I59">
        <f>57*Phu_tai!$D$39</f>
        <v/>
      </c>
      <c r="J59">
        <f>IF(I59&lt;Phu_tai!$D$15,Params!$D$27*I59,IF(I59&lt;Phu_tai!$D$15+Phu_tai!$D$17,Params!$D$26,IF(I59&lt;Phu_tai!$D$18,Params!$D$26-Params!$D$27*(I59-Phu_tai!$D$15-Phu_tai!$D$17),0)))+IF(AND((I59-Phu_tai!$D$18-Phu_tai!$D$40)&gt;=0,(I59-Phu_tai!$D$18-Phu_tai!$D$40)&lt;Phu_tai!$D$18),-(IF((I59-Phu_tai!$D$18-Phu_tai!$D$40)&lt;Phu_tai!$D$15,Params!$D$27*(I59-Phu_tai!$D$18-Phu_tai!$D$40),IF((I59-Phu_tai!$D$18-Phu_tai!$D$40)&lt;Phu_tai!$D$15+Phu_tai!$D$17,Params!$D$26,Params!$D$26-Params!$D$27*((I59-Phu_tai!$D$18-Phu_tai!$D$40)-Phu_tai!$D$15-Phu_tai!$D$17)))),0)</f>
        <v/>
      </c>
      <c r="K59">
        <f>MAX(0,K58+(J59+J58)/2*Phu_tai!$D$39)</f>
        <v/>
      </c>
      <c r="L59">
        <f>IF(AND(K59&lt;0.0001,J59=0,I59&gt;0),0,Phu_tai!$D$12+Phu_tai!$D$24*J59/Params!$D$26)</f>
        <v/>
      </c>
      <c r="M59">
        <f>IF(AND(K59&lt;0.0001,J59=0,I59&gt;0),0,Phu_tai!$D$13+Phu_tai!$D$25*J59/Params!$D$26)</f>
        <v/>
      </c>
    </row>
    <row r="60">
      <c r="I60">
        <f>58*Phu_tai!$D$39</f>
        <v/>
      </c>
      <c r="J60">
        <f>IF(I60&lt;Phu_tai!$D$15,Params!$D$27*I60,IF(I60&lt;Phu_tai!$D$15+Phu_tai!$D$17,Params!$D$26,IF(I60&lt;Phu_tai!$D$18,Params!$D$26-Params!$D$27*(I60-Phu_tai!$D$15-Phu_tai!$D$17),0)))+IF(AND((I60-Phu_tai!$D$18-Phu_tai!$D$40)&gt;=0,(I60-Phu_tai!$D$18-Phu_tai!$D$40)&lt;Phu_tai!$D$18),-(IF((I60-Phu_tai!$D$18-Phu_tai!$D$40)&lt;Phu_tai!$D$15,Params!$D$27*(I60-Phu_tai!$D$18-Phu_tai!$D$40),IF((I60-Phu_tai!$D$18-Phu_tai!$D$40)&lt;Phu_tai!$D$15+Phu_tai!$D$17,Params!$D$26,Params!$D$26-Params!$D$27*((I60-Phu_tai!$D$18-Phu_tai!$D$40)-Phu_tai!$D$15-Phu_tai!$D$17)))),0)</f>
        <v/>
      </c>
      <c r="K60">
        <f>MAX(0,K59+(J60+J59)/2*Phu_tai!$D$39)</f>
        <v/>
      </c>
      <c r="L60">
        <f>IF(AND(K60&lt;0.0001,J60=0,I60&gt;0),0,Phu_tai!$D$12+Phu_tai!$D$24*J60/Params!$D$26)</f>
        <v/>
      </c>
      <c r="M60">
        <f>IF(AND(K60&lt;0.0001,J60=0,I60&gt;0),0,Phu_tai!$D$13+Phu_tai!$D$25*J60/Params!$D$26)</f>
        <v/>
      </c>
    </row>
    <row r="61">
      <c r="I61">
        <f>59*Phu_tai!$D$39</f>
        <v/>
      </c>
      <c r="J61">
        <f>IF(I61&lt;Phu_tai!$D$15,Params!$D$27*I61,IF(I61&lt;Phu_tai!$D$15+Phu_tai!$D$17,Params!$D$26,IF(I61&lt;Phu_tai!$D$18,Params!$D$26-Params!$D$27*(I61-Phu_tai!$D$15-Phu_tai!$D$17),0)))+IF(AND((I61-Phu_tai!$D$18-Phu_tai!$D$40)&gt;=0,(I61-Phu_tai!$D$18-Phu_tai!$D$40)&lt;Phu_tai!$D$18),-(IF((I61-Phu_tai!$D$18-Phu_tai!$D$40)&lt;Phu_tai!$D$15,Params!$D$27*(I61-Phu_tai!$D$18-Phu_tai!$D$40),IF((I61-Phu_tai!$D$18-Phu_tai!$D$40)&lt;Phu_tai!$D$15+Phu_tai!$D$17,Params!$D$26,Params!$D$26-Params!$D$27*((I61-Phu_tai!$D$18-Phu_tai!$D$40)-Phu_tai!$D$15-Phu_tai!$D$17)))),0)</f>
        <v/>
      </c>
      <c r="K61">
        <f>MAX(0,K60+(J61+J60)/2*Phu_tai!$D$39)</f>
        <v/>
      </c>
      <c r="L61">
        <f>IF(AND(K61&lt;0.0001,J61=0,I61&gt;0),0,Phu_tai!$D$12+Phu_tai!$D$24*J61/Params!$D$26)</f>
        <v/>
      </c>
      <c r="M61">
        <f>IF(AND(K61&lt;0.0001,J61=0,I61&gt;0),0,Phu_tai!$D$13+Phu_tai!$D$25*J61/Params!$D$26)</f>
        <v/>
      </c>
    </row>
    <row r="62">
      <c r="I62">
        <f>60*Phu_tai!$D$39</f>
        <v/>
      </c>
      <c r="J62">
        <f>IF(I62&lt;Phu_tai!$D$15,Params!$D$27*I62,IF(I62&lt;Phu_tai!$D$15+Phu_tai!$D$17,Params!$D$26,IF(I62&lt;Phu_tai!$D$18,Params!$D$26-Params!$D$27*(I62-Phu_tai!$D$15-Phu_tai!$D$17),0)))+IF(AND((I62-Phu_tai!$D$18-Phu_tai!$D$40)&gt;=0,(I62-Phu_tai!$D$18-Phu_tai!$D$40)&lt;Phu_tai!$D$18),-(IF((I62-Phu_tai!$D$18-Phu_tai!$D$40)&lt;Phu_tai!$D$15,Params!$D$27*(I62-Phu_tai!$D$18-Phu_tai!$D$40),IF((I62-Phu_tai!$D$18-Phu_tai!$D$40)&lt;Phu_tai!$D$15+Phu_tai!$D$17,Params!$D$26,Params!$D$26-Params!$D$27*((I62-Phu_tai!$D$18-Phu_tai!$D$40)-Phu_tai!$D$15-Phu_tai!$D$17)))),0)</f>
        <v/>
      </c>
      <c r="K62">
        <f>MAX(0,K61+(J62+J61)/2*Phu_tai!$D$39)</f>
        <v/>
      </c>
      <c r="L62">
        <f>IF(AND(K62&lt;0.0001,J62=0,I62&gt;0),0,Phu_tai!$D$12+Phu_tai!$D$24*J62/Params!$D$26)</f>
        <v/>
      </c>
      <c r="M62">
        <f>IF(AND(K62&lt;0.0001,J62=0,I62&gt;0),0,Phu_tai!$D$13+Phu_tai!$D$25*J62/Params!$D$26)</f>
        <v/>
      </c>
    </row>
    <row r="63">
      <c r="I63">
        <f>61*Phu_tai!$D$39</f>
        <v/>
      </c>
      <c r="J63">
        <f>IF(I63&lt;Phu_tai!$D$15,Params!$D$27*I63,IF(I63&lt;Phu_tai!$D$15+Phu_tai!$D$17,Params!$D$26,IF(I63&lt;Phu_tai!$D$18,Params!$D$26-Params!$D$27*(I63-Phu_tai!$D$15-Phu_tai!$D$17),0)))+IF(AND((I63-Phu_tai!$D$18-Phu_tai!$D$40)&gt;=0,(I63-Phu_tai!$D$18-Phu_tai!$D$40)&lt;Phu_tai!$D$18),-(IF((I63-Phu_tai!$D$18-Phu_tai!$D$40)&lt;Phu_tai!$D$15,Params!$D$27*(I63-Phu_tai!$D$18-Phu_tai!$D$40),IF((I63-Phu_tai!$D$18-Phu_tai!$D$40)&lt;Phu_tai!$D$15+Phu_tai!$D$17,Params!$D$26,Params!$D$26-Params!$D$27*((I63-Phu_tai!$D$18-Phu_tai!$D$40)-Phu_tai!$D$15-Phu_tai!$D$17)))),0)</f>
        <v/>
      </c>
      <c r="K63">
        <f>MAX(0,K62+(J63+J62)/2*Phu_tai!$D$39)</f>
        <v/>
      </c>
      <c r="L63">
        <f>IF(AND(K63&lt;0.0001,J63=0,I63&gt;0),0,Phu_tai!$D$12+Phu_tai!$D$24*J63/Params!$D$26)</f>
        <v/>
      </c>
      <c r="M63">
        <f>IF(AND(K63&lt;0.0001,J63=0,I63&gt;0),0,Phu_tai!$D$13+Phu_tai!$D$25*J63/Params!$D$26)</f>
        <v/>
      </c>
    </row>
    <row r="64">
      <c r="I64">
        <f>62*Phu_tai!$D$39</f>
        <v/>
      </c>
      <c r="J64">
        <f>IF(I64&lt;Phu_tai!$D$15,Params!$D$27*I64,IF(I64&lt;Phu_tai!$D$15+Phu_tai!$D$17,Params!$D$26,IF(I64&lt;Phu_tai!$D$18,Params!$D$26-Params!$D$27*(I64-Phu_tai!$D$15-Phu_tai!$D$17),0)))+IF(AND((I64-Phu_tai!$D$18-Phu_tai!$D$40)&gt;=0,(I64-Phu_tai!$D$18-Phu_tai!$D$40)&lt;Phu_tai!$D$18),-(IF((I64-Phu_tai!$D$18-Phu_tai!$D$40)&lt;Phu_tai!$D$15,Params!$D$27*(I64-Phu_tai!$D$18-Phu_tai!$D$40),IF((I64-Phu_tai!$D$18-Phu_tai!$D$40)&lt;Phu_tai!$D$15+Phu_tai!$D$17,Params!$D$26,Params!$D$26-Params!$D$27*((I64-Phu_tai!$D$18-Phu_tai!$D$40)-Phu_tai!$D$15-Phu_tai!$D$17)))),0)</f>
        <v/>
      </c>
      <c r="K64">
        <f>MAX(0,K63+(J64+J63)/2*Phu_tai!$D$39)</f>
        <v/>
      </c>
      <c r="L64">
        <f>IF(AND(K64&lt;0.0001,J64=0,I64&gt;0),0,Phu_tai!$D$12+Phu_tai!$D$24*J64/Params!$D$26)</f>
        <v/>
      </c>
      <c r="M64">
        <f>IF(AND(K64&lt;0.0001,J64=0,I64&gt;0),0,Phu_tai!$D$13+Phu_tai!$D$25*J64/Params!$D$26)</f>
        <v/>
      </c>
    </row>
    <row r="65">
      <c r="I65">
        <f>63*Phu_tai!$D$39</f>
        <v/>
      </c>
      <c r="J65">
        <f>IF(I65&lt;Phu_tai!$D$15,Params!$D$27*I65,IF(I65&lt;Phu_tai!$D$15+Phu_tai!$D$17,Params!$D$26,IF(I65&lt;Phu_tai!$D$18,Params!$D$26-Params!$D$27*(I65-Phu_tai!$D$15-Phu_tai!$D$17),0)))+IF(AND((I65-Phu_tai!$D$18-Phu_tai!$D$40)&gt;=0,(I65-Phu_tai!$D$18-Phu_tai!$D$40)&lt;Phu_tai!$D$18),-(IF((I65-Phu_tai!$D$18-Phu_tai!$D$40)&lt;Phu_tai!$D$15,Params!$D$27*(I65-Phu_tai!$D$18-Phu_tai!$D$40),IF((I65-Phu_tai!$D$18-Phu_tai!$D$40)&lt;Phu_tai!$D$15+Phu_tai!$D$17,Params!$D$26,Params!$D$26-Params!$D$27*((I65-Phu_tai!$D$18-Phu_tai!$D$40)-Phu_tai!$D$15-Phu_tai!$D$17)))),0)</f>
        <v/>
      </c>
      <c r="K65">
        <f>MAX(0,K64+(J65+J64)/2*Phu_tai!$D$39)</f>
        <v/>
      </c>
      <c r="L65">
        <f>IF(AND(K65&lt;0.0001,J65=0,I65&gt;0),0,Phu_tai!$D$12+Phu_tai!$D$24*J65/Params!$D$26)</f>
        <v/>
      </c>
      <c r="M65">
        <f>IF(AND(K65&lt;0.0001,J65=0,I65&gt;0),0,Phu_tai!$D$13+Phu_tai!$D$25*J65/Params!$D$26)</f>
        <v/>
      </c>
    </row>
    <row r="66">
      <c r="I66">
        <f>64*Phu_tai!$D$39</f>
        <v/>
      </c>
      <c r="J66">
        <f>IF(I66&lt;Phu_tai!$D$15,Params!$D$27*I66,IF(I66&lt;Phu_tai!$D$15+Phu_tai!$D$17,Params!$D$26,IF(I66&lt;Phu_tai!$D$18,Params!$D$26-Params!$D$27*(I66-Phu_tai!$D$15-Phu_tai!$D$17),0)))+IF(AND((I66-Phu_tai!$D$18-Phu_tai!$D$40)&gt;=0,(I66-Phu_tai!$D$18-Phu_tai!$D$40)&lt;Phu_tai!$D$18),-(IF((I66-Phu_tai!$D$18-Phu_tai!$D$40)&lt;Phu_tai!$D$15,Params!$D$27*(I66-Phu_tai!$D$18-Phu_tai!$D$40),IF((I66-Phu_tai!$D$18-Phu_tai!$D$40)&lt;Phu_tai!$D$15+Phu_tai!$D$17,Params!$D$26,Params!$D$26-Params!$D$27*((I66-Phu_tai!$D$18-Phu_tai!$D$40)-Phu_tai!$D$15-Phu_tai!$D$17)))),0)</f>
        <v/>
      </c>
      <c r="K66">
        <f>MAX(0,K65+(J66+J65)/2*Phu_tai!$D$39)</f>
        <v/>
      </c>
      <c r="L66">
        <f>IF(AND(K66&lt;0.0001,J66=0,I66&gt;0),0,Phu_tai!$D$12+Phu_tai!$D$24*J66/Params!$D$26)</f>
        <v/>
      </c>
      <c r="M66">
        <f>IF(AND(K66&lt;0.0001,J66=0,I66&gt;0),0,Phu_tai!$D$13+Phu_tai!$D$25*J66/Params!$D$26)</f>
        <v/>
      </c>
    </row>
    <row r="67">
      <c r="I67">
        <f>65*Phu_tai!$D$39</f>
        <v/>
      </c>
      <c r="J67">
        <f>IF(I67&lt;Phu_tai!$D$15,Params!$D$27*I67,IF(I67&lt;Phu_tai!$D$15+Phu_tai!$D$17,Params!$D$26,IF(I67&lt;Phu_tai!$D$18,Params!$D$26-Params!$D$27*(I67-Phu_tai!$D$15-Phu_tai!$D$17),0)))+IF(AND((I67-Phu_tai!$D$18-Phu_tai!$D$40)&gt;=0,(I67-Phu_tai!$D$18-Phu_tai!$D$40)&lt;Phu_tai!$D$18),-(IF((I67-Phu_tai!$D$18-Phu_tai!$D$40)&lt;Phu_tai!$D$15,Params!$D$27*(I67-Phu_tai!$D$18-Phu_tai!$D$40),IF((I67-Phu_tai!$D$18-Phu_tai!$D$40)&lt;Phu_tai!$D$15+Phu_tai!$D$17,Params!$D$26,Params!$D$26-Params!$D$27*((I67-Phu_tai!$D$18-Phu_tai!$D$40)-Phu_tai!$D$15-Phu_tai!$D$17)))),0)</f>
        <v/>
      </c>
      <c r="K67">
        <f>MAX(0,K66+(J67+J66)/2*Phu_tai!$D$39)</f>
        <v/>
      </c>
      <c r="L67">
        <f>IF(AND(K67&lt;0.0001,J67=0,I67&gt;0),0,Phu_tai!$D$12+Phu_tai!$D$24*J67/Params!$D$26)</f>
        <v/>
      </c>
      <c r="M67">
        <f>IF(AND(K67&lt;0.0001,J67=0,I67&gt;0),0,Phu_tai!$D$13+Phu_tai!$D$25*J67/Params!$D$26)</f>
        <v/>
      </c>
    </row>
    <row r="68">
      <c r="I68">
        <f>66*Phu_tai!$D$39</f>
        <v/>
      </c>
      <c r="J68">
        <f>IF(I68&lt;Phu_tai!$D$15,Params!$D$27*I68,IF(I68&lt;Phu_tai!$D$15+Phu_tai!$D$17,Params!$D$26,IF(I68&lt;Phu_tai!$D$18,Params!$D$26-Params!$D$27*(I68-Phu_tai!$D$15-Phu_tai!$D$17),0)))+IF(AND((I68-Phu_tai!$D$18-Phu_tai!$D$40)&gt;=0,(I68-Phu_tai!$D$18-Phu_tai!$D$40)&lt;Phu_tai!$D$18),-(IF((I68-Phu_tai!$D$18-Phu_tai!$D$40)&lt;Phu_tai!$D$15,Params!$D$27*(I68-Phu_tai!$D$18-Phu_tai!$D$40),IF((I68-Phu_tai!$D$18-Phu_tai!$D$40)&lt;Phu_tai!$D$15+Phu_tai!$D$17,Params!$D$26,Params!$D$26-Params!$D$27*((I68-Phu_tai!$D$18-Phu_tai!$D$40)-Phu_tai!$D$15-Phu_tai!$D$17)))),0)</f>
        <v/>
      </c>
      <c r="K68">
        <f>MAX(0,K67+(J68+J67)/2*Phu_tai!$D$39)</f>
        <v/>
      </c>
      <c r="L68">
        <f>IF(AND(K68&lt;0.0001,J68=0,I68&gt;0),0,Phu_tai!$D$12+Phu_tai!$D$24*J68/Params!$D$26)</f>
        <v/>
      </c>
      <c r="M68">
        <f>IF(AND(K68&lt;0.0001,J68=0,I68&gt;0),0,Phu_tai!$D$13+Phu_tai!$D$25*J68/Params!$D$26)</f>
        <v/>
      </c>
    </row>
    <row r="69">
      <c r="I69">
        <f>67*Phu_tai!$D$39</f>
        <v/>
      </c>
      <c r="J69">
        <f>IF(I69&lt;Phu_tai!$D$15,Params!$D$27*I69,IF(I69&lt;Phu_tai!$D$15+Phu_tai!$D$17,Params!$D$26,IF(I69&lt;Phu_tai!$D$18,Params!$D$26-Params!$D$27*(I69-Phu_tai!$D$15-Phu_tai!$D$17),0)))+IF(AND((I69-Phu_tai!$D$18-Phu_tai!$D$40)&gt;=0,(I69-Phu_tai!$D$18-Phu_tai!$D$40)&lt;Phu_tai!$D$18),-(IF((I69-Phu_tai!$D$18-Phu_tai!$D$40)&lt;Phu_tai!$D$15,Params!$D$27*(I69-Phu_tai!$D$18-Phu_tai!$D$40),IF((I69-Phu_tai!$D$18-Phu_tai!$D$40)&lt;Phu_tai!$D$15+Phu_tai!$D$17,Params!$D$26,Params!$D$26-Params!$D$27*((I69-Phu_tai!$D$18-Phu_tai!$D$40)-Phu_tai!$D$15-Phu_tai!$D$17)))),0)</f>
        <v/>
      </c>
      <c r="K69">
        <f>MAX(0,K68+(J69+J68)/2*Phu_tai!$D$39)</f>
        <v/>
      </c>
      <c r="L69">
        <f>IF(AND(K69&lt;0.0001,J69=0,I69&gt;0),0,Phu_tai!$D$12+Phu_tai!$D$24*J69/Params!$D$26)</f>
        <v/>
      </c>
      <c r="M69">
        <f>IF(AND(K69&lt;0.0001,J69=0,I69&gt;0),0,Phu_tai!$D$13+Phu_tai!$D$25*J69/Params!$D$26)</f>
        <v/>
      </c>
    </row>
    <row r="70">
      <c r="I70">
        <f>68*Phu_tai!$D$39</f>
        <v/>
      </c>
      <c r="J70">
        <f>IF(I70&lt;Phu_tai!$D$15,Params!$D$27*I70,IF(I70&lt;Phu_tai!$D$15+Phu_tai!$D$17,Params!$D$26,IF(I70&lt;Phu_tai!$D$18,Params!$D$26-Params!$D$27*(I70-Phu_tai!$D$15-Phu_tai!$D$17),0)))+IF(AND((I70-Phu_tai!$D$18-Phu_tai!$D$40)&gt;=0,(I70-Phu_tai!$D$18-Phu_tai!$D$40)&lt;Phu_tai!$D$18),-(IF((I70-Phu_tai!$D$18-Phu_tai!$D$40)&lt;Phu_tai!$D$15,Params!$D$27*(I70-Phu_tai!$D$18-Phu_tai!$D$40),IF((I70-Phu_tai!$D$18-Phu_tai!$D$40)&lt;Phu_tai!$D$15+Phu_tai!$D$17,Params!$D$26,Params!$D$26-Params!$D$27*((I70-Phu_tai!$D$18-Phu_tai!$D$40)-Phu_tai!$D$15-Phu_tai!$D$17)))),0)</f>
        <v/>
      </c>
      <c r="K70">
        <f>MAX(0,K69+(J70+J69)/2*Phu_tai!$D$39)</f>
        <v/>
      </c>
      <c r="L70">
        <f>IF(AND(K70&lt;0.0001,J70=0,I70&gt;0),0,Phu_tai!$D$12+Phu_tai!$D$24*J70/Params!$D$26)</f>
        <v/>
      </c>
      <c r="M70">
        <f>IF(AND(K70&lt;0.0001,J70=0,I70&gt;0),0,Phu_tai!$D$13+Phu_tai!$D$25*J70/Params!$D$26)</f>
        <v/>
      </c>
    </row>
    <row r="71">
      <c r="I71">
        <f>69*Phu_tai!$D$39</f>
        <v/>
      </c>
      <c r="J71">
        <f>IF(I71&lt;Phu_tai!$D$15,Params!$D$27*I71,IF(I71&lt;Phu_tai!$D$15+Phu_tai!$D$17,Params!$D$26,IF(I71&lt;Phu_tai!$D$18,Params!$D$26-Params!$D$27*(I71-Phu_tai!$D$15-Phu_tai!$D$17),0)))+IF(AND((I71-Phu_tai!$D$18-Phu_tai!$D$40)&gt;=0,(I71-Phu_tai!$D$18-Phu_tai!$D$40)&lt;Phu_tai!$D$18),-(IF((I71-Phu_tai!$D$18-Phu_tai!$D$40)&lt;Phu_tai!$D$15,Params!$D$27*(I71-Phu_tai!$D$18-Phu_tai!$D$40),IF((I71-Phu_tai!$D$18-Phu_tai!$D$40)&lt;Phu_tai!$D$15+Phu_tai!$D$17,Params!$D$26,Params!$D$26-Params!$D$27*((I71-Phu_tai!$D$18-Phu_tai!$D$40)-Phu_tai!$D$15-Phu_tai!$D$17)))),0)</f>
        <v/>
      </c>
      <c r="K71">
        <f>MAX(0,K70+(J71+J70)/2*Phu_tai!$D$39)</f>
        <v/>
      </c>
      <c r="L71">
        <f>IF(AND(K71&lt;0.0001,J71=0,I71&gt;0),0,Phu_tai!$D$12+Phu_tai!$D$24*J71/Params!$D$26)</f>
        <v/>
      </c>
      <c r="M71">
        <f>IF(AND(K71&lt;0.0001,J71=0,I71&gt;0),0,Phu_tai!$D$13+Phu_tai!$D$25*J71/Params!$D$26)</f>
        <v/>
      </c>
    </row>
    <row r="72">
      <c r="I72">
        <f>70*Phu_tai!$D$39</f>
        <v/>
      </c>
      <c r="J72">
        <f>IF(I72&lt;Phu_tai!$D$15,Params!$D$27*I72,IF(I72&lt;Phu_tai!$D$15+Phu_tai!$D$17,Params!$D$26,IF(I72&lt;Phu_tai!$D$18,Params!$D$26-Params!$D$27*(I72-Phu_tai!$D$15-Phu_tai!$D$17),0)))+IF(AND((I72-Phu_tai!$D$18-Phu_tai!$D$40)&gt;=0,(I72-Phu_tai!$D$18-Phu_tai!$D$40)&lt;Phu_tai!$D$18),-(IF((I72-Phu_tai!$D$18-Phu_tai!$D$40)&lt;Phu_tai!$D$15,Params!$D$27*(I72-Phu_tai!$D$18-Phu_tai!$D$40),IF((I72-Phu_tai!$D$18-Phu_tai!$D$40)&lt;Phu_tai!$D$15+Phu_tai!$D$17,Params!$D$26,Params!$D$26-Params!$D$27*((I72-Phu_tai!$D$18-Phu_tai!$D$40)-Phu_tai!$D$15-Phu_tai!$D$17)))),0)</f>
        <v/>
      </c>
      <c r="K72">
        <f>MAX(0,K71+(J72+J71)/2*Phu_tai!$D$39)</f>
        <v/>
      </c>
      <c r="L72">
        <f>IF(AND(K72&lt;0.0001,J72=0,I72&gt;0),0,Phu_tai!$D$12+Phu_tai!$D$24*J72/Params!$D$26)</f>
        <v/>
      </c>
      <c r="M72">
        <f>IF(AND(K72&lt;0.0001,J72=0,I72&gt;0),0,Phu_tai!$D$13+Phu_tai!$D$25*J72/Params!$D$26)</f>
        <v/>
      </c>
    </row>
    <row r="73">
      <c r="I73">
        <f>71*Phu_tai!$D$39</f>
        <v/>
      </c>
      <c r="J73">
        <f>IF(I73&lt;Phu_tai!$D$15,Params!$D$27*I73,IF(I73&lt;Phu_tai!$D$15+Phu_tai!$D$17,Params!$D$26,IF(I73&lt;Phu_tai!$D$18,Params!$D$26-Params!$D$27*(I73-Phu_tai!$D$15-Phu_tai!$D$17),0)))+IF(AND((I73-Phu_tai!$D$18-Phu_tai!$D$40)&gt;=0,(I73-Phu_tai!$D$18-Phu_tai!$D$40)&lt;Phu_tai!$D$18),-(IF((I73-Phu_tai!$D$18-Phu_tai!$D$40)&lt;Phu_tai!$D$15,Params!$D$27*(I73-Phu_tai!$D$18-Phu_tai!$D$40),IF((I73-Phu_tai!$D$18-Phu_tai!$D$40)&lt;Phu_tai!$D$15+Phu_tai!$D$17,Params!$D$26,Params!$D$26-Params!$D$27*((I73-Phu_tai!$D$18-Phu_tai!$D$40)-Phu_tai!$D$15-Phu_tai!$D$17)))),0)</f>
        <v/>
      </c>
      <c r="K73">
        <f>MAX(0,K72+(J73+J72)/2*Phu_tai!$D$39)</f>
        <v/>
      </c>
      <c r="L73">
        <f>IF(AND(K73&lt;0.0001,J73=0,I73&gt;0),0,Phu_tai!$D$12+Phu_tai!$D$24*J73/Params!$D$26)</f>
        <v/>
      </c>
      <c r="M73">
        <f>IF(AND(K73&lt;0.0001,J73=0,I73&gt;0),0,Phu_tai!$D$13+Phu_tai!$D$25*J73/Params!$D$26)</f>
        <v/>
      </c>
    </row>
    <row r="74">
      <c r="I74">
        <f>72*Phu_tai!$D$39</f>
        <v/>
      </c>
      <c r="J74">
        <f>IF(I74&lt;Phu_tai!$D$15,Params!$D$27*I74,IF(I74&lt;Phu_tai!$D$15+Phu_tai!$D$17,Params!$D$26,IF(I74&lt;Phu_tai!$D$18,Params!$D$26-Params!$D$27*(I74-Phu_tai!$D$15-Phu_tai!$D$17),0)))+IF(AND((I74-Phu_tai!$D$18-Phu_tai!$D$40)&gt;=0,(I74-Phu_tai!$D$18-Phu_tai!$D$40)&lt;Phu_tai!$D$18),-(IF((I74-Phu_tai!$D$18-Phu_tai!$D$40)&lt;Phu_tai!$D$15,Params!$D$27*(I74-Phu_tai!$D$18-Phu_tai!$D$40),IF((I74-Phu_tai!$D$18-Phu_tai!$D$40)&lt;Phu_tai!$D$15+Phu_tai!$D$17,Params!$D$26,Params!$D$26-Params!$D$27*((I74-Phu_tai!$D$18-Phu_tai!$D$40)-Phu_tai!$D$15-Phu_tai!$D$17)))),0)</f>
        <v/>
      </c>
      <c r="K74">
        <f>MAX(0,K73+(J74+J73)/2*Phu_tai!$D$39)</f>
        <v/>
      </c>
      <c r="L74">
        <f>IF(AND(K74&lt;0.0001,J74=0,I74&gt;0),0,Phu_tai!$D$12+Phu_tai!$D$24*J74/Params!$D$26)</f>
        <v/>
      </c>
      <c r="M74">
        <f>IF(AND(K74&lt;0.0001,J74=0,I74&gt;0),0,Phu_tai!$D$13+Phu_tai!$D$25*J74/Params!$D$26)</f>
        <v/>
      </c>
    </row>
    <row r="75">
      <c r="I75">
        <f>73*Phu_tai!$D$39</f>
        <v/>
      </c>
      <c r="J75">
        <f>IF(I75&lt;Phu_tai!$D$15,Params!$D$27*I75,IF(I75&lt;Phu_tai!$D$15+Phu_tai!$D$17,Params!$D$26,IF(I75&lt;Phu_tai!$D$18,Params!$D$26-Params!$D$27*(I75-Phu_tai!$D$15-Phu_tai!$D$17),0)))+IF(AND((I75-Phu_tai!$D$18-Phu_tai!$D$40)&gt;=0,(I75-Phu_tai!$D$18-Phu_tai!$D$40)&lt;Phu_tai!$D$18),-(IF((I75-Phu_tai!$D$18-Phu_tai!$D$40)&lt;Phu_tai!$D$15,Params!$D$27*(I75-Phu_tai!$D$18-Phu_tai!$D$40),IF((I75-Phu_tai!$D$18-Phu_tai!$D$40)&lt;Phu_tai!$D$15+Phu_tai!$D$17,Params!$D$26,Params!$D$26-Params!$D$27*((I75-Phu_tai!$D$18-Phu_tai!$D$40)-Phu_tai!$D$15-Phu_tai!$D$17)))),0)</f>
        <v/>
      </c>
      <c r="K75">
        <f>MAX(0,K74+(J75+J74)/2*Phu_tai!$D$39)</f>
        <v/>
      </c>
      <c r="L75">
        <f>IF(AND(K75&lt;0.0001,J75=0,I75&gt;0),0,Phu_tai!$D$12+Phu_tai!$D$24*J75/Params!$D$26)</f>
        <v/>
      </c>
      <c r="M75">
        <f>IF(AND(K75&lt;0.0001,J75=0,I75&gt;0),0,Phu_tai!$D$13+Phu_tai!$D$25*J75/Params!$D$26)</f>
        <v/>
      </c>
    </row>
    <row r="76">
      <c r="I76">
        <f>74*Phu_tai!$D$39</f>
        <v/>
      </c>
      <c r="J76">
        <f>IF(I76&lt;Phu_tai!$D$15,Params!$D$27*I76,IF(I76&lt;Phu_tai!$D$15+Phu_tai!$D$17,Params!$D$26,IF(I76&lt;Phu_tai!$D$18,Params!$D$26-Params!$D$27*(I76-Phu_tai!$D$15-Phu_tai!$D$17),0)))+IF(AND((I76-Phu_tai!$D$18-Phu_tai!$D$40)&gt;=0,(I76-Phu_tai!$D$18-Phu_tai!$D$40)&lt;Phu_tai!$D$18),-(IF((I76-Phu_tai!$D$18-Phu_tai!$D$40)&lt;Phu_tai!$D$15,Params!$D$27*(I76-Phu_tai!$D$18-Phu_tai!$D$40),IF((I76-Phu_tai!$D$18-Phu_tai!$D$40)&lt;Phu_tai!$D$15+Phu_tai!$D$17,Params!$D$26,Params!$D$26-Params!$D$27*((I76-Phu_tai!$D$18-Phu_tai!$D$40)-Phu_tai!$D$15-Phu_tai!$D$17)))),0)</f>
        <v/>
      </c>
      <c r="K76">
        <f>MAX(0,K75+(J76+J75)/2*Phu_tai!$D$39)</f>
        <v/>
      </c>
      <c r="L76">
        <f>IF(AND(K76&lt;0.0001,J76=0,I76&gt;0),0,Phu_tai!$D$12+Phu_tai!$D$24*J76/Params!$D$26)</f>
        <v/>
      </c>
      <c r="M76">
        <f>IF(AND(K76&lt;0.0001,J76=0,I76&gt;0),0,Phu_tai!$D$13+Phu_tai!$D$25*J76/Params!$D$26)</f>
        <v/>
      </c>
    </row>
    <row r="77">
      <c r="I77">
        <f>75*Phu_tai!$D$39</f>
        <v/>
      </c>
      <c r="J77">
        <f>IF(I77&lt;Phu_tai!$D$15,Params!$D$27*I77,IF(I77&lt;Phu_tai!$D$15+Phu_tai!$D$17,Params!$D$26,IF(I77&lt;Phu_tai!$D$18,Params!$D$26-Params!$D$27*(I77-Phu_tai!$D$15-Phu_tai!$D$17),0)))+IF(AND((I77-Phu_tai!$D$18-Phu_tai!$D$40)&gt;=0,(I77-Phu_tai!$D$18-Phu_tai!$D$40)&lt;Phu_tai!$D$18),-(IF((I77-Phu_tai!$D$18-Phu_tai!$D$40)&lt;Phu_tai!$D$15,Params!$D$27*(I77-Phu_tai!$D$18-Phu_tai!$D$40),IF((I77-Phu_tai!$D$18-Phu_tai!$D$40)&lt;Phu_tai!$D$15+Phu_tai!$D$17,Params!$D$26,Params!$D$26-Params!$D$27*((I77-Phu_tai!$D$18-Phu_tai!$D$40)-Phu_tai!$D$15-Phu_tai!$D$17)))),0)</f>
        <v/>
      </c>
      <c r="K77">
        <f>MAX(0,K76+(J77+J76)/2*Phu_tai!$D$39)</f>
        <v/>
      </c>
      <c r="L77">
        <f>IF(AND(K77&lt;0.0001,J77=0,I77&gt;0),0,Phu_tai!$D$12+Phu_tai!$D$24*J77/Params!$D$26)</f>
        <v/>
      </c>
      <c r="M77">
        <f>IF(AND(K77&lt;0.0001,J77=0,I77&gt;0),0,Phu_tai!$D$13+Phu_tai!$D$25*J77/Params!$D$26)</f>
        <v/>
      </c>
    </row>
    <row r="78">
      <c r="I78">
        <f>76*Phu_tai!$D$39</f>
        <v/>
      </c>
      <c r="J78">
        <f>IF(I78&lt;Phu_tai!$D$15,Params!$D$27*I78,IF(I78&lt;Phu_tai!$D$15+Phu_tai!$D$17,Params!$D$26,IF(I78&lt;Phu_tai!$D$18,Params!$D$26-Params!$D$27*(I78-Phu_tai!$D$15-Phu_tai!$D$17),0)))+IF(AND((I78-Phu_tai!$D$18-Phu_tai!$D$40)&gt;=0,(I78-Phu_tai!$D$18-Phu_tai!$D$40)&lt;Phu_tai!$D$18),-(IF((I78-Phu_tai!$D$18-Phu_tai!$D$40)&lt;Phu_tai!$D$15,Params!$D$27*(I78-Phu_tai!$D$18-Phu_tai!$D$40),IF((I78-Phu_tai!$D$18-Phu_tai!$D$40)&lt;Phu_tai!$D$15+Phu_tai!$D$17,Params!$D$26,Params!$D$26-Params!$D$27*((I78-Phu_tai!$D$18-Phu_tai!$D$40)-Phu_tai!$D$15-Phu_tai!$D$17)))),0)</f>
        <v/>
      </c>
      <c r="K78">
        <f>MAX(0,K77+(J78+J77)/2*Phu_tai!$D$39)</f>
        <v/>
      </c>
      <c r="L78">
        <f>IF(AND(K78&lt;0.0001,J78=0,I78&gt;0),0,Phu_tai!$D$12+Phu_tai!$D$24*J78/Params!$D$26)</f>
        <v/>
      </c>
      <c r="M78">
        <f>IF(AND(K78&lt;0.0001,J78=0,I78&gt;0),0,Phu_tai!$D$13+Phu_tai!$D$25*J78/Params!$D$26)</f>
        <v/>
      </c>
    </row>
    <row r="79">
      <c r="I79">
        <f>77*Phu_tai!$D$39</f>
        <v/>
      </c>
      <c r="J79">
        <f>IF(I79&lt;Phu_tai!$D$15,Params!$D$27*I79,IF(I79&lt;Phu_tai!$D$15+Phu_tai!$D$17,Params!$D$26,IF(I79&lt;Phu_tai!$D$18,Params!$D$26-Params!$D$27*(I79-Phu_tai!$D$15-Phu_tai!$D$17),0)))+IF(AND((I79-Phu_tai!$D$18-Phu_tai!$D$40)&gt;=0,(I79-Phu_tai!$D$18-Phu_tai!$D$40)&lt;Phu_tai!$D$18),-(IF((I79-Phu_tai!$D$18-Phu_tai!$D$40)&lt;Phu_tai!$D$15,Params!$D$27*(I79-Phu_tai!$D$18-Phu_tai!$D$40),IF((I79-Phu_tai!$D$18-Phu_tai!$D$40)&lt;Phu_tai!$D$15+Phu_tai!$D$17,Params!$D$26,Params!$D$26-Params!$D$27*((I79-Phu_tai!$D$18-Phu_tai!$D$40)-Phu_tai!$D$15-Phu_tai!$D$17)))),0)</f>
        <v/>
      </c>
      <c r="K79">
        <f>MAX(0,K78+(J79+J78)/2*Phu_tai!$D$39)</f>
        <v/>
      </c>
      <c r="L79">
        <f>IF(AND(K79&lt;0.0001,J79=0,I79&gt;0),0,Phu_tai!$D$12+Phu_tai!$D$24*J79/Params!$D$26)</f>
        <v/>
      </c>
      <c r="M79">
        <f>IF(AND(K79&lt;0.0001,J79=0,I79&gt;0),0,Phu_tai!$D$13+Phu_tai!$D$25*J79/Params!$D$26)</f>
        <v/>
      </c>
    </row>
    <row r="80">
      <c r="I80">
        <f>78*Phu_tai!$D$39</f>
        <v/>
      </c>
      <c r="J80">
        <f>IF(I80&lt;Phu_tai!$D$15,Params!$D$27*I80,IF(I80&lt;Phu_tai!$D$15+Phu_tai!$D$17,Params!$D$26,IF(I80&lt;Phu_tai!$D$18,Params!$D$26-Params!$D$27*(I80-Phu_tai!$D$15-Phu_tai!$D$17),0)))+IF(AND((I80-Phu_tai!$D$18-Phu_tai!$D$40)&gt;=0,(I80-Phu_tai!$D$18-Phu_tai!$D$40)&lt;Phu_tai!$D$18),-(IF((I80-Phu_tai!$D$18-Phu_tai!$D$40)&lt;Phu_tai!$D$15,Params!$D$27*(I80-Phu_tai!$D$18-Phu_tai!$D$40),IF((I80-Phu_tai!$D$18-Phu_tai!$D$40)&lt;Phu_tai!$D$15+Phu_tai!$D$17,Params!$D$26,Params!$D$26-Params!$D$27*((I80-Phu_tai!$D$18-Phu_tai!$D$40)-Phu_tai!$D$15-Phu_tai!$D$17)))),0)</f>
        <v/>
      </c>
      <c r="K80">
        <f>MAX(0,K79+(J80+J79)/2*Phu_tai!$D$39)</f>
        <v/>
      </c>
      <c r="L80">
        <f>IF(AND(K80&lt;0.0001,J80=0,I80&gt;0),0,Phu_tai!$D$12+Phu_tai!$D$24*J80/Params!$D$26)</f>
        <v/>
      </c>
      <c r="M80">
        <f>IF(AND(K80&lt;0.0001,J80=0,I80&gt;0),0,Phu_tai!$D$13+Phu_tai!$D$25*J80/Params!$D$26)</f>
        <v/>
      </c>
    </row>
    <row r="81">
      <c r="I81">
        <f>79*Phu_tai!$D$39</f>
        <v/>
      </c>
      <c r="J81">
        <f>IF(I81&lt;Phu_tai!$D$15,Params!$D$27*I81,IF(I81&lt;Phu_tai!$D$15+Phu_tai!$D$17,Params!$D$26,IF(I81&lt;Phu_tai!$D$18,Params!$D$26-Params!$D$27*(I81-Phu_tai!$D$15-Phu_tai!$D$17),0)))+IF(AND((I81-Phu_tai!$D$18-Phu_tai!$D$40)&gt;=0,(I81-Phu_tai!$D$18-Phu_tai!$D$40)&lt;Phu_tai!$D$18),-(IF((I81-Phu_tai!$D$18-Phu_tai!$D$40)&lt;Phu_tai!$D$15,Params!$D$27*(I81-Phu_tai!$D$18-Phu_tai!$D$40),IF((I81-Phu_tai!$D$18-Phu_tai!$D$40)&lt;Phu_tai!$D$15+Phu_tai!$D$17,Params!$D$26,Params!$D$26-Params!$D$27*((I81-Phu_tai!$D$18-Phu_tai!$D$40)-Phu_tai!$D$15-Phu_tai!$D$17)))),0)</f>
        <v/>
      </c>
      <c r="K81">
        <f>MAX(0,K80+(J81+J80)/2*Phu_tai!$D$39)</f>
        <v/>
      </c>
      <c r="L81">
        <f>IF(AND(K81&lt;0.0001,J81=0,I81&gt;0),0,Phu_tai!$D$12+Phu_tai!$D$24*J81/Params!$D$26)</f>
        <v/>
      </c>
      <c r="M81">
        <f>IF(AND(K81&lt;0.0001,J81=0,I81&gt;0),0,Phu_tai!$D$13+Phu_tai!$D$25*J81/Params!$D$26)</f>
        <v/>
      </c>
    </row>
    <row r="82">
      <c r="I82">
        <f>80*Phu_tai!$D$39</f>
        <v/>
      </c>
      <c r="J82">
        <f>IF(I82&lt;Phu_tai!$D$15,Params!$D$27*I82,IF(I82&lt;Phu_tai!$D$15+Phu_tai!$D$17,Params!$D$26,IF(I82&lt;Phu_tai!$D$18,Params!$D$26-Params!$D$27*(I82-Phu_tai!$D$15-Phu_tai!$D$17),0)))+IF(AND((I82-Phu_tai!$D$18-Phu_tai!$D$40)&gt;=0,(I82-Phu_tai!$D$18-Phu_tai!$D$40)&lt;Phu_tai!$D$18),-(IF((I82-Phu_tai!$D$18-Phu_tai!$D$40)&lt;Phu_tai!$D$15,Params!$D$27*(I82-Phu_tai!$D$18-Phu_tai!$D$40),IF((I82-Phu_tai!$D$18-Phu_tai!$D$40)&lt;Phu_tai!$D$15+Phu_tai!$D$17,Params!$D$26,Params!$D$26-Params!$D$27*((I82-Phu_tai!$D$18-Phu_tai!$D$40)-Phu_tai!$D$15-Phu_tai!$D$17)))),0)</f>
        <v/>
      </c>
      <c r="K82">
        <f>MAX(0,K81+(J82+J81)/2*Phu_tai!$D$39)</f>
        <v/>
      </c>
      <c r="L82">
        <f>IF(AND(K82&lt;0.0001,J82=0,I82&gt;0),0,Phu_tai!$D$12+Phu_tai!$D$24*J82/Params!$D$26)</f>
        <v/>
      </c>
      <c r="M82">
        <f>IF(AND(K82&lt;0.0001,J82=0,I82&gt;0),0,Phu_tai!$D$13+Phu_tai!$D$25*J82/Params!$D$26)</f>
        <v/>
      </c>
    </row>
    <row r="83">
      <c r="I83">
        <f>81*Phu_tai!$D$39</f>
        <v/>
      </c>
      <c r="J83">
        <f>IF(I83&lt;Phu_tai!$D$15,Params!$D$27*I83,IF(I83&lt;Phu_tai!$D$15+Phu_tai!$D$17,Params!$D$26,IF(I83&lt;Phu_tai!$D$18,Params!$D$26-Params!$D$27*(I83-Phu_tai!$D$15-Phu_tai!$D$17),0)))+IF(AND((I83-Phu_tai!$D$18-Phu_tai!$D$40)&gt;=0,(I83-Phu_tai!$D$18-Phu_tai!$D$40)&lt;Phu_tai!$D$18),-(IF((I83-Phu_tai!$D$18-Phu_tai!$D$40)&lt;Phu_tai!$D$15,Params!$D$27*(I83-Phu_tai!$D$18-Phu_tai!$D$40),IF((I83-Phu_tai!$D$18-Phu_tai!$D$40)&lt;Phu_tai!$D$15+Phu_tai!$D$17,Params!$D$26,Params!$D$26-Params!$D$27*((I83-Phu_tai!$D$18-Phu_tai!$D$40)-Phu_tai!$D$15-Phu_tai!$D$17)))),0)</f>
        <v/>
      </c>
      <c r="K83">
        <f>MAX(0,K82+(J83+J82)/2*Phu_tai!$D$39)</f>
        <v/>
      </c>
      <c r="L83">
        <f>IF(AND(K83&lt;0.0001,J83=0,I83&gt;0),0,Phu_tai!$D$12+Phu_tai!$D$24*J83/Params!$D$26)</f>
        <v/>
      </c>
      <c r="M83">
        <f>IF(AND(K83&lt;0.0001,J83=0,I83&gt;0),0,Phu_tai!$D$13+Phu_tai!$D$25*J83/Params!$D$26)</f>
        <v/>
      </c>
    </row>
    <row r="84">
      <c r="I84">
        <f>82*Phu_tai!$D$39</f>
        <v/>
      </c>
      <c r="J84">
        <f>IF(I84&lt;Phu_tai!$D$15,Params!$D$27*I84,IF(I84&lt;Phu_tai!$D$15+Phu_tai!$D$17,Params!$D$26,IF(I84&lt;Phu_tai!$D$18,Params!$D$26-Params!$D$27*(I84-Phu_tai!$D$15-Phu_tai!$D$17),0)))+IF(AND((I84-Phu_tai!$D$18-Phu_tai!$D$40)&gt;=0,(I84-Phu_tai!$D$18-Phu_tai!$D$40)&lt;Phu_tai!$D$18),-(IF((I84-Phu_tai!$D$18-Phu_tai!$D$40)&lt;Phu_tai!$D$15,Params!$D$27*(I84-Phu_tai!$D$18-Phu_tai!$D$40),IF((I84-Phu_tai!$D$18-Phu_tai!$D$40)&lt;Phu_tai!$D$15+Phu_tai!$D$17,Params!$D$26,Params!$D$26-Params!$D$27*((I84-Phu_tai!$D$18-Phu_tai!$D$40)-Phu_tai!$D$15-Phu_tai!$D$17)))),0)</f>
        <v/>
      </c>
      <c r="K84">
        <f>MAX(0,K83+(J84+J83)/2*Phu_tai!$D$39)</f>
        <v/>
      </c>
      <c r="L84">
        <f>IF(AND(K84&lt;0.0001,J84=0,I84&gt;0),0,Phu_tai!$D$12+Phu_tai!$D$24*J84/Params!$D$26)</f>
        <v/>
      </c>
      <c r="M84">
        <f>IF(AND(K84&lt;0.0001,J84=0,I84&gt;0),0,Phu_tai!$D$13+Phu_tai!$D$25*J84/Params!$D$26)</f>
        <v/>
      </c>
    </row>
    <row r="85">
      <c r="I85">
        <f>83*Phu_tai!$D$39</f>
        <v/>
      </c>
      <c r="J85">
        <f>IF(I85&lt;Phu_tai!$D$15,Params!$D$27*I85,IF(I85&lt;Phu_tai!$D$15+Phu_tai!$D$17,Params!$D$26,IF(I85&lt;Phu_tai!$D$18,Params!$D$26-Params!$D$27*(I85-Phu_tai!$D$15-Phu_tai!$D$17),0)))+IF(AND((I85-Phu_tai!$D$18-Phu_tai!$D$40)&gt;=0,(I85-Phu_tai!$D$18-Phu_tai!$D$40)&lt;Phu_tai!$D$18),-(IF((I85-Phu_tai!$D$18-Phu_tai!$D$40)&lt;Phu_tai!$D$15,Params!$D$27*(I85-Phu_tai!$D$18-Phu_tai!$D$40),IF((I85-Phu_tai!$D$18-Phu_tai!$D$40)&lt;Phu_tai!$D$15+Phu_tai!$D$17,Params!$D$26,Params!$D$26-Params!$D$27*((I85-Phu_tai!$D$18-Phu_tai!$D$40)-Phu_tai!$D$15-Phu_tai!$D$17)))),0)</f>
        <v/>
      </c>
      <c r="K85">
        <f>MAX(0,K84+(J85+J84)/2*Phu_tai!$D$39)</f>
        <v/>
      </c>
      <c r="L85">
        <f>IF(AND(K85&lt;0.0001,J85=0,I85&gt;0),0,Phu_tai!$D$12+Phu_tai!$D$24*J85/Params!$D$26)</f>
        <v/>
      </c>
      <c r="M85">
        <f>IF(AND(K85&lt;0.0001,J85=0,I85&gt;0),0,Phu_tai!$D$13+Phu_tai!$D$25*J85/Params!$D$26)</f>
        <v/>
      </c>
    </row>
    <row r="86">
      <c r="I86">
        <f>84*Phu_tai!$D$39</f>
        <v/>
      </c>
      <c r="J86">
        <f>IF(I86&lt;Phu_tai!$D$15,Params!$D$27*I86,IF(I86&lt;Phu_tai!$D$15+Phu_tai!$D$17,Params!$D$26,IF(I86&lt;Phu_tai!$D$18,Params!$D$26-Params!$D$27*(I86-Phu_tai!$D$15-Phu_tai!$D$17),0)))+IF(AND((I86-Phu_tai!$D$18-Phu_tai!$D$40)&gt;=0,(I86-Phu_tai!$D$18-Phu_tai!$D$40)&lt;Phu_tai!$D$18),-(IF((I86-Phu_tai!$D$18-Phu_tai!$D$40)&lt;Phu_tai!$D$15,Params!$D$27*(I86-Phu_tai!$D$18-Phu_tai!$D$40),IF((I86-Phu_tai!$D$18-Phu_tai!$D$40)&lt;Phu_tai!$D$15+Phu_tai!$D$17,Params!$D$26,Params!$D$26-Params!$D$27*((I86-Phu_tai!$D$18-Phu_tai!$D$40)-Phu_tai!$D$15-Phu_tai!$D$17)))),0)</f>
        <v/>
      </c>
      <c r="K86">
        <f>MAX(0,K85+(J86+J85)/2*Phu_tai!$D$39)</f>
        <v/>
      </c>
      <c r="L86">
        <f>IF(AND(K86&lt;0.0001,J86=0,I86&gt;0),0,Phu_tai!$D$12+Phu_tai!$D$24*J86/Params!$D$26)</f>
        <v/>
      </c>
      <c r="M86">
        <f>IF(AND(K86&lt;0.0001,J86=0,I86&gt;0),0,Phu_tai!$D$13+Phu_tai!$D$25*J86/Params!$D$26)</f>
        <v/>
      </c>
    </row>
    <row r="87">
      <c r="I87">
        <f>85*Phu_tai!$D$39</f>
        <v/>
      </c>
      <c r="J87">
        <f>IF(I87&lt;Phu_tai!$D$15,Params!$D$27*I87,IF(I87&lt;Phu_tai!$D$15+Phu_tai!$D$17,Params!$D$26,IF(I87&lt;Phu_tai!$D$18,Params!$D$26-Params!$D$27*(I87-Phu_tai!$D$15-Phu_tai!$D$17),0)))+IF(AND((I87-Phu_tai!$D$18-Phu_tai!$D$40)&gt;=0,(I87-Phu_tai!$D$18-Phu_tai!$D$40)&lt;Phu_tai!$D$18),-(IF((I87-Phu_tai!$D$18-Phu_tai!$D$40)&lt;Phu_tai!$D$15,Params!$D$27*(I87-Phu_tai!$D$18-Phu_tai!$D$40),IF((I87-Phu_tai!$D$18-Phu_tai!$D$40)&lt;Phu_tai!$D$15+Phu_tai!$D$17,Params!$D$26,Params!$D$26-Params!$D$27*((I87-Phu_tai!$D$18-Phu_tai!$D$40)-Phu_tai!$D$15-Phu_tai!$D$17)))),0)</f>
        <v/>
      </c>
      <c r="K87">
        <f>MAX(0,K86+(J87+J86)/2*Phu_tai!$D$39)</f>
        <v/>
      </c>
      <c r="L87">
        <f>IF(AND(K87&lt;0.0001,J87=0,I87&gt;0),0,Phu_tai!$D$12+Phu_tai!$D$24*J87/Params!$D$26)</f>
        <v/>
      </c>
      <c r="M87">
        <f>IF(AND(K87&lt;0.0001,J87=0,I87&gt;0),0,Phu_tai!$D$13+Phu_tai!$D$25*J87/Params!$D$26)</f>
        <v/>
      </c>
    </row>
    <row r="88">
      <c r="I88">
        <f>86*Phu_tai!$D$39</f>
        <v/>
      </c>
      <c r="J88">
        <f>IF(I88&lt;Phu_tai!$D$15,Params!$D$27*I88,IF(I88&lt;Phu_tai!$D$15+Phu_tai!$D$17,Params!$D$26,IF(I88&lt;Phu_tai!$D$18,Params!$D$26-Params!$D$27*(I88-Phu_tai!$D$15-Phu_tai!$D$17),0)))+IF(AND((I88-Phu_tai!$D$18-Phu_tai!$D$40)&gt;=0,(I88-Phu_tai!$D$18-Phu_tai!$D$40)&lt;Phu_tai!$D$18),-(IF((I88-Phu_tai!$D$18-Phu_tai!$D$40)&lt;Phu_tai!$D$15,Params!$D$27*(I88-Phu_tai!$D$18-Phu_tai!$D$40),IF((I88-Phu_tai!$D$18-Phu_tai!$D$40)&lt;Phu_tai!$D$15+Phu_tai!$D$17,Params!$D$26,Params!$D$26-Params!$D$27*((I88-Phu_tai!$D$18-Phu_tai!$D$40)-Phu_tai!$D$15-Phu_tai!$D$17)))),0)</f>
        <v/>
      </c>
      <c r="K88">
        <f>MAX(0,K87+(J88+J87)/2*Phu_tai!$D$39)</f>
        <v/>
      </c>
      <c r="L88">
        <f>IF(AND(K88&lt;0.0001,J88=0,I88&gt;0),0,Phu_tai!$D$12+Phu_tai!$D$24*J88/Params!$D$26)</f>
        <v/>
      </c>
      <c r="M88">
        <f>IF(AND(K88&lt;0.0001,J88=0,I88&gt;0),0,Phu_tai!$D$13+Phu_tai!$D$25*J88/Params!$D$26)</f>
        <v/>
      </c>
    </row>
    <row r="89">
      <c r="I89">
        <f>87*Phu_tai!$D$39</f>
        <v/>
      </c>
      <c r="J89">
        <f>IF(I89&lt;Phu_tai!$D$15,Params!$D$27*I89,IF(I89&lt;Phu_tai!$D$15+Phu_tai!$D$17,Params!$D$26,IF(I89&lt;Phu_tai!$D$18,Params!$D$26-Params!$D$27*(I89-Phu_tai!$D$15-Phu_tai!$D$17),0)))+IF(AND((I89-Phu_tai!$D$18-Phu_tai!$D$40)&gt;=0,(I89-Phu_tai!$D$18-Phu_tai!$D$40)&lt;Phu_tai!$D$18),-(IF((I89-Phu_tai!$D$18-Phu_tai!$D$40)&lt;Phu_tai!$D$15,Params!$D$27*(I89-Phu_tai!$D$18-Phu_tai!$D$40),IF((I89-Phu_tai!$D$18-Phu_tai!$D$40)&lt;Phu_tai!$D$15+Phu_tai!$D$17,Params!$D$26,Params!$D$26-Params!$D$27*((I89-Phu_tai!$D$18-Phu_tai!$D$40)-Phu_tai!$D$15-Phu_tai!$D$17)))),0)</f>
        <v/>
      </c>
      <c r="K89">
        <f>MAX(0,K88+(J89+J88)/2*Phu_tai!$D$39)</f>
        <v/>
      </c>
      <c r="L89">
        <f>IF(AND(K89&lt;0.0001,J89=0,I89&gt;0),0,Phu_tai!$D$12+Phu_tai!$D$24*J89/Params!$D$26)</f>
        <v/>
      </c>
      <c r="M89">
        <f>IF(AND(K89&lt;0.0001,J89=0,I89&gt;0),0,Phu_tai!$D$13+Phu_tai!$D$25*J89/Params!$D$26)</f>
        <v/>
      </c>
    </row>
    <row r="90">
      <c r="I90">
        <f>88*Phu_tai!$D$39</f>
        <v/>
      </c>
      <c r="J90">
        <f>IF(I90&lt;Phu_tai!$D$15,Params!$D$27*I90,IF(I90&lt;Phu_tai!$D$15+Phu_tai!$D$17,Params!$D$26,IF(I90&lt;Phu_tai!$D$18,Params!$D$26-Params!$D$27*(I90-Phu_tai!$D$15-Phu_tai!$D$17),0)))+IF(AND((I90-Phu_tai!$D$18-Phu_tai!$D$40)&gt;=0,(I90-Phu_tai!$D$18-Phu_tai!$D$40)&lt;Phu_tai!$D$18),-(IF((I90-Phu_tai!$D$18-Phu_tai!$D$40)&lt;Phu_tai!$D$15,Params!$D$27*(I90-Phu_tai!$D$18-Phu_tai!$D$40),IF((I90-Phu_tai!$D$18-Phu_tai!$D$40)&lt;Phu_tai!$D$15+Phu_tai!$D$17,Params!$D$26,Params!$D$26-Params!$D$27*((I90-Phu_tai!$D$18-Phu_tai!$D$40)-Phu_tai!$D$15-Phu_tai!$D$17)))),0)</f>
        <v/>
      </c>
      <c r="K90">
        <f>MAX(0,K89+(J90+J89)/2*Phu_tai!$D$39)</f>
        <v/>
      </c>
      <c r="L90">
        <f>IF(AND(K90&lt;0.0001,J90=0,I90&gt;0),0,Phu_tai!$D$12+Phu_tai!$D$24*J90/Params!$D$26)</f>
        <v/>
      </c>
      <c r="M90">
        <f>IF(AND(K90&lt;0.0001,J90=0,I90&gt;0),0,Phu_tai!$D$13+Phu_tai!$D$25*J90/Params!$D$26)</f>
        <v/>
      </c>
    </row>
    <row r="91">
      <c r="I91">
        <f>89*Phu_tai!$D$39</f>
        <v/>
      </c>
      <c r="J91">
        <f>IF(I91&lt;Phu_tai!$D$15,Params!$D$27*I91,IF(I91&lt;Phu_tai!$D$15+Phu_tai!$D$17,Params!$D$26,IF(I91&lt;Phu_tai!$D$18,Params!$D$26-Params!$D$27*(I91-Phu_tai!$D$15-Phu_tai!$D$17),0)))+IF(AND((I91-Phu_tai!$D$18-Phu_tai!$D$40)&gt;=0,(I91-Phu_tai!$D$18-Phu_tai!$D$40)&lt;Phu_tai!$D$18),-(IF((I91-Phu_tai!$D$18-Phu_tai!$D$40)&lt;Phu_tai!$D$15,Params!$D$27*(I91-Phu_tai!$D$18-Phu_tai!$D$40),IF((I91-Phu_tai!$D$18-Phu_tai!$D$40)&lt;Phu_tai!$D$15+Phu_tai!$D$17,Params!$D$26,Params!$D$26-Params!$D$27*((I91-Phu_tai!$D$18-Phu_tai!$D$40)-Phu_tai!$D$15-Phu_tai!$D$17)))),0)</f>
        <v/>
      </c>
      <c r="K91">
        <f>MAX(0,K90+(J91+J90)/2*Phu_tai!$D$39)</f>
        <v/>
      </c>
      <c r="L91">
        <f>IF(AND(K91&lt;0.0001,J91=0,I91&gt;0),0,Phu_tai!$D$12+Phu_tai!$D$24*J91/Params!$D$26)</f>
        <v/>
      </c>
      <c r="M91">
        <f>IF(AND(K91&lt;0.0001,J91=0,I91&gt;0),0,Phu_tai!$D$13+Phu_tai!$D$25*J91/Params!$D$26)</f>
        <v/>
      </c>
    </row>
    <row r="92">
      <c r="I92">
        <f>90*Phu_tai!$D$39</f>
        <v/>
      </c>
      <c r="J92">
        <f>IF(I92&lt;Phu_tai!$D$15,Params!$D$27*I92,IF(I92&lt;Phu_tai!$D$15+Phu_tai!$D$17,Params!$D$26,IF(I92&lt;Phu_tai!$D$18,Params!$D$26-Params!$D$27*(I92-Phu_tai!$D$15-Phu_tai!$D$17),0)))+IF(AND((I92-Phu_tai!$D$18-Phu_tai!$D$40)&gt;=0,(I92-Phu_tai!$D$18-Phu_tai!$D$40)&lt;Phu_tai!$D$18),-(IF((I92-Phu_tai!$D$18-Phu_tai!$D$40)&lt;Phu_tai!$D$15,Params!$D$27*(I92-Phu_tai!$D$18-Phu_tai!$D$40),IF((I92-Phu_tai!$D$18-Phu_tai!$D$40)&lt;Phu_tai!$D$15+Phu_tai!$D$17,Params!$D$26,Params!$D$26-Params!$D$27*((I92-Phu_tai!$D$18-Phu_tai!$D$40)-Phu_tai!$D$15-Phu_tai!$D$17)))),0)</f>
        <v/>
      </c>
      <c r="K92">
        <f>MAX(0,K91+(J92+J91)/2*Phu_tai!$D$39)</f>
        <v/>
      </c>
      <c r="L92">
        <f>IF(AND(K92&lt;0.0001,J92=0,I92&gt;0),0,Phu_tai!$D$12+Phu_tai!$D$24*J92/Params!$D$26)</f>
        <v/>
      </c>
      <c r="M92">
        <f>IF(AND(K92&lt;0.0001,J92=0,I92&gt;0),0,Phu_tai!$D$13+Phu_tai!$D$25*J92/Params!$D$26)</f>
        <v/>
      </c>
    </row>
    <row r="93">
      <c r="I93">
        <f>91*Phu_tai!$D$39</f>
        <v/>
      </c>
      <c r="J93">
        <f>IF(I93&lt;Phu_tai!$D$15,Params!$D$27*I93,IF(I93&lt;Phu_tai!$D$15+Phu_tai!$D$17,Params!$D$26,IF(I93&lt;Phu_tai!$D$18,Params!$D$26-Params!$D$27*(I93-Phu_tai!$D$15-Phu_tai!$D$17),0)))+IF(AND((I93-Phu_tai!$D$18-Phu_tai!$D$40)&gt;=0,(I93-Phu_tai!$D$18-Phu_tai!$D$40)&lt;Phu_tai!$D$18),-(IF((I93-Phu_tai!$D$18-Phu_tai!$D$40)&lt;Phu_tai!$D$15,Params!$D$27*(I93-Phu_tai!$D$18-Phu_tai!$D$40),IF((I93-Phu_tai!$D$18-Phu_tai!$D$40)&lt;Phu_tai!$D$15+Phu_tai!$D$17,Params!$D$26,Params!$D$26-Params!$D$27*((I93-Phu_tai!$D$18-Phu_tai!$D$40)-Phu_tai!$D$15-Phu_tai!$D$17)))),0)</f>
        <v/>
      </c>
      <c r="K93">
        <f>MAX(0,K92+(J93+J92)/2*Phu_tai!$D$39)</f>
        <v/>
      </c>
      <c r="L93">
        <f>IF(AND(K93&lt;0.0001,J93=0,I93&gt;0),0,Phu_tai!$D$12+Phu_tai!$D$24*J93/Params!$D$26)</f>
        <v/>
      </c>
      <c r="M93">
        <f>IF(AND(K93&lt;0.0001,J93=0,I93&gt;0),0,Phu_tai!$D$13+Phu_tai!$D$25*J93/Params!$D$26)</f>
        <v/>
      </c>
    </row>
    <row r="94">
      <c r="I94">
        <f>92*Phu_tai!$D$39</f>
        <v/>
      </c>
      <c r="J94">
        <f>IF(I94&lt;Phu_tai!$D$15,Params!$D$27*I94,IF(I94&lt;Phu_tai!$D$15+Phu_tai!$D$17,Params!$D$26,IF(I94&lt;Phu_tai!$D$18,Params!$D$26-Params!$D$27*(I94-Phu_tai!$D$15-Phu_tai!$D$17),0)))+IF(AND((I94-Phu_tai!$D$18-Phu_tai!$D$40)&gt;=0,(I94-Phu_tai!$D$18-Phu_tai!$D$40)&lt;Phu_tai!$D$18),-(IF((I94-Phu_tai!$D$18-Phu_tai!$D$40)&lt;Phu_tai!$D$15,Params!$D$27*(I94-Phu_tai!$D$18-Phu_tai!$D$40),IF((I94-Phu_tai!$D$18-Phu_tai!$D$40)&lt;Phu_tai!$D$15+Phu_tai!$D$17,Params!$D$26,Params!$D$26-Params!$D$27*((I94-Phu_tai!$D$18-Phu_tai!$D$40)-Phu_tai!$D$15-Phu_tai!$D$17)))),0)</f>
        <v/>
      </c>
      <c r="K94">
        <f>MAX(0,K93+(J94+J93)/2*Phu_tai!$D$39)</f>
        <v/>
      </c>
      <c r="L94">
        <f>IF(AND(K94&lt;0.0001,J94=0,I94&gt;0),0,Phu_tai!$D$12+Phu_tai!$D$24*J94/Params!$D$26)</f>
        <v/>
      </c>
      <c r="M94">
        <f>IF(AND(K94&lt;0.0001,J94=0,I94&gt;0),0,Phu_tai!$D$13+Phu_tai!$D$25*J94/Params!$D$26)</f>
        <v/>
      </c>
    </row>
    <row r="95">
      <c r="I95">
        <f>93*Phu_tai!$D$39</f>
        <v/>
      </c>
      <c r="J95">
        <f>IF(I95&lt;Phu_tai!$D$15,Params!$D$27*I95,IF(I95&lt;Phu_tai!$D$15+Phu_tai!$D$17,Params!$D$26,IF(I95&lt;Phu_tai!$D$18,Params!$D$26-Params!$D$27*(I95-Phu_tai!$D$15-Phu_tai!$D$17),0)))+IF(AND((I95-Phu_tai!$D$18-Phu_tai!$D$40)&gt;=0,(I95-Phu_tai!$D$18-Phu_tai!$D$40)&lt;Phu_tai!$D$18),-(IF((I95-Phu_tai!$D$18-Phu_tai!$D$40)&lt;Phu_tai!$D$15,Params!$D$27*(I95-Phu_tai!$D$18-Phu_tai!$D$40),IF((I95-Phu_tai!$D$18-Phu_tai!$D$40)&lt;Phu_tai!$D$15+Phu_tai!$D$17,Params!$D$26,Params!$D$26-Params!$D$27*((I95-Phu_tai!$D$18-Phu_tai!$D$40)-Phu_tai!$D$15-Phu_tai!$D$17)))),0)</f>
        <v/>
      </c>
      <c r="K95">
        <f>MAX(0,K94+(J95+J94)/2*Phu_tai!$D$39)</f>
        <v/>
      </c>
      <c r="L95">
        <f>IF(AND(K95&lt;0.0001,J95=0,I95&gt;0),0,Phu_tai!$D$12+Phu_tai!$D$24*J95/Params!$D$26)</f>
        <v/>
      </c>
      <c r="M95">
        <f>IF(AND(K95&lt;0.0001,J95=0,I95&gt;0),0,Phu_tai!$D$13+Phu_tai!$D$25*J95/Params!$D$26)</f>
        <v/>
      </c>
    </row>
    <row r="96">
      <c r="I96">
        <f>94*Phu_tai!$D$39</f>
        <v/>
      </c>
      <c r="J96">
        <f>IF(I96&lt;Phu_tai!$D$15,Params!$D$27*I96,IF(I96&lt;Phu_tai!$D$15+Phu_tai!$D$17,Params!$D$26,IF(I96&lt;Phu_tai!$D$18,Params!$D$26-Params!$D$27*(I96-Phu_tai!$D$15-Phu_tai!$D$17),0)))+IF(AND((I96-Phu_tai!$D$18-Phu_tai!$D$40)&gt;=0,(I96-Phu_tai!$D$18-Phu_tai!$D$40)&lt;Phu_tai!$D$18),-(IF((I96-Phu_tai!$D$18-Phu_tai!$D$40)&lt;Phu_tai!$D$15,Params!$D$27*(I96-Phu_tai!$D$18-Phu_tai!$D$40),IF((I96-Phu_tai!$D$18-Phu_tai!$D$40)&lt;Phu_tai!$D$15+Phu_tai!$D$17,Params!$D$26,Params!$D$26-Params!$D$27*((I96-Phu_tai!$D$18-Phu_tai!$D$40)-Phu_tai!$D$15-Phu_tai!$D$17)))),0)</f>
        <v/>
      </c>
      <c r="K96">
        <f>MAX(0,K95+(J96+J95)/2*Phu_tai!$D$39)</f>
        <v/>
      </c>
      <c r="L96">
        <f>IF(AND(K96&lt;0.0001,J96=0,I96&gt;0),0,Phu_tai!$D$12+Phu_tai!$D$24*J96/Params!$D$26)</f>
        <v/>
      </c>
      <c r="M96">
        <f>IF(AND(K96&lt;0.0001,J96=0,I96&gt;0),0,Phu_tai!$D$13+Phu_tai!$D$25*J96/Params!$D$26)</f>
        <v/>
      </c>
    </row>
    <row r="97">
      <c r="I97">
        <f>95*Phu_tai!$D$39</f>
        <v/>
      </c>
      <c r="J97">
        <f>IF(I97&lt;Phu_tai!$D$15,Params!$D$27*I97,IF(I97&lt;Phu_tai!$D$15+Phu_tai!$D$17,Params!$D$26,IF(I97&lt;Phu_tai!$D$18,Params!$D$26-Params!$D$27*(I97-Phu_tai!$D$15-Phu_tai!$D$17),0)))+IF(AND((I97-Phu_tai!$D$18-Phu_tai!$D$40)&gt;=0,(I97-Phu_tai!$D$18-Phu_tai!$D$40)&lt;Phu_tai!$D$18),-(IF((I97-Phu_tai!$D$18-Phu_tai!$D$40)&lt;Phu_tai!$D$15,Params!$D$27*(I97-Phu_tai!$D$18-Phu_tai!$D$40),IF((I97-Phu_tai!$D$18-Phu_tai!$D$40)&lt;Phu_tai!$D$15+Phu_tai!$D$17,Params!$D$26,Params!$D$26-Params!$D$27*((I97-Phu_tai!$D$18-Phu_tai!$D$40)-Phu_tai!$D$15-Phu_tai!$D$17)))),0)</f>
        <v/>
      </c>
      <c r="K97">
        <f>MAX(0,K96+(J97+J96)/2*Phu_tai!$D$39)</f>
        <v/>
      </c>
      <c r="L97">
        <f>IF(AND(K97&lt;0.0001,J97=0,I97&gt;0),0,Phu_tai!$D$12+Phu_tai!$D$24*J97/Params!$D$26)</f>
        <v/>
      </c>
      <c r="M97">
        <f>IF(AND(K97&lt;0.0001,J97=0,I97&gt;0),0,Phu_tai!$D$13+Phu_tai!$D$25*J97/Params!$D$26)</f>
        <v/>
      </c>
    </row>
    <row r="98">
      <c r="I98">
        <f>96*Phu_tai!$D$39</f>
        <v/>
      </c>
      <c r="J98">
        <f>IF(I98&lt;Phu_tai!$D$15,Params!$D$27*I98,IF(I98&lt;Phu_tai!$D$15+Phu_tai!$D$17,Params!$D$26,IF(I98&lt;Phu_tai!$D$18,Params!$D$26-Params!$D$27*(I98-Phu_tai!$D$15-Phu_tai!$D$17),0)))+IF(AND((I98-Phu_tai!$D$18-Phu_tai!$D$40)&gt;=0,(I98-Phu_tai!$D$18-Phu_tai!$D$40)&lt;Phu_tai!$D$18),-(IF((I98-Phu_tai!$D$18-Phu_tai!$D$40)&lt;Phu_tai!$D$15,Params!$D$27*(I98-Phu_tai!$D$18-Phu_tai!$D$40),IF((I98-Phu_tai!$D$18-Phu_tai!$D$40)&lt;Phu_tai!$D$15+Phu_tai!$D$17,Params!$D$26,Params!$D$26-Params!$D$27*((I98-Phu_tai!$D$18-Phu_tai!$D$40)-Phu_tai!$D$15-Phu_tai!$D$17)))),0)</f>
        <v/>
      </c>
      <c r="K98">
        <f>MAX(0,K97+(J98+J97)/2*Phu_tai!$D$39)</f>
        <v/>
      </c>
      <c r="L98">
        <f>IF(AND(K98&lt;0.0001,J98=0,I98&gt;0),0,Phu_tai!$D$12+Phu_tai!$D$24*J98/Params!$D$26)</f>
        <v/>
      </c>
      <c r="M98">
        <f>IF(AND(K98&lt;0.0001,J98=0,I98&gt;0),0,Phu_tai!$D$13+Phu_tai!$D$25*J98/Params!$D$26)</f>
        <v/>
      </c>
    </row>
    <row r="99">
      <c r="I99">
        <f>97*Phu_tai!$D$39</f>
        <v/>
      </c>
      <c r="J99">
        <f>IF(I99&lt;Phu_tai!$D$15,Params!$D$27*I99,IF(I99&lt;Phu_tai!$D$15+Phu_tai!$D$17,Params!$D$26,IF(I99&lt;Phu_tai!$D$18,Params!$D$26-Params!$D$27*(I99-Phu_tai!$D$15-Phu_tai!$D$17),0)))+IF(AND((I99-Phu_tai!$D$18-Phu_tai!$D$40)&gt;=0,(I99-Phu_tai!$D$18-Phu_tai!$D$40)&lt;Phu_tai!$D$18),-(IF((I99-Phu_tai!$D$18-Phu_tai!$D$40)&lt;Phu_tai!$D$15,Params!$D$27*(I99-Phu_tai!$D$18-Phu_tai!$D$40),IF((I99-Phu_tai!$D$18-Phu_tai!$D$40)&lt;Phu_tai!$D$15+Phu_tai!$D$17,Params!$D$26,Params!$D$26-Params!$D$27*((I99-Phu_tai!$D$18-Phu_tai!$D$40)-Phu_tai!$D$15-Phu_tai!$D$17)))),0)</f>
        <v/>
      </c>
      <c r="K99">
        <f>MAX(0,K98+(J99+J98)/2*Phu_tai!$D$39)</f>
        <v/>
      </c>
      <c r="L99">
        <f>IF(AND(K99&lt;0.0001,J99=0,I99&gt;0),0,Phu_tai!$D$12+Phu_tai!$D$24*J99/Params!$D$26)</f>
        <v/>
      </c>
      <c r="M99">
        <f>IF(AND(K99&lt;0.0001,J99=0,I99&gt;0),0,Phu_tai!$D$13+Phu_tai!$D$25*J99/Params!$D$26)</f>
        <v/>
      </c>
    </row>
    <row r="100">
      <c r="I100">
        <f>98*Phu_tai!$D$39</f>
        <v/>
      </c>
      <c r="J100">
        <f>IF(I100&lt;Phu_tai!$D$15,Params!$D$27*I100,IF(I100&lt;Phu_tai!$D$15+Phu_tai!$D$17,Params!$D$26,IF(I100&lt;Phu_tai!$D$18,Params!$D$26-Params!$D$27*(I100-Phu_tai!$D$15-Phu_tai!$D$17),0)))+IF(AND((I100-Phu_tai!$D$18-Phu_tai!$D$40)&gt;=0,(I100-Phu_tai!$D$18-Phu_tai!$D$40)&lt;Phu_tai!$D$18),-(IF((I100-Phu_tai!$D$18-Phu_tai!$D$40)&lt;Phu_tai!$D$15,Params!$D$27*(I100-Phu_tai!$D$18-Phu_tai!$D$40),IF((I100-Phu_tai!$D$18-Phu_tai!$D$40)&lt;Phu_tai!$D$15+Phu_tai!$D$17,Params!$D$26,Params!$D$26-Params!$D$27*((I100-Phu_tai!$D$18-Phu_tai!$D$40)-Phu_tai!$D$15-Phu_tai!$D$17)))),0)</f>
        <v/>
      </c>
      <c r="K100">
        <f>MAX(0,K99+(J100+J99)/2*Phu_tai!$D$39)</f>
        <v/>
      </c>
      <c r="L100">
        <f>IF(AND(K100&lt;0.0001,J100=0,I100&gt;0),0,Phu_tai!$D$12+Phu_tai!$D$24*J100/Params!$D$26)</f>
        <v/>
      </c>
      <c r="M100">
        <f>IF(AND(K100&lt;0.0001,J100=0,I100&gt;0),0,Phu_tai!$D$13+Phu_tai!$D$25*J100/Params!$D$26)</f>
        <v/>
      </c>
    </row>
    <row r="101">
      <c r="I101">
        <f>99*Phu_tai!$D$39</f>
        <v/>
      </c>
      <c r="J101">
        <f>IF(I101&lt;Phu_tai!$D$15,Params!$D$27*I101,IF(I101&lt;Phu_tai!$D$15+Phu_tai!$D$17,Params!$D$26,IF(I101&lt;Phu_tai!$D$18,Params!$D$26-Params!$D$27*(I101-Phu_tai!$D$15-Phu_tai!$D$17),0)))+IF(AND((I101-Phu_tai!$D$18-Phu_tai!$D$40)&gt;=0,(I101-Phu_tai!$D$18-Phu_tai!$D$40)&lt;Phu_tai!$D$18),-(IF((I101-Phu_tai!$D$18-Phu_tai!$D$40)&lt;Phu_tai!$D$15,Params!$D$27*(I101-Phu_tai!$D$18-Phu_tai!$D$40),IF((I101-Phu_tai!$D$18-Phu_tai!$D$40)&lt;Phu_tai!$D$15+Phu_tai!$D$17,Params!$D$26,Params!$D$26-Params!$D$27*((I101-Phu_tai!$D$18-Phu_tai!$D$40)-Phu_tai!$D$15-Phu_tai!$D$17)))),0)</f>
        <v/>
      </c>
      <c r="K101">
        <f>MAX(0,K100+(J101+J100)/2*Phu_tai!$D$39)</f>
        <v/>
      </c>
      <c r="L101">
        <f>IF(AND(K101&lt;0.0001,J101=0,I101&gt;0),0,Phu_tai!$D$12+Phu_tai!$D$24*J101/Params!$D$26)</f>
        <v/>
      </c>
      <c r="M101">
        <f>IF(AND(K101&lt;0.0001,J101=0,I101&gt;0),0,Phu_tai!$D$13+Phu_tai!$D$25*J101/Params!$D$26)</f>
        <v/>
      </c>
    </row>
    <row r="102">
      <c r="I102">
        <f>100*Phu_tai!$D$39</f>
        <v/>
      </c>
      <c r="J102">
        <f>IF(I102&lt;Phu_tai!$D$15,Params!$D$27*I102,IF(I102&lt;Phu_tai!$D$15+Phu_tai!$D$17,Params!$D$26,IF(I102&lt;Phu_tai!$D$18,Params!$D$26-Params!$D$27*(I102-Phu_tai!$D$15-Phu_tai!$D$17),0)))+IF(AND((I102-Phu_tai!$D$18-Phu_tai!$D$40)&gt;=0,(I102-Phu_tai!$D$18-Phu_tai!$D$40)&lt;Phu_tai!$D$18),-(IF((I102-Phu_tai!$D$18-Phu_tai!$D$40)&lt;Phu_tai!$D$15,Params!$D$27*(I102-Phu_tai!$D$18-Phu_tai!$D$40),IF((I102-Phu_tai!$D$18-Phu_tai!$D$40)&lt;Phu_tai!$D$15+Phu_tai!$D$17,Params!$D$26,Params!$D$26-Params!$D$27*((I102-Phu_tai!$D$18-Phu_tai!$D$40)-Phu_tai!$D$15-Phu_tai!$D$17)))),0)</f>
        <v/>
      </c>
      <c r="K102">
        <f>MAX(0,K101+(J102+J101)/2*Phu_tai!$D$39)</f>
        <v/>
      </c>
      <c r="L102">
        <f>IF(AND(K102&lt;0.0001,J102=0,I102&gt;0),0,Phu_tai!$D$12+Phu_tai!$D$24*J102/Params!$D$26)</f>
        <v/>
      </c>
      <c r="M102">
        <f>IF(AND(K102&lt;0.0001,J102=0,I102&gt;0),0,Phu_tai!$D$13+Phu_tai!$D$25*J102/Params!$D$26)</f>
        <v/>
      </c>
    </row>
    <row r="103">
      <c r="I103">
        <f>101*Phu_tai!$D$39</f>
        <v/>
      </c>
      <c r="J103">
        <f>IF(I103&lt;Phu_tai!$D$15,Params!$D$27*I103,IF(I103&lt;Phu_tai!$D$15+Phu_tai!$D$17,Params!$D$26,IF(I103&lt;Phu_tai!$D$18,Params!$D$26-Params!$D$27*(I103-Phu_tai!$D$15-Phu_tai!$D$17),0)))+IF(AND((I103-Phu_tai!$D$18-Phu_tai!$D$40)&gt;=0,(I103-Phu_tai!$D$18-Phu_tai!$D$40)&lt;Phu_tai!$D$18),-(IF((I103-Phu_tai!$D$18-Phu_tai!$D$40)&lt;Phu_tai!$D$15,Params!$D$27*(I103-Phu_tai!$D$18-Phu_tai!$D$40),IF((I103-Phu_tai!$D$18-Phu_tai!$D$40)&lt;Phu_tai!$D$15+Phu_tai!$D$17,Params!$D$26,Params!$D$26-Params!$D$27*((I103-Phu_tai!$D$18-Phu_tai!$D$40)-Phu_tai!$D$15-Phu_tai!$D$17)))),0)</f>
        <v/>
      </c>
      <c r="K103">
        <f>MAX(0,K102+(J103+J102)/2*Phu_tai!$D$39)</f>
        <v/>
      </c>
      <c r="L103">
        <f>IF(AND(K103&lt;0.0001,J103=0,I103&gt;0),0,Phu_tai!$D$12+Phu_tai!$D$24*J103/Params!$D$26)</f>
        <v/>
      </c>
      <c r="M103">
        <f>IF(AND(K103&lt;0.0001,J103=0,I103&gt;0),0,Phu_tai!$D$13+Phu_tai!$D$25*J103/Params!$D$26)</f>
        <v/>
      </c>
    </row>
    <row r="104">
      <c r="I104">
        <f>102*Phu_tai!$D$39</f>
        <v/>
      </c>
      <c r="J104">
        <f>IF(I104&lt;Phu_tai!$D$15,Params!$D$27*I104,IF(I104&lt;Phu_tai!$D$15+Phu_tai!$D$17,Params!$D$26,IF(I104&lt;Phu_tai!$D$18,Params!$D$26-Params!$D$27*(I104-Phu_tai!$D$15-Phu_tai!$D$17),0)))+IF(AND((I104-Phu_tai!$D$18-Phu_tai!$D$40)&gt;=0,(I104-Phu_tai!$D$18-Phu_tai!$D$40)&lt;Phu_tai!$D$18),-(IF((I104-Phu_tai!$D$18-Phu_tai!$D$40)&lt;Phu_tai!$D$15,Params!$D$27*(I104-Phu_tai!$D$18-Phu_tai!$D$40),IF((I104-Phu_tai!$D$18-Phu_tai!$D$40)&lt;Phu_tai!$D$15+Phu_tai!$D$17,Params!$D$26,Params!$D$26-Params!$D$27*((I104-Phu_tai!$D$18-Phu_tai!$D$40)-Phu_tai!$D$15-Phu_tai!$D$17)))),0)</f>
        <v/>
      </c>
      <c r="K104">
        <f>MAX(0,K103+(J104+J103)/2*Phu_tai!$D$39)</f>
        <v/>
      </c>
      <c r="L104">
        <f>IF(AND(K104&lt;0.0001,J104=0,I104&gt;0),0,Phu_tai!$D$12+Phu_tai!$D$24*J104/Params!$D$26)</f>
        <v/>
      </c>
      <c r="M104">
        <f>IF(AND(K104&lt;0.0001,J104=0,I104&gt;0),0,Phu_tai!$D$13+Phu_tai!$D$25*J104/Params!$D$26)</f>
        <v/>
      </c>
    </row>
    <row r="105">
      <c r="I105">
        <f>103*Phu_tai!$D$39</f>
        <v/>
      </c>
      <c r="J105">
        <f>IF(I105&lt;Phu_tai!$D$15,Params!$D$27*I105,IF(I105&lt;Phu_tai!$D$15+Phu_tai!$D$17,Params!$D$26,IF(I105&lt;Phu_tai!$D$18,Params!$D$26-Params!$D$27*(I105-Phu_tai!$D$15-Phu_tai!$D$17),0)))+IF(AND((I105-Phu_tai!$D$18-Phu_tai!$D$40)&gt;=0,(I105-Phu_tai!$D$18-Phu_tai!$D$40)&lt;Phu_tai!$D$18),-(IF((I105-Phu_tai!$D$18-Phu_tai!$D$40)&lt;Phu_tai!$D$15,Params!$D$27*(I105-Phu_tai!$D$18-Phu_tai!$D$40),IF((I105-Phu_tai!$D$18-Phu_tai!$D$40)&lt;Phu_tai!$D$15+Phu_tai!$D$17,Params!$D$26,Params!$D$26-Params!$D$27*((I105-Phu_tai!$D$18-Phu_tai!$D$40)-Phu_tai!$D$15-Phu_tai!$D$17)))),0)</f>
        <v/>
      </c>
      <c r="K105">
        <f>MAX(0,K104+(J105+J104)/2*Phu_tai!$D$39)</f>
        <v/>
      </c>
      <c r="L105">
        <f>IF(AND(K105&lt;0.0001,J105=0,I105&gt;0),0,Phu_tai!$D$12+Phu_tai!$D$24*J105/Params!$D$26)</f>
        <v/>
      </c>
      <c r="M105">
        <f>IF(AND(K105&lt;0.0001,J105=0,I105&gt;0),0,Phu_tai!$D$13+Phu_tai!$D$25*J105/Params!$D$26)</f>
        <v/>
      </c>
    </row>
    <row r="106">
      <c r="I106">
        <f>104*Phu_tai!$D$39</f>
        <v/>
      </c>
      <c r="J106">
        <f>IF(I106&lt;Phu_tai!$D$15,Params!$D$27*I106,IF(I106&lt;Phu_tai!$D$15+Phu_tai!$D$17,Params!$D$26,IF(I106&lt;Phu_tai!$D$18,Params!$D$26-Params!$D$27*(I106-Phu_tai!$D$15-Phu_tai!$D$17),0)))+IF(AND((I106-Phu_tai!$D$18-Phu_tai!$D$40)&gt;=0,(I106-Phu_tai!$D$18-Phu_tai!$D$40)&lt;Phu_tai!$D$18),-(IF((I106-Phu_tai!$D$18-Phu_tai!$D$40)&lt;Phu_tai!$D$15,Params!$D$27*(I106-Phu_tai!$D$18-Phu_tai!$D$40),IF((I106-Phu_tai!$D$18-Phu_tai!$D$40)&lt;Phu_tai!$D$15+Phu_tai!$D$17,Params!$D$26,Params!$D$26-Params!$D$27*((I106-Phu_tai!$D$18-Phu_tai!$D$40)-Phu_tai!$D$15-Phu_tai!$D$17)))),0)</f>
        <v/>
      </c>
      <c r="K106">
        <f>MAX(0,K105+(J106+J105)/2*Phu_tai!$D$39)</f>
        <v/>
      </c>
      <c r="L106">
        <f>IF(AND(K106&lt;0.0001,J106=0,I106&gt;0),0,Phu_tai!$D$12+Phu_tai!$D$24*J106/Params!$D$26)</f>
        <v/>
      </c>
      <c r="M106">
        <f>IF(AND(K106&lt;0.0001,J106=0,I106&gt;0),0,Phu_tai!$D$13+Phu_tai!$D$25*J106/Params!$D$26)</f>
        <v/>
      </c>
    </row>
    <row r="107">
      <c r="I107">
        <f>105*Phu_tai!$D$39</f>
        <v/>
      </c>
      <c r="J107">
        <f>IF(I107&lt;Phu_tai!$D$15,Params!$D$27*I107,IF(I107&lt;Phu_tai!$D$15+Phu_tai!$D$17,Params!$D$26,IF(I107&lt;Phu_tai!$D$18,Params!$D$26-Params!$D$27*(I107-Phu_tai!$D$15-Phu_tai!$D$17),0)))+IF(AND((I107-Phu_tai!$D$18-Phu_tai!$D$40)&gt;=0,(I107-Phu_tai!$D$18-Phu_tai!$D$40)&lt;Phu_tai!$D$18),-(IF((I107-Phu_tai!$D$18-Phu_tai!$D$40)&lt;Phu_tai!$D$15,Params!$D$27*(I107-Phu_tai!$D$18-Phu_tai!$D$40),IF((I107-Phu_tai!$D$18-Phu_tai!$D$40)&lt;Phu_tai!$D$15+Phu_tai!$D$17,Params!$D$26,Params!$D$26-Params!$D$27*((I107-Phu_tai!$D$18-Phu_tai!$D$40)-Phu_tai!$D$15-Phu_tai!$D$17)))),0)</f>
        <v/>
      </c>
      <c r="K107">
        <f>MAX(0,K106+(J107+J106)/2*Phu_tai!$D$39)</f>
        <v/>
      </c>
      <c r="L107">
        <f>IF(AND(K107&lt;0.0001,J107=0,I107&gt;0),0,Phu_tai!$D$12+Phu_tai!$D$24*J107/Params!$D$26)</f>
        <v/>
      </c>
      <c r="M107">
        <f>IF(AND(K107&lt;0.0001,J107=0,I107&gt;0),0,Phu_tai!$D$13+Phu_tai!$D$25*J107/Params!$D$26)</f>
        <v/>
      </c>
    </row>
    <row r="108">
      <c r="I108">
        <f>106*Phu_tai!$D$39</f>
        <v/>
      </c>
      <c r="J108">
        <f>IF(I108&lt;Phu_tai!$D$15,Params!$D$27*I108,IF(I108&lt;Phu_tai!$D$15+Phu_tai!$D$17,Params!$D$26,IF(I108&lt;Phu_tai!$D$18,Params!$D$26-Params!$D$27*(I108-Phu_tai!$D$15-Phu_tai!$D$17),0)))+IF(AND((I108-Phu_tai!$D$18-Phu_tai!$D$40)&gt;=0,(I108-Phu_tai!$D$18-Phu_tai!$D$40)&lt;Phu_tai!$D$18),-(IF((I108-Phu_tai!$D$18-Phu_tai!$D$40)&lt;Phu_tai!$D$15,Params!$D$27*(I108-Phu_tai!$D$18-Phu_tai!$D$40),IF((I108-Phu_tai!$D$18-Phu_tai!$D$40)&lt;Phu_tai!$D$15+Phu_tai!$D$17,Params!$D$26,Params!$D$26-Params!$D$27*((I108-Phu_tai!$D$18-Phu_tai!$D$40)-Phu_tai!$D$15-Phu_tai!$D$17)))),0)</f>
        <v/>
      </c>
      <c r="K108">
        <f>MAX(0,K107+(J108+J107)/2*Phu_tai!$D$39)</f>
        <v/>
      </c>
      <c r="L108">
        <f>IF(AND(K108&lt;0.0001,J108=0,I108&gt;0),0,Phu_tai!$D$12+Phu_tai!$D$24*J108/Params!$D$26)</f>
        <v/>
      </c>
      <c r="M108">
        <f>IF(AND(K108&lt;0.0001,J108=0,I108&gt;0),0,Phu_tai!$D$13+Phu_tai!$D$25*J108/Params!$D$26)</f>
        <v/>
      </c>
    </row>
    <row r="109">
      <c r="I109">
        <f>107*Phu_tai!$D$39</f>
        <v/>
      </c>
      <c r="J109">
        <f>IF(I109&lt;Phu_tai!$D$15,Params!$D$27*I109,IF(I109&lt;Phu_tai!$D$15+Phu_tai!$D$17,Params!$D$26,IF(I109&lt;Phu_tai!$D$18,Params!$D$26-Params!$D$27*(I109-Phu_tai!$D$15-Phu_tai!$D$17),0)))+IF(AND((I109-Phu_tai!$D$18-Phu_tai!$D$40)&gt;=0,(I109-Phu_tai!$D$18-Phu_tai!$D$40)&lt;Phu_tai!$D$18),-(IF((I109-Phu_tai!$D$18-Phu_tai!$D$40)&lt;Phu_tai!$D$15,Params!$D$27*(I109-Phu_tai!$D$18-Phu_tai!$D$40),IF((I109-Phu_tai!$D$18-Phu_tai!$D$40)&lt;Phu_tai!$D$15+Phu_tai!$D$17,Params!$D$26,Params!$D$26-Params!$D$27*((I109-Phu_tai!$D$18-Phu_tai!$D$40)-Phu_tai!$D$15-Phu_tai!$D$17)))),0)</f>
        <v/>
      </c>
      <c r="K109">
        <f>MAX(0,K108+(J109+J108)/2*Phu_tai!$D$39)</f>
        <v/>
      </c>
      <c r="L109">
        <f>IF(AND(K109&lt;0.0001,J109=0,I109&gt;0),0,Phu_tai!$D$12+Phu_tai!$D$24*J109/Params!$D$26)</f>
        <v/>
      </c>
      <c r="M109">
        <f>IF(AND(K109&lt;0.0001,J109=0,I109&gt;0),0,Phu_tai!$D$13+Phu_tai!$D$25*J109/Params!$D$26)</f>
        <v/>
      </c>
    </row>
    <row r="110">
      <c r="I110">
        <f>108*Phu_tai!$D$39</f>
        <v/>
      </c>
      <c r="J110">
        <f>IF(I110&lt;Phu_tai!$D$15,Params!$D$27*I110,IF(I110&lt;Phu_tai!$D$15+Phu_tai!$D$17,Params!$D$26,IF(I110&lt;Phu_tai!$D$18,Params!$D$26-Params!$D$27*(I110-Phu_tai!$D$15-Phu_tai!$D$17),0)))+IF(AND((I110-Phu_tai!$D$18-Phu_tai!$D$40)&gt;=0,(I110-Phu_tai!$D$18-Phu_tai!$D$40)&lt;Phu_tai!$D$18),-(IF((I110-Phu_tai!$D$18-Phu_tai!$D$40)&lt;Phu_tai!$D$15,Params!$D$27*(I110-Phu_tai!$D$18-Phu_tai!$D$40),IF((I110-Phu_tai!$D$18-Phu_tai!$D$40)&lt;Phu_tai!$D$15+Phu_tai!$D$17,Params!$D$26,Params!$D$26-Params!$D$27*((I110-Phu_tai!$D$18-Phu_tai!$D$40)-Phu_tai!$D$15-Phu_tai!$D$17)))),0)</f>
        <v/>
      </c>
      <c r="K110">
        <f>MAX(0,K109+(J110+J109)/2*Phu_tai!$D$39)</f>
        <v/>
      </c>
      <c r="L110">
        <f>IF(AND(K110&lt;0.0001,J110=0,I110&gt;0),0,Phu_tai!$D$12+Phu_tai!$D$24*J110/Params!$D$26)</f>
        <v/>
      </c>
      <c r="M110">
        <f>IF(AND(K110&lt;0.0001,J110=0,I110&gt;0),0,Phu_tai!$D$13+Phu_tai!$D$25*J110/Params!$D$26)</f>
        <v/>
      </c>
    </row>
    <row r="111">
      <c r="I111">
        <f>109*Phu_tai!$D$39</f>
        <v/>
      </c>
      <c r="J111">
        <f>IF(I111&lt;Phu_tai!$D$15,Params!$D$27*I111,IF(I111&lt;Phu_tai!$D$15+Phu_tai!$D$17,Params!$D$26,IF(I111&lt;Phu_tai!$D$18,Params!$D$26-Params!$D$27*(I111-Phu_tai!$D$15-Phu_tai!$D$17),0)))+IF(AND((I111-Phu_tai!$D$18-Phu_tai!$D$40)&gt;=0,(I111-Phu_tai!$D$18-Phu_tai!$D$40)&lt;Phu_tai!$D$18),-(IF((I111-Phu_tai!$D$18-Phu_tai!$D$40)&lt;Phu_tai!$D$15,Params!$D$27*(I111-Phu_tai!$D$18-Phu_tai!$D$40),IF((I111-Phu_tai!$D$18-Phu_tai!$D$40)&lt;Phu_tai!$D$15+Phu_tai!$D$17,Params!$D$26,Params!$D$26-Params!$D$27*((I111-Phu_tai!$D$18-Phu_tai!$D$40)-Phu_tai!$D$15-Phu_tai!$D$17)))),0)</f>
        <v/>
      </c>
      <c r="K111">
        <f>MAX(0,K110+(J111+J110)/2*Phu_tai!$D$39)</f>
        <v/>
      </c>
      <c r="L111">
        <f>IF(AND(K111&lt;0.0001,J111=0,I111&gt;0),0,Phu_tai!$D$12+Phu_tai!$D$24*J111/Params!$D$26)</f>
        <v/>
      </c>
      <c r="M111">
        <f>IF(AND(K111&lt;0.0001,J111=0,I111&gt;0),0,Phu_tai!$D$13+Phu_tai!$D$25*J111/Params!$D$26)</f>
        <v/>
      </c>
    </row>
    <row r="112">
      <c r="I112">
        <f>110*Phu_tai!$D$39</f>
        <v/>
      </c>
      <c r="J112">
        <f>IF(I112&lt;Phu_tai!$D$15,Params!$D$27*I112,IF(I112&lt;Phu_tai!$D$15+Phu_tai!$D$17,Params!$D$26,IF(I112&lt;Phu_tai!$D$18,Params!$D$26-Params!$D$27*(I112-Phu_tai!$D$15-Phu_tai!$D$17),0)))+IF(AND((I112-Phu_tai!$D$18-Phu_tai!$D$40)&gt;=0,(I112-Phu_tai!$D$18-Phu_tai!$D$40)&lt;Phu_tai!$D$18),-(IF((I112-Phu_tai!$D$18-Phu_tai!$D$40)&lt;Phu_tai!$D$15,Params!$D$27*(I112-Phu_tai!$D$18-Phu_tai!$D$40),IF((I112-Phu_tai!$D$18-Phu_tai!$D$40)&lt;Phu_tai!$D$15+Phu_tai!$D$17,Params!$D$26,Params!$D$26-Params!$D$27*((I112-Phu_tai!$D$18-Phu_tai!$D$40)-Phu_tai!$D$15-Phu_tai!$D$17)))),0)</f>
        <v/>
      </c>
      <c r="K112">
        <f>MAX(0,K111+(J112+J111)/2*Phu_tai!$D$39)</f>
        <v/>
      </c>
      <c r="L112">
        <f>IF(AND(K112&lt;0.0001,J112=0,I112&gt;0),0,Phu_tai!$D$12+Phu_tai!$D$24*J112/Params!$D$26)</f>
        <v/>
      </c>
      <c r="M112">
        <f>IF(AND(K112&lt;0.0001,J112=0,I112&gt;0),0,Phu_tai!$D$13+Phu_tai!$D$25*J112/Params!$D$26)</f>
        <v/>
      </c>
    </row>
    <row r="113">
      <c r="I113">
        <f>111*Phu_tai!$D$39</f>
        <v/>
      </c>
      <c r="J113">
        <f>IF(I113&lt;Phu_tai!$D$15,Params!$D$27*I113,IF(I113&lt;Phu_tai!$D$15+Phu_tai!$D$17,Params!$D$26,IF(I113&lt;Phu_tai!$D$18,Params!$D$26-Params!$D$27*(I113-Phu_tai!$D$15-Phu_tai!$D$17),0)))+IF(AND((I113-Phu_tai!$D$18-Phu_tai!$D$40)&gt;=0,(I113-Phu_tai!$D$18-Phu_tai!$D$40)&lt;Phu_tai!$D$18),-(IF((I113-Phu_tai!$D$18-Phu_tai!$D$40)&lt;Phu_tai!$D$15,Params!$D$27*(I113-Phu_tai!$D$18-Phu_tai!$D$40),IF((I113-Phu_tai!$D$18-Phu_tai!$D$40)&lt;Phu_tai!$D$15+Phu_tai!$D$17,Params!$D$26,Params!$D$26-Params!$D$27*((I113-Phu_tai!$D$18-Phu_tai!$D$40)-Phu_tai!$D$15-Phu_tai!$D$17)))),0)</f>
        <v/>
      </c>
      <c r="K113">
        <f>MAX(0,K112+(J113+J112)/2*Phu_tai!$D$39)</f>
        <v/>
      </c>
      <c r="L113">
        <f>IF(AND(K113&lt;0.0001,J113=0,I113&gt;0),0,Phu_tai!$D$12+Phu_tai!$D$24*J113/Params!$D$26)</f>
        <v/>
      </c>
      <c r="M113">
        <f>IF(AND(K113&lt;0.0001,J113=0,I113&gt;0),0,Phu_tai!$D$13+Phu_tai!$D$25*J113/Params!$D$26)</f>
        <v/>
      </c>
    </row>
    <row r="114">
      <c r="I114">
        <f>112*Phu_tai!$D$39</f>
        <v/>
      </c>
      <c r="J114">
        <f>IF(I114&lt;Phu_tai!$D$15,Params!$D$27*I114,IF(I114&lt;Phu_tai!$D$15+Phu_tai!$D$17,Params!$D$26,IF(I114&lt;Phu_tai!$D$18,Params!$D$26-Params!$D$27*(I114-Phu_tai!$D$15-Phu_tai!$D$17),0)))+IF(AND((I114-Phu_tai!$D$18-Phu_tai!$D$40)&gt;=0,(I114-Phu_tai!$D$18-Phu_tai!$D$40)&lt;Phu_tai!$D$18),-(IF((I114-Phu_tai!$D$18-Phu_tai!$D$40)&lt;Phu_tai!$D$15,Params!$D$27*(I114-Phu_tai!$D$18-Phu_tai!$D$40),IF((I114-Phu_tai!$D$18-Phu_tai!$D$40)&lt;Phu_tai!$D$15+Phu_tai!$D$17,Params!$D$26,Params!$D$26-Params!$D$27*((I114-Phu_tai!$D$18-Phu_tai!$D$40)-Phu_tai!$D$15-Phu_tai!$D$17)))),0)</f>
        <v/>
      </c>
      <c r="K114">
        <f>MAX(0,K113+(J114+J113)/2*Phu_tai!$D$39)</f>
        <v/>
      </c>
      <c r="L114">
        <f>IF(AND(K114&lt;0.0001,J114=0,I114&gt;0),0,Phu_tai!$D$12+Phu_tai!$D$24*J114/Params!$D$26)</f>
        <v/>
      </c>
      <c r="M114">
        <f>IF(AND(K114&lt;0.0001,J114=0,I114&gt;0),0,Phu_tai!$D$13+Phu_tai!$D$25*J114/Params!$D$26)</f>
        <v/>
      </c>
    </row>
    <row r="115">
      <c r="I115">
        <f>113*Phu_tai!$D$39</f>
        <v/>
      </c>
      <c r="J115">
        <f>IF(I115&lt;Phu_tai!$D$15,Params!$D$27*I115,IF(I115&lt;Phu_tai!$D$15+Phu_tai!$D$17,Params!$D$26,IF(I115&lt;Phu_tai!$D$18,Params!$D$26-Params!$D$27*(I115-Phu_tai!$D$15-Phu_tai!$D$17),0)))+IF(AND((I115-Phu_tai!$D$18-Phu_tai!$D$40)&gt;=0,(I115-Phu_tai!$D$18-Phu_tai!$D$40)&lt;Phu_tai!$D$18),-(IF((I115-Phu_tai!$D$18-Phu_tai!$D$40)&lt;Phu_tai!$D$15,Params!$D$27*(I115-Phu_tai!$D$18-Phu_tai!$D$40),IF((I115-Phu_tai!$D$18-Phu_tai!$D$40)&lt;Phu_tai!$D$15+Phu_tai!$D$17,Params!$D$26,Params!$D$26-Params!$D$27*((I115-Phu_tai!$D$18-Phu_tai!$D$40)-Phu_tai!$D$15-Phu_tai!$D$17)))),0)</f>
        <v/>
      </c>
      <c r="K115">
        <f>MAX(0,K114+(J115+J114)/2*Phu_tai!$D$39)</f>
        <v/>
      </c>
      <c r="L115">
        <f>IF(AND(K115&lt;0.0001,J115=0,I115&gt;0),0,Phu_tai!$D$12+Phu_tai!$D$24*J115/Params!$D$26)</f>
        <v/>
      </c>
      <c r="M115">
        <f>IF(AND(K115&lt;0.0001,J115=0,I115&gt;0),0,Phu_tai!$D$13+Phu_tai!$D$25*J115/Params!$D$26)</f>
        <v/>
      </c>
    </row>
    <row r="116">
      <c r="I116">
        <f>114*Phu_tai!$D$39</f>
        <v/>
      </c>
      <c r="J116">
        <f>IF(I116&lt;Phu_tai!$D$15,Params!$D$27*I116,IF(I116&lt;Phu_tai!$D$15+Phu_tai!$D$17,Params!$D$26,IF(I116&lt;Phu_tai!$D$18,Params!$D$26-Params!$D$27*(I116-Phu_tai!$D$15-Phu_tai!$D$17),0)))+IF(AND((I116-Phu_tai!$D$18-Phu_tai!$D$40)&gt;=0,(I116-Phu_tai!$D$18-Phu_tai!$D$40)&lt;Phu_tai!$D$18),-(IF((I116-Phu_tai!$D$18-Phu_tai!$D$40)&lt;Phu_tai!$D$15,Params!$D$27*(I116-Phu_tai!$D$18-Phu_tai!$D$40),IF((I116-Phu_tai!$D$18-Phu_tai!$D$40)&lt;Phu_tai!$D$15+Phu_tai!$D$17,Params!$D$26,Params!$D$26-Params!$D$27*((I116-Phu_tai!$D$18-Phu_tai!$D$40)-Phu_tai!$D$15-Phu_tai!$D$17)))),0)</f>
        <v/>
      </c>
      <c r="K116">
        <f>MAX(0,K115+(J116+J115)/2*Phu_tai!$D$39)</f>
        <v/>
      </c>
      <c r="L116">
        <f>IF(AND(K116&lt;0.0001,J116=0,I116&gt;0),0,Phu_tai!$D$12+Phu_tai!$D$24*J116/Params!$D$26)</f>
        <v/>
      </c>
      <c r="M116">
        <f>IF(AND(K116&lt;0.0001,J116=0,I116&gt;0),0,Phu_tai!$D$13+Phu_tai!$D$25*J116/Params!$D$26)</f>
        <v/>
      </c>
    </row>
    <row r="117">
      <c r="I117">
        <f>115*Phu_tai!$D$39</f>
        <v/>
      </c>
      <c r="J117">
        <f>IF(I117&lt;Phu_tai!$D$15,Params!$D$27*I117,IF(I117&lt;Phu_tai!$D$15+Phu_tai!$D$17,Params!$D$26,IF(I117&lt;Phu_tai!$D$18,Params!$D$26-Params!$D$27*(I117-Phu_tai!$D$15-Phu_tai!$D$17),0)))+IF(AND((I117-Phu_tai!$D$18-Phu_tai!$D$40)&gt;=0,(I117-Phu_tai!$D$18-Phu_tai!$D$40)&lt;Phu_tai!$D$18),-(IF((I117-Phu_tai!$D$18-Phu_tai!$D$40)&lt;Phu_tai!$D$15,Params!$D$27*(I117-Phu_tai!$D$18-Phu_tai!$D$40),IF((I117-Phu_tai!$D$18-Phu_tai!$D$40)&lt;Phu_tai!$D$15+Phu_tai!$D$17,Params!$D$26,Params!$D$26-Params!$D$27*((I117-Phu_tai!$D$18-Phu_tai!$D$40)-Phu_tai!$D$15-Phu_tai!$D$17)))),0)</f>
        <v/>
      </c>
      <c r="K117">
        <f>MAX(0,K116+(J117+J116)/2*Phu_tai!$D$39)</f>
        <v/>
      </c>
      <c r="L117">
        <f>IF(AND(K117&lt;0.0001,J117=0,I117&gt;0),0,Phu_tai!$D$12+Phu_tai!$D$24*J117/Params!$D$26)</f>
        <v/>
      </c>
      <c r="M117">
        <f>IF(AND(K117&lt;0.0001,J117=0,I117&gt;0),0,Phu_tai!$D$13+Phu_tai!$D$25*J117/Params!$D$26)</f>
        <v/>
      </c>
    </row>
    <row r="118">
      <c r="I118">
        <f>116*Phu_tai!$D$39</f>
        <v/>
      </c>
      <c r="J118">
        <f>IF(I118&lt;Phu_tai!$D$15,Params!$D$27*I118,IF(I118&lt;Phu_tai!$D$15+Phu_tai!$D$17,Params!$D$26,IF(I118&lt;Phu_tai!$D$18,Params!$D$26-Params!$D$27*(I118-Phu_tai!$D$15-Phu_tai!$D$17),0)))+IF(AND((I118-Phu_tai!$D$18-Phu_tai!$D$40)&gt;=0,(I118-Phu_tai!$D$18-Phu_tai!$D$40)&lt;Phu_tai!$D$18),-(IF((I118-Phu_tai!$D$18-Phu_tai!$D$40)&lt;Phu_tai!$D$15,Params!$D$27*(I118-Phu_tai!$D$18-Phu_tai!$D$40),IF((I118-Phu_tai!$D$18-Phu_tai!$D$40)&lt;Phu_tai!$D$15+Phu_tai!$D$17,Params!$D$26,Params!$D$26-Params!$D$27*((I118-Phu_tai!$D$18-Phu_tai!$D$40)-Phu_tai!$D$15-Phu_tai!$D$17)))),0)</f>
        <v/>
      </c>
      <c r="K118">
        <f>MAX(0,K117+(J118+J117)/2*Phu_tai!$D$39)</f>
        <v/>
      </c>
      <c r="L118">
        <f>IF(AND(K118&lt;0.0001,J118=0,I118&gt;0),0,Phu_tai!$D$12+Phu_tai!$D$24*J118/Params!$D$26)</f>
        <v/>
      </c>
      <c r="M118">
        <f>IF(AND(K118&lt;0.0001,J118=0,I118&gt;0),0,Phu_tai!$D$13+Phu_tai!$D$25*J118/Params!$D$26)</f>
        <v/>
      </c>
    </row>
    <row r="119">
      <c r="I119">
        <f>117*Phu_tai!$D$39</f>
        <v/>
      </c>
      <c r="J119">
        <f>IF(I119&lt;Phu_tai!$D$15,Params!$D$27*I119,IF(I119&lt;Phu_tai!$D$15+Phu_tai!$D$17,Params!$D$26,IF(I119&lt;Phu_tai!$D$18,Params!$D$26-Params!$D$27*(I119-Phu_tai!$D$15-Phu_tai!$D$17),0)))+IF(AND((I119-Phu_tai!$D$18-Phu_tai!$D$40)&gt;=0,(I119-Phu_tai!$D$18-Phu_tai!$D$40)&lt;Phu_tai!$D$18),-(IF((I119-Phu_tai!$D$18-Phu_tai!$D$40)&lt;Phu_tai!$D$15,Params!$D$27*(I119-Phu_tai!$D$18-Phu_tai!$D$40),IF((I119-Phu_tai!$D$18-Phu_tai!$D$40)&lt;Phu_tai!$D$15+Phu_tai!$D$17,Params!$D$26,Params!$D$26-Params!$D$27*((I119-Phu_tai!$D$18-Phu_tai!$D$40)-Phu_tai!$D$15-Phu_tai!$D$17)))),0)</f>
        <v/>
      </c>
      <c r="K119">
        <f>MAX(0,K118+(J119+J118)/2*Phu_tai!$D$39)</f>
        <v/>
      </c>
      <c r="L119">
        <f>IF(AND(K119&lt;0.0001,J119=0,I119&gt;0),0,Phu_tai!$D$12+Phu_tai!$D$24*J119/Params!$D$26)</f>
        <v/>
      </c>
      <c r="M119">
        <f>IF(AND(K119&lt;0.0001,J119=0,I119&gt;0),0,Phu_tai!$D$13+Phu_tai!$D$25*J119/Params!$D$26)</f>
        <v/>
      </c>
    </row>
    <row r="120">
      <c r="I120">
        <f>118*Phu_tai!$D$39</f>
        <v/>
      </c>
      <c r="J120">
        <f>IF(I120&lt;Phu_tai!$D$15,Params!$D$27*I120,IF(I120&lt;Phu_tai!$D$15+Phu_tai!$D$17,Params!$D$26,IF(I120&lt;Phu_tai!$D$18,Params!$D$26-Params!$D$27*(I120-Phu_tai!$D$15-Phu_tai!$D$17),0)))+IF(AND((I120-Phu_tai!$D$18-Phu_tai!$D$40)&gt;=0,(I120-Phu_tai!$D$18-Phu_tai!$D$40)&lt;Phu_tai!$D$18),-(IF((I120-Phu_tai!$D$18-Phu_tai!$D$40)&lt;Phu_tai!$D$15,Params!$D$27*(I120-Phu_tai!$D$18-Phu_tai!$D$40),IF((I120-Phu_tai!$D$18-Phu_tai!$D$40)&lt;Phu_tai!$D$15+Phu_tai!$D$17,Params!$D$26,Params!$D$26-Params!$D$27*((I120-Phu_tai!$D$18-Phu_tai!$D$40)-Phu_tai!$D$15-Phu_tai!$D$17)))),0)</f>
        <v/>
      </c>
      <c r="K120">
        <f>MAX(0,K119+(J120+J119)/2*Phu_tai!$D$39)</f>
        <v/>
      </c>
      <c r="L120">
        <f>IF(AND(K120&lt;0.0001,J120=0,I120&gt;0),0,Phu_tai!$D$12+Phu_tai!$D$24*J120/Params!$D$26)</f>
        <v/>
      </c>
      <c r="M120">
        <f>IF(AND(K120&lt;0.0001,J120=0,I120&gt;0),0,Phu_tai!$D$13+Phu_tai!$D$25*J120/Params!$D$26)</f>
        <v/>
      </c>
    </row>
    <row r="121">
      <c r="I121">
        <f>119*Phu_tai!$D$39</f>
        <v/>
      </c>
      <c r="J121">
        <f>IF(I121&lt;Phu_tai!$D$15,Params!$D$27*I121,IF(I121&lt;Phu_tai!$D$15+Phu_tai!$D$17,Params!$D$26,IF(I121&lt;Phu_tai!$D$18,Params!$D$26-Params!$D$27*(I121-Phu_tai!$D$15-Phu_tai!$D$17),0)))+IF(AND((I121-Phu_tai!$D$18-Phu_tai!$D$40)&gt;=0,(I121-Phu_tai!$D$18-Phu_tai!$D$40)&lt;Phu_tai!$D$18),-(IF((I121-Phu_tai!$D$18-Phu_tai!$D$40)&lt;Phu_tai!$D$15,Params!$D$27*(I121-Phu_tai!$D$18-Phu_tai!$D$40),IF((I121-Phu_tai!$D$18-Phu_tai!$D$40)&lt;Phu_tai!$D$15+Phu_tai!$D$17,Params!$D$26,Params!$D$26-Params!$D$27*((I121-Phu_tai!$D$18-Phu_tai!$D$40)-Phu_tai!$D$15-Phu_tai!$D$17)))),0)</f>
        <v/>
      </c>
      <c r="K121">
        <f>MAX(0,K120+(J121+J120)/2*Phu_tai!$D$39)</f>
        <v/>
      </c>
      <c r="L121">
        <f>IF(AND(K121&lt;0.0001,J121=0,I121&gt;0),0,Phu_tai!$D$12+Phu_tai!$D$24*J121/Params!$D$26)</f>
        <v/>
      </c>
      <c r="M121">
        <f>IF(AND(K121&lt;0.0001,J121=0,I121&gt;0),0,Phu_tai!$D$13+Phu_tai!$D$25*J121/Params!$D$26)</f>
        <v/>
      </c>
    </row>
    <row r="122">
      <c r="I122">
        <f>120*Phu_tai!$D$39</f>
        <v/>
      </c>
      <c r="J122">
        <f>IF(I122&lt;Phu_tai!$D$15,Params!$D$27*I122,IF(I122&lt;Phu_tai!$D$15+Phu_tai!$D$17,Params!$D$26,IF(I122&lt;Phu_tai!$D$18,Params!$D$26-Params!$D$27*(I122-Phu_tai!$D$15-Phu_tai!$D$17),0)))+IF(AND((I122-Phu_tai!$D$18-Phu_tai!$D$40)&gt;=0,(I122-Phu_tai!$D$18-Phu_tai!$D$40)&lt;Phu_tai!$D$18),-(IF((I122-Phu_tai!$D$18-Phu_tai!$D$40)&lt;Phu_tai!$D$15,Params!$D$27*(I122-Phu_tai!$D$18-Phu_tai!$D$40),IF((I122-Phu_tai!$D$18-Phu_tai!$D$40)&lt;Phu_tai!$D$15+Phu_tai!$D$17,Params!$D$26,Params!$D$26-Params!$D$27*((I122-Phu_tai!$D$18-Phu_tai!$D$40)-Phu_tai!$D$15-Phu_tai!$D$17)))),0)</f>
        <v/>
      </c>
      <c r="K122">
        <f>MAX(0,K121+(J122+J121)/2*Phu_tai!$D$39)</f>
        <v/>
      </c>
      <c r="L122">
        <f>IF(AND(K122&lt;0.0001,J122=0,I122&gt;0),0,Phu_tai!$D$12+Phu_tai!$D$24*J122/Params!$D$26)</f>
        <v/>
      </c>
      <c r="M122">
        <f>IF(AND(K122&lt;0.0001,J122=0,I122&gt;0),0,Phu_tai!$D$13+Phu_tai!$D$25*J122/Params!$D$26)</f>
        <v/>
      </c>
    </row>
    <row r="123">
      <c r="I123">
        <f>121*Phu_tai!$D$39</f>
        <v/>
      </c>
      <c r="J123">
        <f>IF(I123&lt;Phu_tai!$D$15,Params!$D$27*I123,IF(I123&lt;Phu_tai!$D$15+Phu_tai!$D$17,Params!$D$26,IF(I123&lt;Phu_tai!$D$18,Params!$D$26-Params!$D$27*(I123-Phu_tai!$D$15-Phu_tai!$D$17),0)))+IF(AND((I123-Phu_tai!$D$18-Phu_tai!$D$40)&gt;=0,(I123-Phu_tai!$D$18-Phu_tai!$D$40)&lt;Phu_tai!$D$18),-(IF((I123-Phu_tai!$D$18-Phu_tai!$D$40)&lt;Phu_tai!$D$15,Params!$D$27*(I123-Phu_tai!$D$18-Phu_tai!$D$40),IF((I123-Phu_tai!$D$18-Phu_tai!$D$40)&lt;Phu_tai!$D$15+Phu_tai!$D$17,Params!$D$26,Params!$D$26-Params!$D$27*((I123-Phu_tai!$D$18-Phu_tai!$D$40)-Phu_tai!$D$15-Phu_tai!$D$17)))),0)</f>
        <v/>
      </c>
      <c r="K123">
        <f>MAX(0,K122+(J123+J122)/2*Phu_tai!$D$39)</f>
        <v/>
      </c>
      <c r="L123">
        <f>IF(AND(K123&lt;0.0001,J123=0,I123&gt;0),0,Phu_tai!$D$12+Phu_tai!$D$24*J123/Params!$D$26)</f>
        <v/>
      </c>
      <c r="M123">
        <f>IF(AND(K123&lt;0.0001,J123=0,I123&gt;0),0,Phu_tai!$D$13+Phu_tai!$D$25*J123/Params!$D$26)</f>
        <v/>
      </c>
    </row>
    <row r="124">
      <c r="I124">
        <f>122*Phu_tai!$D$39</f>
        <v/>
      </c>
      <c r="J124">
        <f>IF(I124&lt;Phu_tai!$D$15,Params!$D$27*I124,IF(I124&lt;Phu_tai!$D$15+Phu_tai!$D$17,Params!$D$26,IF(I124&lt;Phu_tai!$D$18,Params!$D$26-Params!$D$27*(I124-Phu_tai!$D$15-Phu_tai!$D$17),0)))+IF(AND((I124-Phu_tai!$D$18-Phu_tai!$D$40)&gt;=0,(I124-Phu_tai!$D$18-Phu_tai!$D$40)&lt;Phu_tai!$D$18),-(IF((I124-Phu_tai!$D$18-Phu_tai!$D$40)&lt;Phu_tai!$D$15,Params!$D$27*(I124-Phu_tai!$D$18-Phu_tai!$D$40),IF((I124-Phu_tai!$D$18-Phu_tai!$D$40)&lt;Phu_tai!$D$15+Phu_tai!$D$17,Params!$D$26,Params!$D$26-Params!$D$27*((I124-Phu_tai!$D$18-Phu_tai!$D$40)-Phu_tai!$D$15-Phu_tai!$D$17)))),0)</f>
        <v/>
      </c>
      <c r="K124">
        <f>MAX(0,K123+(J124+J123)/2*Phu_tai!$D$39)</f>
        <v/>
      </c>
      <c r="L124">
        <f>IF(AND(K124&lt;0.0001,J124=0,I124&gt;0),0,Phu_tai!$D$12+Phu_tai!$D$24*J124/Params!$D$26)</f>
        <v/>
      </c>
      <c r="M124">
        <f>IF(AND(K124&lt;0.0001,J124=0,I124&gt;0),0,Phu_tai!$D$13+Phu_tai!$D$25*J124/Params!$D$26)</f>
        <v/>
      </c>
    </row>
    <row r="125">
      <c r="I125">
        <f>123*Phu_tai!$D$39</f>
        <v/>
      </c>
      <c r="J125">
        <f>IF(I125&lt;Phu_tai!$D$15,Params!$D$27*I125,IF(I125&lt;Phu_tai!$D$15+Phu_tai!$D$17,Params!$D$26,IF(I125&lt;Phu_tai!$D$18,Params!$D$26-Params!$D$27*(I125-Phu_tai!$D$15-Phu_tai!$D$17),0)))+IF(AND((I125-Phu_tai!$D$18-Phu_tai!$D$40)&gt;=0,(I125-Phu_tai!$D$18-Phu_tai!$D$40)&lt;Phu_tai!$D$18),-(IF((I125-Phu_tai!$D$18-Phu_tai!$D$40)&lt;Phu_tai!$D$15,Params!$D$27*(I125-Phu_tai!$D$18-Phu_tai!$D$40),IF((I125-Phu_tai!$D$18-Phu_tai!$D$40)&lt;Phu_tai!$D$15+Phu_tai!$D$17,Params!$D$26,Params!$D$26-Params!$D$27*((I125-Phu_tai!$D$18-Phu_tai!$D$40)-Phu_tai!$D$15-Phu_tai!$D$17)))),0)</f>
        <v/>
      </c>
      <c r="K125">
        <f>MAX(0,K124+(J125+J124)/2*Phu_tai!$D$39)</f>
        <v/>
      </c>
      <c r="L125">
        <f>IF(AND(K125&lt;0.0001,J125=0,I125&gt;0),0,Phu_tai!$D$12+Phu_tai!$D$24*J125/Params!$D$26)</f>
        <v/>
      </c>
      <c r="M125">
        <f>IF(AND(K125&lt;0.0001,J125=0,I125&gt;0),0,Phu_tai!$D$13+Phu_tai!$D$25*J125/Params!$D$26)</f>
        <v/>
      </c>
    </row>
    <row r="126">
      <c r="I126">
        <f>124*Phu_tai!$D$39</f>
        <v/>
      </c>
      <c r="J126">
        <f>IF(I126&lt;Phu_tai!$D$15,Params!$D$27*I126,IF(I126&lt;Phu_tai!$D$15+Phu_tai!$D$17,Params!$D$26,IF(I126&lt;Phu_tai!$D$18,Params!$D$26-Params!$D$27*(I126-Phu_tai!$D$15-Phu_tai!$D$17),0)))+IF(AND((I126-Phu_tai!$D$18-Phu_tai!$D$40)&gt;=0,(I126-Phu_tai!$D$18-Phu_tai!$D$40)&lt;Phu_tai!$D$18),-(IF((I126-Phu_tai!$D$18-Phu_tai!$D$40)&lt;Phu_tai!$D$15,Params!$D$27*(I126-Phu_tai!$D$18-Phu_tai!$D$40),IF((I126-Phu_tai!$D$18-Phu_tai!$D$40)&lt;Phu_tai!$D$15+Phu_tai!$D$17,Params!$D$26,Params!$D$26-Params!$D$27*((I126-Phu_tai!$D$18-Phu_tai!$D$40)-Phu_tai!$D$15-Phu_tai!$D$17)))),0)</f>
        <v/>
      </c>
      <c r="K126">
        <f>MAX(0,K125+(J126+J125)/2*Phu_tai!$D$39)</f>
        <v/>
      </c>
      <c r="L126">
        <f>IF(AND(K126&lt;0.0001,J126=0,I126&gt;0),0,Phu_tai!$D$12+Phu_tai!$D$24*J126/Params!$D$26)</f>
        <v/>
      </c>
      <c r="M126">
        <f>IF(AND(K126&lt;0.0001,J126=0,I126&gt;0),0,Phu_tai!$D$13+Phu_tai!$D$25*J126/Params!$D$26)</f>
        <v/>
      </c>
    </row>
    <row r="127">
      <c r="I127">
        <f>125*Phu_tai!$D$39</f>
        <v/>
      </c>
      <c r="J127">
        <f>IF(I127&lt;Phu_tai!$D$15,Params!$D$27*I127,IF(I127&lt;Phu_tai!$D$15+Phu_tai!$D$17,Params!$D$26,IF(I127&lt;Phu_tai!$D$18,Params!$D$26-Params!$D$27*(I127-Phu_tai!$D$15-Phu_tai!$D$17),0)))+IF(AND((I127-Phu_tai!$D$18-Phu_tai!$D$40)&gt;=0,(I127-Phu_tai!$D$18-Phu_tai!$D$40)&lt;Phu_tai!$D$18),-(IF((I127-Phu_tai!$D$18-Phu_tai!$D$40)&lt;Phu_tai!$D$15,Params!$D$27*(I127-Phu_tai!$D$18-Phu_tai!$D$40),IF((I127-Phu_tai!$D$18-Phu_tai!$D$40)&lt;Phu_tai!$D$15+Phu_tai!$D$17,Params!$D$26,Params!$D$26-Params!$D$27*((I127-Phu_tai!$D$18-Phu_tai!$D$40)-Phu_tai!$D$15-Phu_tai!$D$17)))),0)</f>
        <v/>
      </c>
      <c r="K127">
        <f>MAX(0,K126+(J127+J126)/2*Phu_tai!$D$39)</f>
        <v/>
      </c>
      <c r="L127">
        <f>IF(AND(K127&lt;0.0001,J127=0,I127&gt;0),0,Phu_tai!$D$12+Phu_tai!$D$24*J127/Params!$D$26)</f>
        <v/>
      </c>
      <c r="M127">
        <f>IF(AND(K127&lt;0.0001,J127=0,I127&gt;0),0,Phu_tai!$D$13+Phu_tai!$D$25*J127/Params!$D$26)</f>
        <v/>
      </c>
    </row>
    <row r="128">
      <c r="I128">
        <f>126*Phu_tai!$D$39</f>
        <v/>
      </c>
      <c r="J128">
        <f>IF(I128&lt;Phu_tai!$D$15,Params!$D$27*I128,IF(I128&lt;Phu_tai!$D$15+Phu_tai!$D$17,Params!$D$26,IF(I128&lt;Phu_tai!$D$18,Params!$D$26-Params!$D$27*(I128-Phu_tai!$D$15-Phu_tai!$D$17),0)))+IF(AND((I128-Phu_tai!$D$18-Phu_tai!$D$40)&gt;=0,(I128-Phu_tai!$D$18-Phu_tai!$D$40)&lt;Phu_tai!$D$18),-(IF((I128-Phu_tai!$D$18-Phu_tai!$D$40)&lt;Phu_tai!$D$15,Params!$D$27*(I128-Phu_tai!$D$18-Phu_tai!$D$40),IF((I128-Phu_tai!$D$18-Phu_tai!$D$40)&lt;Phu_tai!$D$15+Phu_tai!$D$17,Params!$D$26,Params!$D$26-Params!$D$27*((I128-Phu_tai!$D$18-Phu_tai!$D$40)-Phu_tai!$D$15-Phu_tai!$D$17)))),0)</f>
        <v/>
      </c>
      <c r="K128">
        <f>MAX(0,K127+(J128+J127)/2*Phu_tai!$D$39)</f>
        <v/>
      </c>
      <c r="L128">
        <f>IF(AND(K128&lt;0.0001,J128=0,I128&gt;0),0,Phu_tai!$D$12+Phu_tai!$D$24*J128/Params!$D$26)</f>
        <v/>
      </c>
      <c r="M128">
        <f>IF(AND(K128&lt;0.0001,J128=0,I128&gt;0),0,Phu_tai!$D$13+Phu_tai!$D$25*J128/Params!$D$26)</f>
        <v/>
      </c>
    </row>
    <row r="129">
      <c r="I129">
        <f>127*Phu_tai!$D$39</f>
        <v/>
      </c>
      <c r="J129">
        <f>IF(I129&lt;Phu_tai!$D$15,Params!$D$27*I129,IF(I129&lt;Phu_tai!$D$15+Phu_tai!$D$17,Params!$D$26,IF(I129&lt;Phu_tai!$D$18,Params!$D$26-Params!$D$27*(I129-Phu_tai!$D$15-Phu_tai!$D$17),0)))+IF(AND((I129-Phu_tai!$D$18-Phu_tai!$D$40)&gt;=0,(I129-Phu_tai!$D$18-Phu_tai!$D$40)&lt;Phu_tai!$D$18),-(IF((I129-Phu_tai!$D$18-Phu_tai!$D$40)&lt;Phu_tai!$D$15,Params!$D$27*(I129-Phu_tai!$D$18-Phu_tai!$D$40),IF((I129-Phu_tai!$D$18-Phu_tai!$D$40)&lt;Phu_tai!$D$15+Phu_tai!$D$17,Params!$D$26,Params!$D$26-Params!$D$27*((I129-Phu_tai!$D$18-Phu_tai!$D$40)-Phu_tai!$D$15-Phu_tai!$D$17)))),0)</f>
        <v/>
      </c>
      <c r="K129">
        <f>MAX(0,K128+(J129+J128)/2*Phu_tai!$D$39)</f>
        <v/>
      </c>
      <c r="L129">
        <f>IF(AND(K129&lt;0.0001,J129=0,I129&gt;0),0,Phu_tai!$D$12+Phu_tai!$D$24*J129/Params!$D$26)</f>
        <v/>
      </c>
      <c r="M129">
        <f>IF(AND(K129&lt;0.0001,J129=0,I129&gt;0),0,Phu_tai!$D$13+Phu_tai!$D$25*J129/Params!$D$26)</f>
        <v/>
      </c>
    </row>
    <row r="130">
      <c r="I130">
        <f>128*Phu_tai!$D$39</f>
        <v/>
      </c>
      <c r="J130">
        <f>IF(I130&lt;Phu_tai!$D$15,Params!$D$27*I130,IF(I130&lt;Phu_tai!$D$15+Phu_tai!$D$17,Params!$D$26,IF(I130&lt;Phu_tai!$D$18,Params!$D$26-Params!$D$27*(I130-Phu_tai!$D$15-Phu_tai!$D$17),0)))+IF(AND((I130-Phu_tai!$D$18-Phu_tai!$D$40)&gt;=0,(I130-Phu_tai!$D$18-Phu_tai!$D$40)&lt;Phu_tai!$D$18),-(IF((I130-Phu_tai!$D$18-Phu_tai!$D$40)&lt;Phu_tai!$D$15,Params!$D$27*(I130-Phu_tai!$D$18-Phu_tai!$D$40),IF((I130-Phu_tai!$D$18-Phu_tai!$D$40)&lt;Phu_tai!$D$15+Phu_tai!$D$17,Params!$D$26,Params!$D$26-Params!$D$27*((I130-Phu_tai!$D$18-Phu_tai!$D$40)-Phu_tai!$D$15-Phu_tai!$D$17)))),0)</f>
        <v/>
      </c>
      <c r="K130">
        <f>MAX(0,K129+(J130+J129)/2*Phu_tai!$D$39)</f>
        <v/>
      </c>
      <c r="L130">
        <f>IF(AND(K130&lt;0.0001,J130=0,I130&gt;0),0,Phu_tai!$D$12+Phu_tai!$D$24*J130/Params!$D$26)</f>
        <v/>
      </c>
      <c r="M130">
        <f>IF(AND(K130&lt;0.0001,J130=0,I130&gt;0),0,Phu_tai!$D$13+Phu_tai!$D$25*J130/Params!$D$26)</f>
        <v/>
      </c>
    </row>
    <row r="131">
      <c r="I131">
        <f>129*Phu_tai!$D$39</f>
        <v/>
      </c>
      <c r="J131">
        <f>IF(I131&lt;Phu_tai!$D$15,Params!$D$27*I131,IF(I131&lt;Phu_tai!$D$15+Phu_tai!$D$17,Params!$D$26,IF(I131&lt;Phu_tai!$D$18,Params!$D$26-Params!$D$27*(I131-Phu_tai!$D$15-Phu_tai!$D$17),0)))+IF(AND((I131-Phu_tai!$D$18-Phu_tai!$D$40)&gt;=0,(I131-Phu_tai!$D$18-Phu_tai!$D$40)&lt;Phu_tai!$D$18),-(IF((I131-Phu_tai!$D$18-Phu_tai!$D$40)&lt;Phu_tai!$D$15,Params!$D$27*(I131-Phu_tai!$D$18-Phu_tai!$D$40),IF((I131-Phu_tai!$D$18-Phu_tai!$D$40)&lt;Phu_tai!$D$15+Phu_tai!$D$17,Params!$D$26,Params!$D$26-Params!$D$27*((I131-Phu_tai!$D$18-Phu_tai!$D$40)-Phu_tai!$D$15-Phu_tai!$D$17)))),0)</f>
        <v/>
      </c>
      <c r="K131">
        <f>MAX(0,K130+(J131+J130)/2*Phu_tai!$D$39)</f>
        <v/>
      </c>
      <c r="L131">
        <f>IF(AND(K131&lt;0.0001,J131=0,I131&gt;0),0,Phu_tai!$D$12+Phu_tai!$D$24*J131/Params!$D$26)</f>
        <v/>
      </c>
      <c r="M131">
        <f>IF(AND(K131&lt;0.0001,J131=0,I131&gt;0),0,Phu_tai!$D$13+Phu_tai!$D$25*J131/Params!$D$26)</f>
        <v/>
      </c>
    </row>
    <row r="132">
      <c r="I132">
        <f>130*Phu_tai!$D$39</f>
        <v/>
      </c>
      <c r="J132">
        <f>IF(I132&lt;Phu_tai!$D$15,Params!$D$27*I132,IF(I132&lt;Phu_tai!$D$15+Phu_tai!$D$17,Params!$D$26,IF(I132&lt;Phu_tai!$D$18,Params!$D$26-Params!$D$27*(I132-Phu_tai!$D$15-Phu_tai!$D$17),0)))+IF(AND((I132-Phu_tai!$D$18-Phu_tai!$D$40)&gt;=0,(I132-Phu_tai!$D$18-Phu_tai!$D$40)&lt;Phu_tai!$D$18),-(IF((I132-Phu_tai!$D$18-Phu_tai!$D$40)&lt;Phu_tai!$D$15,Params!$D$27*(I132-Phu_tai!$D$18-Phu_tai!$D$40),IF((I132-Phu_tai!$D$18-Phu_tai!$D$40)&lt;Phu_tai!$D$15+Phu_tai!$D$17,Params!$D$26,Params!$D$26-Params!$D$27*((I132-Phu_tai!$D$18-Phu_tai!$D$40)-Phu_tai!$D$15-Phu_tai!$D$17)))),0)</f>
        <v/>
      </c>
      <c r="K132">
        <f>MAX(0,K131+(J132+J131)/2*Phu_tai!$D$39)</f>
        <v/>
      </c>
      <c r="L132">
        <f>IF(AND(K132&lt;0.0001,J132=0,I132&gt;0),0,Phu_tai!$D$12+Phu_tai!$D$24*J132/Params!$D$26)</f>
        <v/>
      </c>
      <c r="M132">
        <f>IF(AND(K132&lt;0.0001,J132=0,I132&gt;0),0,Phu_tai!$D$13+Phu_tai!$D$25*J132/Params!$D$26)</f>
        <v/>
      </c>
    </row>
    <row r="133">
      <c r="I133">
        <f>131*Phu_tai!$D$39</f>
        <v/>
      </c>
      <c r="J133">
        <f>IF(I133&lt;Phu_tai!$D$15,Params!$D$27*I133,IF(I133&lt;Phu_tai!$D$15+Phu_tai!$D$17,Params!$D$26,IF(I133&lt;Phu_tai!$D$18,Params!$D$26-Params!$D$27*(I133-Phu_tai!$D$15-Phu_tai!$D$17),0)))+IF(AND((I133-Phu_tai!$D$18-Phu_tai!$D$40)&gt;=0,(I133-Phu_tai!$D$18-Phu_tai!$D$40)&lt;Phu_tai!$D$18),-(IF((I133-Phu_tai!$D$18-Phu_tai!$D$40)&lt;Phu_tai!$D$15,Params!$D$27*(I133-Phu_tai!$D$18-Phu_tai!$D$40),IF((I133-Phu_tai!$D$18-Phu_tai!$D$40)&lt;Phu_tai!$D$15+Phu_tai!$D$17,Params!$D$26,Params!$D$26-Params!$D$27*((I133-Phu_tai!$D$18-Phu_tai!$D$40)-Phu_tai!$D$15-Phu_tai!$D$17)))),0)</f>
        <v/>
      </c>
      <c r="K133">
        <f>MAX(0,K132+(J133+J132)/2*Phu_tai!$D$39)</f>
        <v/>
      </c>
      <c r="L133">
        <f>IF(AND(K133&lt;0.0001,J133=0,I133&gt;0),0,Phu_tai!$D$12+Phu_tai!$D$24*J133/Params!$D$26)</f>
        <v/>
      </c>
      <c r="M133">
        <f>IF(AND(K133&lt;0.0001,J133=0,I133&gt;0),0,Phu_tai!$D$13+Phu_tai!$D$25*J133/Params!$D$26)</f>
        <v/>
      </c>
    </row>
    <row r="134">
      <c r="I134">
        <f>132*Phu_tai!$D$39</f>
        <v/>
      </c>
      <c r="J134">
        <f>IF(I134&lt;Phu_tai!$D$15,Params!$D$27*I134,IF(I134&lt;Phu_tai!$D$15+Phu_tai!$D$17,Params!$D$26,IF(I134&lt;Phu_tai!$D$18,Params!$D$26-Params!$D$27*(I134-Phu_tai!$D$15-Phu_tai!$D$17),0)))+IF(AND((I134-Phu_tai!$D$18-Phu_tai!$D$40)&gt;=0,(I134-Phu_tai!$D$18-Phu_tai!$D$40)&lt;Phu_tai!$D$18),-(IF((I134-Phu_tai!$D$18-Phu_tai!$D$40)&lt;Phu_tai!$D$15,Params!$D$27*(I134-Phu_tai!$D$18-Phu_tai!$D$40),IF((I134-Phu_tai!$D$18-Phu_tai!$D$40)&lt;Phu_tai!$D$15+Phu_tai!$D$17,Params!$D$26,Params!$D$26-Params!$D$27*((I134-Phu_tai!$D$18-Phu_tai!$D$40)-Phu_tai!$D$15-Phu_tai!$D$17)))),0)</f>
        <v/>
      </c>
      <c r="K134">
        <f>MAX(0,K133+(J134+J133)/2*Phu_tai!$D$39)</f>
        <v/>
      </c>
      <c r="L134">
        <f>IF(AND(K134&lt;0.0001,J134=0,I134&gt;0),0,Phu_tai!$D$12+Phu_tai!$D$24*J134/Params!$D$26)</f>
        <v/>
      </c>
      <c r="M134">
        <f>IF(AND(K134&lt;0.0001,J134=0,I134&gt;0),0,Phu_tai!$D$13+Phu_tai!$D$25*J134/Params!$D$26)</f>
        <v/>
      </c>
    </row>
    <row r="135">
      <c r="I135">
        <f>133*Phu_tai!$D$39</f>
        <v/>
      </c>
      <c r="J135">
        <f>IF(I135&lt;Phu_tai!$D$15,Params!$D$27*I135,IF(I135&lt;Phu_tai!$D$15+Phu_tai!$D$17,Params!$D$26,IF(I135&lt;Phu_tai!$D$18,Params!$D$26-Params!$D$27*(I135-Phu_tai!$D$15-Phu_tai!$D$17),0)))+IF(AND((I135-Phu_tai!$D$18-Phu_tai!$D$40)&gt;=0,(I135-Phu_tai!$D$18-Phu_tai!$D$40)&lt;Phu_tai!$D$18),-(IF((I135-Phu_tai!$D$18-Phu_tai!$D$40)&lt;Phu_tai!$D$15,Params!$D$27*(I135-Phu_tai!$D$18-Phu_tai!$D$40),IF((I135-Phu_tai!$D$18-Phu_tai!$D$40)&lt;Phu_tai!$D$15+Phu_tai!$D$17,Params!$D$26,Params!$D$26-Params!$D$27*((I135-Phu_tai!$D$18-Phu_tai!$D$40)-Phu_tai!$D$15-Phu_tai!$D$17)))),0)</f>
        <v/>
      </c>
      <c r="K135">
        <f>MAX(0,K134+(J135+J134)/2*Phu_tai!$D$39)</f>
        <v/>
      </c>
      <c r="L135">
        <f>IF(AND(K135&lt;0.0001,J135=0,I135&gt;0),0,Phu_tai!$D$12+Phu_tai!$D$24*J135/Params!$D$26)</f>
        <v/>
      </c>
      <c r="M135">
        <f>IF(AND(K135&lt;0.0001,J135=0,I135&gt;0),0,Phu_tai!$D$13+Phu_tai!$D$25*J135/Params!$D$26)</f>
        <v/>
      </c>
    </row>
    <row r="136">
      <c r="I136">
        <f>134*Phu_tai!$D$39</f>
        <v/>
      </c>
      <c r="J136">
        <f>IF(I136&lt;Phu_tai!$D$15,Params!$D$27*I136,IF(I136&lt;Phu_tai!$D$15+Phu_tai!$D$17,Params!$D$26,IF(I136&lt;Phu_tai!$D$18,Params!$D$26-Params!$D$27*(I136-Phu_tai!$D$15-Phu_tai!$D$17),0)))+IF(AND((I136-Phu_tai!$D$18-Phu_tai!$D$40)&gt;=0,(I136-Phu_tai!$D$18-Phu_tai!$D$40)&lt;Phu_tai!$D$18),-(IF((I136-Phu_tai!$D$18-Phu_tai!$D$40)&lt;Phu_tai!$D$15,Params!$D$27*(I136-Phu_tai!$D$18-Phu_tai!$D$40),IF((I136-Phu_tai!$D$18-Phu_tai!$D$40)&lt;Phu_tai!$D$15+Phu_tai!$D$17,Params!$D$26,Params!$D$26-Params!$D$27*((I136-Phu_tai!$D$18-Phu_tai!$D$40)-Phu_tai!$D$15-Phu_tai!$D$17)))),0)</f>
        <v/>
      </c>
      <c r="K136">
        <f>MAX(0,K135+(J136+J135)/2*Phu_tai!$D$39)</f>
        <v/>
      </c>
      <c r="L136">
        <f>IF(AND(K136&lt;0.0001,J136=0,I136&gt;0),0,Phu_tai!$D$12+Phu_tai!$D$24*J136/Params!$D$26)</f>
        <v/>
      </c>
      <c r="M136">
        <f>IF(AND(K136&lt;0.0001,J136=0,I136&gt;0),0,Phu_tai!$D$13+Phu_tai!$D$25*J136/Params!$D$26)</f>
        <v/>
      </c>
    </row>
    <row r="137">
      <c r="I137">
        <f>135*Phu_tai!$D$39</f>
        <v/>
      </c>
      <c r="J137">
        <f>IF(I137&lt;Phu_tai!$D$15,Params!$D$27*I137,IF(I137&lt;Phu_tai!$D$15+Phu_tai!$D$17,Params!$D$26,IF(I137&lt;Phu_tai!$D$18,Params!$D$26-Params!$D$27*(I137-Phu_tai!$D$15-Phu_tai!$D$17),0)))+IF(AND((I137-Phu_tai!$D$18-Phu_tai!$D$40)&gt;=0,(I137-Phu_tai!$D$18-Phu_tai!$D$40)&lt;Phu_tai!$D$18),-(IF((I137-Phu_tai!$D$18-Phu_tai!$D$40)&lt;Phu_tai!$D$15,Params!$D$27*(I137-Phu_tai!$D$18-Phu_tai!$D$40),IF((I137-Phu_tai!$D$18-Phu_tai!$D$40)&lt;Phu_tai!$D$15+Phu_tai!$D$17,Params!$D$26,Params!$D$26-Params!$D$27*((I137-Phu_tai!$D$18-Phu_tai!$D$40)-Phu_tai!$D$15-Phu_tai!$D$17)))),0)</f>
        <v/>
      </c>
      <c r="K137">
        <f>MAX(0,K136+(J137+J136)/2*Phu_tai!$D$39)</f>
        <v/>
      </c>
      <c r="L137">
        <f>IF(AND(K137&lt;0.0001,J137=0,I137&gt;0),0,Phu_tai!$D$12+Phu_tai!$D$24*J137/Params!$D$26)</f>
        <v/>
      </c>
      <c r="M137">
        <f>IF(AND(K137&lt;0.0001,J137=0,I137&gt;0),0,Phu_tai!$D$13+Phu_tai!$D$25*J137/Params!$D$26)</f>
        <v/>
      </c>
    </row>
    <row r="138">
      <c r="I138">
        <f>136*Phu_tai!$D$39</f>
        <v/>
      </c>
      <c r="J138">
        <f>IF(I138&lt;Phu_tai!$D$15,Params!$D$27*I138,IF(I138&lt;Phu_tai!$D$15+Phu_tai!$D$17,Params!$D$26,IF(I138&lt;Phu_tai!$D$18,Params!$D$26-Params!$D$27*(I138-Phu_tai!$D$15-Phu_tai!$D$17),0)))+IF(AND((I138-Phu_tai!$D$18-Phu_tai!$D$40)&gt;=0,(I138-Phu_tai!$D$18-Phu_tai!$D$40)&lt;Phu_tai!$D$18),-(IF((I138-Phu_tai!$D$18-Phu_tai!$D$40)&lt;Phu_tai!$D$15,Params!$D$27*(I138-Phu_tai!$D$18-Phu_tai!$D$40),IF((I138-Phu_tai!$D$18-Phu_tai!$D$40)&lt;Phu_tai!$D$15+Phu_tai!$D$17,Params!$D$26,Params!$D$26-Params!$D$27*((I138-Phu_tai!$D$18-Phu_tai!$D$40)-Phu_tai!$D$15-Phu_tai!$D$17)))),0)</f>
        <v/>
      </c>
      <c r="K138">
        <f>MAX(0,K137+(J138+J137)/2*Phu_tai!$D$39)</f>
        <v/>
      </c>
      <c r="L138">
        <f>IF(AND(K138&lt;0.0001,J138=0,I138&gt;0),0,Phu_tai!$D$12+Phu_tai!$D$24*J138/Params!$D$26)</f>
        <v/>
      </c>
      <c r="M138">
        <f>IF(AND(K138&lt;0.0001,J138=0,I138&gt;0),0,Phu_tai!$D$13+Phu_tai!$D$25*J138/Params!$D$26)</f>
        <v/>
      </c>
    </row>
    <row r="139">
      <c r="I139">
        <f>137*Phu_tai!$D$39</f>
        <v/>
      </c>
      <c r="J139">
        <f>IF(I139&lt;Phu_tai!$D$15,Params!$D$27*I139,IF(I139&lt;Phu_tai!$D$15+Phu_tai!$D$17,Params!$D$26,IF(I139&lt;Phu_tai!$D$18,Params!$D$26-Params!$D$27*(I139-Phu_tai!$D$15-Phu_tai!$D$17),0)))+IF(AND((I139-Phu_tai!$D$18-Phu_tai!$D$40)&gt;=0,(I139-Phu_tai!$D$18-Phu_tai!$D$40)&lt;Phu_tai!$D$18),-(IF((I139-Phu_tai!$D$18-Phu_tai!$D$40)&lt;Phu_tai!$D$15,Params!$D$27*(I139-Phu_tai!$D$18-Phu_tai!$D$40),IF((I139-Phu_tai!$D$18-Phu_tai!$D$40)&lt;Phu_tai!$D$15+Phu_tai!$D$17,Params!$D$26,Params!$D$26-Params!$D$27*((I139-Phu_tai!$D$18-Phu_tai!$D$40)-Phu_tai!$D$15-Phu_tai!$D$17)))),0)</f>
        <v/>
      </c>
      <c r="K139">
        <f>MAX(0,K138+(J139+J138)/2*Phu_tai!$D$39)</f>
        <v/>
      </c>
      <c r="L139">
        <f>IF(AND(K139&lt;0.0001,J139=0,I139&gt;0),0,Phu_tai!$D$12+Phu_tai!$D$24*J139/Params!$D$26)</f>
        <v/>
      </c>
      <c r="M139">
        <f>IF(AND(K139&lt;0.0001,J139=0,I139&gt;0),0,Phu_tai!$D$13+Phu_tai!$D$25*J139/Params!$D$26)</f>
        <v/>
      </c>
    </row>
    <row r="140">
      <c r="I140">
        <f>138*Phu_tai!$D$39</f>
        <v/>
      </c>
      <c r="J140">
        <f>IF(I140&lt;Phu_tai!$D$15,Params!$D$27*I140,IF(I140&lt;Phu_tai!$D$15+Phu_tai!$D$17,Params!$D$26,IF(I140&lt;Phu_tai!$D$18,Params!$D$26-Params!$D$27*(I140-Phu_tai!$D$15-Phu_tai!$D$17),0)))+IF(AND((I140-Phu_tai!$D$18-Phu_tai!$D$40)&gt;=0,(I140-Phu_tai!$D$18-Phu_tai!$D$40)&lt;Phu_tai!$D$18),-(IF((I140-Phu_tai!$D$18-Phu_tai!$D$40)&lt;Phu_tai!$D$15,Params!$D$27*(I140-Phu_tai!$D$18-Phu_tai!$D$40),IF((I140-Phu_tai!$D$18-Phu_tai!$D$40)&lt;Phu_tai!$D$15+Phu_tai!$D$17,Params!$D$26,Params!$D$26-Params!$D$27*((I140-Phu_tai!$D$18-Phu_tai!$D$40)-Phu_tai!$D$15-Phu_tai!$D$17)))),0)</f>
        <v/>
      </c>
      <c r="K140">
        <f>MAX(0,K139+(J140+J139)/2*Phu_tai!$D$39)</f>
        <v/>
      </c>
      <c r="L140">
        <f>IF(AND(K140&lt;0.0001,J140=0,I140&gt;0),0,Phu_tai!$D$12+Phu_tai!$D$24*J140/Params!$D$26)</f>
        <v/>
      </c>
      <c r="M140">
        <f>IF(AND(K140&lt;0.0001,J140=0,I140&gt;0),0,Phu_tai!$D$13+Phu_tai!$D$25*J140/Params!$D$26)</f>
        <v/>
      </c>
    </row>
    <row r="141">
      <c r="I141">
        <f>139*Phu_tai!$D$39</f>
        <v/>
      </c>
      <c r="J141">
        <f>IF(I141&lt;Phu_tai!$D$15,Params!$D$27*I141,IF(I141&lt;Phu_tai!$D$15+Phu_tai!$D$17,Params!$D$26,IF(I141&lt;Phu_tai!$D$18,Params!$D$26-Params!$D$27*(I141-Phu_tai!$D$15-Phu_tai!$D$17),0)))+IF(AND((I141-Phu_tai!$D$18-Phu_tai!$D$40)&gt;=0,(I141-Phu_tai!$D$18-Phu_tai!$D$40)&lt;Phu_tai!$D$18),-(IF((I141-Phu_tai!$D$18-Phu_tai!$D$40)&lt;Phu_tai!$D$15,Params!$D$27*(I141-Phu_tai!$D$18-Phu_tai!$D$40),IF((I141-Phu_tai!$D$18-Phu_tai!$D$40)&lt;Phu_tai!$D$15+Phu_tai!$D$17,Params!$D$26,Params!$D$26-Params!$D$27*((I141-Phu_tai!$D$18-Phu_tai!$D$40)-Phu_tai!$D$15-Phu_tai!$D$17)))),0)</f>
        <v/>
      </c>
      <c r="K141">
        <f>MAX(0,K140+(J141+J140)/2*Phu_tai!$D$39)</f>
        <v/>
      </c>
      <c r="L141">
        <f>IF(AND(K141&lt;0.0001,J141=0,I141&gt;0),0,Phu_tai!$D$12+Phu_tai!$D$24*J141/Params!$D$26)</f>
        <v/>
      </c>
      <c r="M141">
        <f>IF(AND(K141&lt;0.0001,J141=0,I141&gt;0),0,Phu_tai!$D$13+Phu_tai!$D$25*J141/Params!$D$26)</f>
        <v/>
      </c>
    </row>
    <row r="142">
      <c r="I142">
        <f>140*Phu_tai!$D$39</f>
        <v/>
      </c>
      <c r="J142">
        <f>IF(I142&lt;Phu_tai!$D$15,Params!$D$27*I142,IF(I142&lt;Phu_tai!$D$15+Phu_tai!$D$17,Params!$D$26,IF(I142&lt;Phu_tai!$D$18,Params!$D$26-Params!$D$27*(I142-Phu_tai!$D$15-Phu_tai!$D$17),0)))+IF(AND((I142-Phu_tai!$D$18-Phu_tai!$D$40)&gt;=0,(I142-Phu_tai!$D$18-Phu_tai!$D$40)&lt;Phu_tai!$D$18),-(IF((I142-Phu_tai!$D$18-Phu_tai!$D$40)&lt;Phu_tai!$D$15,Params!$D$27*(I142-Phu_tai!$D$18-Phu_tai!$D$40),IF((I142-Phu_tai!$D$18-Phu_tai!$D$40)&lt;Phu_tai!$D$15+Phu_tai!$D$17,Params!$D$26,Params!$D$26-Params!$D$27*((I142-Phu_tai!$D$18-Phu_tai!$D$40)-Phu_tai!$D$15-Phu_tai!$D$17)))),0)</f>
        <v/>
      </c>
      <c r="K142">
        <f>MAX(0,K141+(J142+J141)/2*Phu_tai!$D$39)</f>
        <v/>
      </c>
      <c r="L142">
        <f>IF(AND(K142&lt;0.0001,J142=0,I142&gt;0),0,Phu_tai!$D$12+Phu_tai!$D$24*J142/Params!$D$26)</f>
        <v/>
      </c>
      <c r="M142">
        <f>IF(AND(K142&lt;0.0001,J142=0,I142&gt;0),0,Phu_tai!$D$13+Phu_tai!$D$25*J142/Params!$D$26)</f>
        <v/>
      </c>
    </row>
    <row r="143">
      <c r="I143">
        <f>141*Phu_tai!$D$39</f>
        <v/>
      </c>
      <c r="J143">
        <f>IF(I143&lt;Phu_tai!$D$15,Params!$D$27*I143,IF(I143&lt;Phu_tai!$D$15+Phu_tai!$D$17,Params!$D$26,IF(I143&lt;Phu_tai!$D$18,Params!$D$26-Params!$D$27*(I143-Phu_tai!$D$15-Phu_tai!$D$17),0)))+IF(AND((I143-Phu_tai!$D$18-Phu_tai!$D$40)&gt;=0,(I143-Phu_tai!$D$18-Phu_tai!$D$40)&lt;Phu_tai!$D$18),-(IF((I143-Phu_tai!$D$18-Phu_tai!$D$40)&lt;Phu_tai!$D$15,Params!$D$27*(I143-Phu_tai!$D$18-Phu_tai!$D$40),IF((I143-Phu_tai!$D$18-Phu_tai!$D$40)&lt;Phu_tai!$D$15+Phu_tai!$D$17,Params!$D$26,Params!$D$26-Params!$D$27*((I143-Phu_tai!$D$18-Phu_tai!$D$40)-Phu_tai!$D$15-Phu_tai!$D$17)))),0)</f>
        <v/>
      </c>
      <c r="K143">
        <f>MAX(0,K142+(J143+J142)/2*Phu_tai!$D$39)</f>
        <v/>
      </c>
      <c r="L143">
        <f>IF(AND(K143&lt;0.0001,J143=0,I143&gt;0),0,Phu_tai!$D$12+Phu_tai!$D$24*J143/Params!$D$26)</f>
        <v/>
      </c>
      <c r="M143">
        <f>IF(AND(K143&lt;0.0001,J143=0,I143&gt;0),0,Phu_tai!$D$13+Phu_tai!$D$25*J143/Params!$D$26)</f>
        <v/>
      </c>
    </row>
    <row r="144">
      <c r="I144">
        <f>142*Phu_tai!$D$39</f>
        <v/>
      </c>
      <c r="J144">
        <f>IF(I144&lt;Phu_tai!$D$15,Params!$D$27*I144,IF(I144&lt;Phu_tai!$D$15+Phu_tai!$D$17,Params!$D$26,IF(I144&lt;Phu_tai!$D$18,Params!$D$26-Params!$D$27*(I144-Phu_tai!$D$15-Phu_tai!$D$17),0)))+IF(AND((I144-Phu_tai!$D$18-Phu_tai!$D$40)&gt;=0,(I144-Phu_tai!$D$18-Phu_tai!$D$40)&lt;Phu_tai!$D$18),-(IF((I144-Phu_tai!$D$18-Phu_tai!$D$40)&lt;Phu_tai!$D$15,Params!$D$27*(I144-Phu_tai!$D$18-Phu_tai!$D$40),IF((I144-Phu_tai!$D$18-Phu_tai!$D$40)&lt;Phu_tai!$D$15+Phu_tai!$D$17,Params!$D$26,Params!$D$26-Params!$D$27*((I144-Phu_tai!$D$18-Phu_tai!$D$40)-Phu_tai!$D$15-Phu_tai!$D$17)))),0)</f>
        <v/>
      </c>
      <c r="K144">
        <f>MAX(0,K143+(J144+J143)/2*Phu_tai!$D$39)</f>
        <v/>
      </c>
      <c r="L144">
        <f>IF(AND(K144&lt;0.0001,J144=0,I144&gt;0),0,Phu_tai!$D$12+Phu_tai!$D$24*J144/Params!$D$26)</f>
        <v/>
      </c>
      <c r="M144">
        <f>IF(AND(K144&lt;0.0001,J144=0,I144&gt;0),0,Phu_tai!$D$13+Phu_tai!$D$25*J144/Params!$D$26)</f>
        <v/>
      </c>
    </row>
    <row r="145">
      <c r="I145">
        <f>143*Phu_tai!$D$39</f>
        <v/>
      </c>
      <c r="J145">
        <f>IF(I145&lt;Phu_tai!$D$15,Params!$D$27*I145,IF(I145&lt;Phu_tai!$D$15+Phu_tai!$D$17,Params!$D$26,IF(I145&lt;Phu_tai!$D$18,Params!$D$26-Params!$D$27*(I145-Phu_tai!$D$15-Phu_tai!$D$17),0)))+IF(AND((I145-Phu_tai!$D$18-Phu_tai!$D$40)&gt;=0,(I145-Phu_tai!$D$18-Phu_tai!$D$40)&lt;Phu_tai!$D$18),-(IF((I145-Phu_tai!$D$18-Phu_tai!$D$40)&lt;Phu_tai!$D$15,Params!$D$27*(I145-Phu_tai!$D$18-Phu_tai!$D$40),IF((I145-Phu_tai!$D$18-Phu_tai!$D$40)&lt;Phu_tai!$D$15+Phu_tai!$D$17,Params!$D$26,Params!$D$26-Params!$D$27*((I145-Phu_tai!$D$18-Phu_tai!$D$40)-Phu_tai!$D$15-Phu_tai!$D$17)))),0)</f>
        <v/>
      </c>
      <c r="K145">
        <f>MAX(0,K144+(J145+J144)/2*Phu_tai!$D$39)</f>
        <v/>
      </c>
      <c r="L145">
        <f>IF(AND(K145&lt;0.0001,J145=0,I145&gt;0),0,Phu_tai!$D$12+Phu_tai!$D$24*J145/Params!$D$26)</f>
        <v/>
      </c>
      <c r="M145">
        <f>IF(AND(K145&lt;0.0001,J145=0,I145&gt;0),0,Phu_tai!$D$13+Phu_tai!$D$25*J145/Params!$D$26)</f>
        <v/>
      </c>
    </row>
    <row r="146">
      <c r="I146">
        <f>144*Phu_tai!$D$39</f>
        <v/>
      </c>
      <c r="J146">
        <f>IF(I146&lt;Phu_tai!$D$15,Params!$D$27*I146,IF(I146&lt;Phu_tai!$D$15+Phu_tai!$D$17,Params!$D$26,IF(I146&lt;Phu_tai!$D$18,Params!$D$26-Params!$D$27*(I146-Phu_tai!$D$15-Phu_tai!$D$17),0)))+IF(AND((I146-Phu_tai!$D$18-Phu_tai!$D$40)&gt;=0,(I146-Phu_tai!$D$18-Phu_tai!$D$40)&lt;Phu_tai!$D$18),-(IF((I146-Phu_tai!$D$18-Phu_tai!$D$40)&lt;Phu_tai!$D$15,Params!$D$27*(I146-Phu_tai!$D$18-Phu_tai!$D$40),IF((I146-Phu_tai!$D$18-Phu_tai!$D$40)&lt;Phu_tai!$D$15+Phu_tai!$D$17,Params!$D$26,Params!$D$26-Params!$D$27*((I146-Phu_tai!$D$18-Phu_tai!$D$40)-Phu_tai!$D$15-Phu_tai!$D$17)))),0)</f>
        <v/>
      </c>
      <c r="K146">
        <f>MAX(0,K145+(J146+J145)/2*Phu_tai!$D$39)</f>
        <v/>
      </c>
      <c r="L146">
        <f>IF(AND(K146&lt;0.0001,J146=0,I146&gt;0),0,Phu_tai!$D$12+Phu_tai!$D$24*J146/Params!$D$26)</f>
        <v/>
      </c>
      <c r="M146">
        <f>IF(AND(K146&lt;0.0001,J146=0,I146&gt;0),0,Phu_tai!$D$13+Phu_tai!$D$25*J146/Params!$D$26)</f>
        <v/>
      </c>
    </row>
    <row r="147">
      <c r="I147">
        <f>145*Phu_tai!$D$39</f>
        <v/>
      </c>
      <c r="J147">
        <f>IF(I147&lt;Phu_tai!$D$15,Params!$D$27*I147,IF(I147&lt;Phu_tai!$D$15+Phu_tai!$D$17,Params!$D$26,IF(I147&lt;Phu_tai!$D$18,Params!$D$26-Params!$D$27*(I147-Phu_tai!$D$15-Phu_tai!$D$17),0)))+IF(AND((I147-Phu_tai!$D$18-Phu_tai!$D$40)&gt;=0,(I147-Phu_tai!$D$18-Phu_tai!$D$40)&lt;Phu_tai!$D$18),-(IF((I147-Phu_tai!$D$18-Phu_tai!$D$40)&lt;Phu_tai!$D$15,Params!$D$27*(I147-Phu_tai!$D$18-Phu_tai!$D$40),IF((I147-Phu_tai!$D$18-Phu_tai!$D$40)&lt;Phu_tai!$D$15+Phu_tai!$D$17,Params!$D$26,Params!$D$26-Params!$D$27*((I147-Phu_tai!$D$18-Phu_tai!$D$40)-Phu_tai!$D$15-Phu_tai!$D$17)))),0)</f>
        <v/>
      </c>
      <c r="K147">
        <f>MAX(0,K146+(J147+J146)/2*Phu_tai!$D$39)</f>
        <v/>
      </c>
      <c r="L147">
        <f>IF(AND(K147&lt;0.0001,J147=0,I147&gt;0),0,Phu_tai!$D$12+Phu_tai!$D$24*J147/Params!$D$26)</f>
        <v/>
      </c>
      <c r="M147">
        <f>IF(AND(K147&lt;0.0001,J147=0,I147&gt;0),0,Phu_tai!$D$13+Phu_tai!$D$25*J147/Params!$D$26)</f>
        <v/>
      </c>
    </row>
    <row r="148">
      <c r="I148">
        <f>146*Phu_tai!$D$39</f>
        <v/>
      </c>
      <c r="J148">
        <f>IF(I148&lt;Phu_tai!$D$15,Params!$D$27*I148,IF(I148&lt;Phu_tai!$D$15+Phu_tai!$D$17,Params!$D$26,IF(I148&lt;Phu_tai!$D$18,Params!$D$26-Params!$D$27*(I148-Phu_tai!$D$15-Phu_tai!$D$17),0)))+IF(AND((I148-Phu_tai!$D$18-Phu_tai!$D$40)&gt;=0,(I148-Phu_tai!$D$18-Phu_tai!$D$40)&lt;Phu_tai!$D$18),-(IF((I148-Phu_tai!$D$18-Phu_tai!$D$40)&lt;Phu_tai!$D$15,Params!$D$27*(I148-Phu_tai!$D$18-Phu_tai!$D$40),IF((I148-Phu_tai!$D$18-Phu_tai!$D$40)&lt;Phu_tai!$D$15+Phu_tai!$D$17,Params!$D$26,Params!$D$26-Params!$D$27*((I148-Phu_tai!$D$18-Phu_tai!$D$40)-Phu_tai!$D$15-Phu_tai!$D$17)))),0)</f>
        <v/>
      </c>
      <c r="K148">
        <f>MAX(0,K147+(J148+J147)/2*Phu_tai!$D$39)</f>
        <v/>
      </c>
      <c r="L148">
        <f>IF(AND(K148&lt;0.0001,J148=0,I148&gt;0),0,Phu_tai!$D$12+Phu_tai!$D$24*J148/Params!$D$26)</f>
        <v/>
      </c>
      <c r="M148">
        <f>IF(AND(K148&lt;0.0001,J148=0,I148&gt;0),0,Phu_tai!$D$13+Phu_tai!$D$25*J148/Params!$D$26)</f>
        <v/>
      </c>
    </row>
    <row r="149">
      <c r="I149">
        <f>147*Phu_tai!$D$39</f>
        <v/>
      </c>
      <c r="J149">
        <f>IF(I149&lt;Phu_tai!$D$15,Params!$D$27*I149,IF(I149&lt;Phu_tai!$D$15+Phu_tai!$D$17,Params!$D$26,IF(I149&lt;Phu_tai!$D$18,Params!$D$26-Params!$D$27*(I149-Phu_tai!$D$15-Phu_tai!$D$17),0)))+IF(AND((I149-Phu_tai!$D$18-Phu_tai!$D$40)&gt;=0,(I149-Phu_tai!$D$18-Phu_tai!$D$40)&lt;Phu_tai!$D$18),-(IF((I149-Phu_tai!$D$18-Phu_tai!$D$40)&lt;Phu_tai!$D$15,Params!$D$27*(I149-Phu_tai!$D$18-Phu_tai!$D$40),IF((I149-Phu_tai!$D$18-Phu_tai!$D$40)&lt;Phu_tai!$D$15+Phu_tai!$D$17,Params!$D$26,Params!$D$26-Params!$D$27*((I149-Phu_tai!$D$18-Phu_tai!$D$40)-Phu_tai!$D$15-Phu_tai!$D$17)))),0)</f>
        <v/>
      </c>
      <c r="K149">
        <f>MAX(0,K148+(J149+J148)/2*Phu_tai!$D$39)</f>
        <v/>
      </c>
      <c r="L149">
        <f>IF(AND(K149&lt;0.0001,J149=0,I149&gt;0),0,Phu_tai!$D$12+Phu_tai!$D$24*J149/Params!$D$26)</f>
        <v/>
      </c>
      <c r="M149">
        <f>IF(AND(K149&lt;0.0001,J149=0,I149&gt;0),0,Phu_tai!$D$13+Phu_tai!$D$25*J149/Params!$D$26)</f>
        <v/>
      </c>
    </row>
    <row r="150">
      <c r="I150">
        <f>148*Phu_tai!$D$39</f>
        <v/>
      </c>
      <c r="J150">
        <f>IF(I150&lt;Phu_tai!$D$15,Params!$D$27*I150,IF(I150&lt;Phu_tai!$D$15+Phu_tai!$D$17,Params!$D$26,IF(I150&lt;Phu_tai!$D$18,Params!$D$26-Params!$D$27*(I150-Phu_tai!$D$15-Phu_tai!$D$17),0)))+IF(AND((I150-Phu_tai!$D$18-Phu_tai!$D$40)&gt;=0,(I150-Phu_tai!$D$18-Phu_tai!$D$40)&lt;Phu_tai!$D$18),-(IF((I150-Phu_tai!$D$18-Phu_tai!$D$40)&lt;Phu_tai!$D$15,Params!$D$27*(I150-Phu_tai!$D$18-Phu_tai!$D$40),IF((I150-Phu_tai!$D$18-Phu_tai!$D$40)&lt;Phu_tai!$D$15+Phu_tai!$D$17,Params!$D$26,Params!$D$26-Params!$D$27*((I150-Phu_tai!$D$18-Phu_tai!$D$40)-Phu_tai!$D$15-Phu_tai!$D$17)))),0)</f>
        <v/>
      </c>
      <c r="K150">
        <f>MAX(0,K149+(J150+J149)/2*Phu_tai!$D$39)</f>
        <v/>
      </c>
      <c r="L150">
        <f>IF(AND(K150&lt;0.0001,J150=0,I150&gt;0),0,Phu_tai!$D$12+Phu_tai!$D$24*J150/Params!$D$26)</f>
        <v/>
      </c>
      <c r="M150">
        <f>IF(AND(K150&lt;0.0001,J150=0,I150&gt;0),0,Phu_tai!$D$13+Phu_tai!$D$25*J150/Params!$D$26)</f>
        <v/>
      </c>
    </row>
    <row r="151">
      <c r="I151">
        <f>149*Phu_tai!$D$39</f>
        <v/>
      </c>
      <c r="J151">
        <f>IF(I151&lt;Phu_tai!$D$15,Params!$D$27*I151,IF(I151&lt;Phu_tai!$D$15+Phu_tai!$D$17,Params!$D$26,IF(I151&lt;Phu_tai!$D$18,Params!$D$26-Params!$D$27*(I151-Phu_tai!$D$15-Phu_tai!$D$17),0)))+IF(AND((I151-Phu_tai!$D$18-Phu_tai!$D$40)&gt;=0,(I151-Phu_tai!$D$18-Phu_tai!$D$40)&lt;Phu_tai!$D$18),-(IF((I151-Phu_tai!$D$18-Phu_tai!$D$40)&lt;Phu_tai!$D$15,Params!$D$27*(I151-Phu_tai!$D$18-Phu_tai!$D$40),IF((I151-Phu_tai!$D$18-Phu_tai!$D$40)&lt;Phu_tai!$D$15+Phu_tai!$D$17,Params!$D$26,Params!$D$26-Params!$D$27*((I151-Phu_tai!$D$18-Phu_tai!$D$40)-Phu_tai!$D$15-Phu_tai!$D$17)))),0)</f>
        <v/>
      </c>
      <c r="K151">
        <f>MAX(0,K150+(J151+J150)/2*Phu_tai!$D$39)</f>
        <v/>
      </c>
      <c r="L151">
        <f>IF(AND(K151&lt;0.0001,J151=0,I151&gt;0),0,Phu_tai!$D$12+Phu_tai!$D$24*J151/Params!$D$26)</f>
        <v/>
      </c>
      <c r="M151">
        <f>IF(AND(K151&lt;0.0001,J151=0,I151&gt;0),0,Phu_tai!$D$13+Phu_tai!$D$25*J151/Params!$D$26)</f>
        <v/>
      </c>
    </row>
    <row r="152">
      <c r="I152">
        <f>150*Phu_tai!$D$39</f>
        <v/>
      </c>
      <c r="J152">
        <f>IF(I152&lt;Phu_tai!$D$15,Params!$D$27*I152,IF(I152&lt;Phu_tai!$D$15+Phu_tai!$D$17,Params!$D$26,IF(I152&lt;Phu_tai!$D$18,Params!$D$26-Params!$D$27*(I152-Phu_tai!$D$15-Phu_tai!$D$17),0)))+IF(AND((I152-Phu_tai!$D$18-Phu_tai!$D$40)&gt;=0,(I152-Phu_tai!$D$18-Phu_tai!$D$40)&lt;Phu_tai!$D$18),-(IF((I152-Phu_tai!$D$18-Phu_tai!$D$40)&lt;Phu_tai!$D$15,Params!$D$27*(I152-Phu_tai!$D$18-Phu_tai!$D$40),IF((I152-Phu_tai!$D$18-Phu_tai!$D$40)&lt;Phu_tai!$D$15+Phu_tai!$D$17,Params!$D$26,Params!$D$26-Params!$D$27*((I152-Phu_tai!$D$18-Phu_tai!$D$40)-Phu_tai!$D$15-Phu_tai!$D$17)))),0)</f>
        <v/>
      </c>
      <c r="K152">
        <f>MAX(0,K151+(J152+J151)/2*Phu_tai!$D$39)</f>
        <v/>
      </c>
      <c r="L152">
        <f>IF(AND(K152&lt;0.0001,J152=0,I152&gt;0),0,Phu_tai!$D$12+Phu_tai!$D$24*J152/Params!$D$26)</f>
        <v/>
      </c>
      <c r="M152">
        <f>IF(AND(K152&lt;0.0001,J152=0,I152&gt;0),0,Phu_tai!$D$13+Phu_tai!$D$25*J152/Params!$D$26)</f>
        <v/>
      </c>
    </row>
    <row r="153">
      <c r="I153">
        <f>151*Phu_tai!$D$39</f>
        <v/>
      </c>
      <c r="J153">
        <f>IF(I153&lt;Phu_tai!$D$15,Params!$D$27*I153,IF(I153&lt;Phu_tai!$D$15+Phu_tai!$D$17,Params!$D$26,IF(I153&lt;Phu_tai!$D$18,Params!$D$26-Params!$D$27*(I153-Phu_tai!$D$15-Phu_tai!$D$17),0)))+IF(AND((I153-Phu_tai!$D$18-Phu_tai!$D$40)&gt;=0,(I153-Phu_tai!$D$18-Phu_tai!$D$40)&lt;Phu_tai!$D$18),-(IF((I153-Phu_tai!$D$18-Phu_tai!$D$40)&lt;Phu_tai!$D$15,Params!$D$27*(I153-Phu_tai!$D$18-Phu_tai!$D$40),IF((I153-Phu_tai!$D$18-Phu_tai!$D$40)&lt;Phu_tai!$D$15+Phu_tai!$D$17,Params!$D$26,Params!$D$26-Params!$D$27*((I153-Phu_tai!$D$18-Phu_tai!$D$40)-Phu_tai!$D$15-Phu_tai!$D$17)))),0)</f>
        <v/>
      </c>
      <c r="K153">
        <f>MAX(0,K152+(J153+J152)/2*Phu_tai!$D$39)</f>
        <v/>
      </c>
      <c r="L153">
        <f>IF(AND(K153&lt;0.0001,J153=0,I153&gt;0),0,Phu_tai!$D$12+Phu_tai!$D$24*J153/Params!$D$26)</f>
        <v/>
      </c>
      <c r="M153">
        <f>IF(AND(K153&lt;0.0001,J153=0,I153&gt;0),0,Phu_tai!$D$13+Phu_tai!$D$25*J153/Params!$D$26)</f>
        <v/>
      </c>
    </row>
    <row r="154">
      <c r="I154">
        <f>152*Phu_tai!$D$39</f>
        <v/>
      </c>
      <c r="J154">
        <f>IF(I154&lt;Phu_tai!$D$15,Params!$D$27*I154,IF(I154&lt;Phu_tai!$D$15+Phu_tai!$D$17,Params!$D$26,IF(I154&lt;Phu_tai!$D$18,Params!$D$26-Params!$D$27*(I154-Phu_tai!$D$15-Phu_tai!$D$17),0)))+IF(AND((I154-Phu_tai!$D$18-Phu_tai!$D$40)&gt;=0,(I154-Phu_tai!$D$18-Phu_tai!$D$40)&lt;Phu_tai!$D$18),-(IF((I154-Phu_tai!$D$18-Phu_tai!$D$40)&lt;Phu_tai!$D$15,Params!$D$27*(I154-Phu_tai!$D$18-Phu_tai!$D$40),IF((I154-Phu_tai!$D$18-Phu_tai!$D$40)&lt;Phu_tai!$D$15+Phu_tai!$D$17,Params!$D$26,Params!$D$26-Params!$D$27*((I154-Phu_tai!$D$18-Phu_tai!$D$40)-Phu_tai!$D$15-Phu_tai!$D$17)))),0)</f>
        <v/>
      </c>
      <c r="K154">
        <f>MAX(0,K153+(J154+J153)/2*Phu_tai!$D$39)</f>
        <v/>
      </c>
      <c r="L154">
        <f>IF(AND(K154&lt;0.0001,J154=0,I154&gt;0),0,Phu_tai!$D$12+Phu_tai!$D$24*J154/Params!$D$26)</f>
        <v/>
      </c>
      <c r="M154">
        <f>IF(AND(K154&lt;0.0001,J154=0,I154&gt;0),0,Phu_tai!$D$13+Phu_tai!$D$25*J154/Params!$D$26)</f>
        <v/>
      </c>
    </row>
    <row r="155">
      <c r="I155">
        <f>153*Phu_tai!$D$39</f>
        <v/>
      </c>
      <c r="J155">
        <f>IF(I155&lt;Phu_tai!$D$15,Params!$D$27*I155,IF(I155&lt;Phu_tai!$D$15+Phu_tai!$D$17,Params!$D$26,IF(I155&lt;Phu_tai!$D$18,Params!$D$26-Params!$D$27*(I155-Phu_tai!$D$15-Phu_tai!$D$17),0)))+IF(AND((I155-Phu_tai!$D$18-Phu_tai!$D$40)&gt;=0,(I155-Phu_tai!$D$18-Phu_tai!$D$40)&lt;Phu_tai!$D$18),-(IF((I155-Phu_tai!$D$18-Phu_tai!$D$40)&lt;Phu_tai!$D$15,Params!$D$27*(I155-Phu_tai!$D$18-Phu_tai!$D$40),IF((I155-Phu_tai!$D$18-Phu_tai!$D$40)&lt;Phu_tai!$D$15+Phu_tai!$D$17,Params!$D$26,Params!$D$26-Params!$D$27*((I155-Phu_tai!$D$18-Phu_tai!$D$40)-Phu_tai!$D$15-Phu_tai!$D$17)))),0)</f>
        <v/>
      </c>
      <c r="K155">
        <f>MAX(0,K154+(J155+J154)/2*Phu_tai!$D$39)</f>
        <v/>
      </c>
      <c r="L155">
        <f>IF(AND(K155&lt;0.0001,J155=0,I155&gt;0),0,Phu_tai!$D$12+Phu_tai!$D$24*J155/Params!$D$26)</f>
        <v/>
      </c>
      <c r="M155">
        <f>IF(AND(K155&lt;0.0001,J155=0,I155&gt;0),0,Phu_tai!$D$13+Phu_tai!$D$25*J155/Params!$D$26)</f>
        <v/>
      </c>
    </row>
    <row r="156">
      <c r="I156">
        <f>154*Phu_tai!$D$39</f>
        <v/>
      </c>
      <c r="J156">
        <f>IF(I156&lt;Phu_tai!$D$15,Params!$D$27*I156,IF(I156&lt;Phu_tai!$D$15+Phu_tai!$D$17,Params!$D$26,IF(I156&lt;Phu_tai!$D$18,Params!$D$26-Params!$D$27*(I156-Phu_tai!$D$15-Phu_tai!$D$17),0)))+IF(AND((I156-Phu_tai!$D$18-Phu_tai!$D$40)&gt;=0,(I156-Phu_tai!$D$18-Phu_tai!$D$40)&lt;Phu_tai!$D$18),-(IF((I156-Phu_tai!$D$18-Phu_tai!$D$40)&lt;Phu_tai!$D$15,Params!$D$27*(I156-Phu_tai!$D$18-Phu_tai!$D$40),IF((I156-Phu_tai!$D$18-Phu_tai!$D$40)&lt;Phu_tai!$D$15+Phu_tai!$D$17,Params!$D$26,Params!$D$26-Params!$D$27*((I156-Phu_tai!$D$18-Phu_tai!$D$40)-Phu_tai!$D$15-Phu_tai!$D$17)))),0)</f>
        <v/>
      </c>
      <c r="K156">
        <f>MAX(0,K155+(J156+J155)/2*Phu_tai!$D$39)</f>
        <v/>
      </c>
      <c r="L156">
        <f>IF(AND(K156&lt;0.0001,J156=0,I156&gt;0),0,Phu_tai!$D$12+Phu_tai!$D$24*J156/Params!$D$26)</f>
        <v/>
      </c>
      <c r="M156">
        <f>IF(AND(K156&lt;0.0001,J156=0,I156&gt;0),0,Phu_tai!$D$13+Phu_tai!$D$25*J156/Params!$D$26)</f>
        <v/>
      </c>
    </row>
    <row r="157">
      <c r="I157">
        <f>155*Phu_tai!$D$39</f>
        <v/>
      </c>
      <c r="J157">
        <f>IF(I157&lt;Phu_tai!$D$15,Params!$D$27*I157,IF(I157&lt;Phu_tai!$D$15+Phu_tai!$D$17,Params!$D$26,IF(I157&lt;Phu_tai!$D$18,Params!$D$26-Params!$D$27*(I157-Phu_tai!$D$15-Phu_tai!$D$17),0)))+IF(AND((I157-Phu_tai!$D$18-Phu_tai!$D$40)&gt;=0,(I157-Phu_tai!$D$18-Phu_tai!$D$40)&lt;Phu_tai!$D$18),-(IF((I157-Phu_tai!$D$18-Phu_tai!$D$40)&lt;Phu_tai!$D$15,Params!$D$27*(I157-Phu_tai!$D$18-Phu_tai!$D$40),IF((I157-Phu_tai!$D$18-Phu_tai!$D$40)&lt;Phu_tai!$D$15+Phu_tai!$D$17,Params!$D$26,Params!$D$26-Params!$D$27*((I157-Phu_tai!$D$18-Phu_tai!$D$40)-Phu_tai!$D$15-Phu_tai!$D$17)))),0)</f>
        <v/>
      </c>
      <c r="K157">
        <f>MAX(0,K156+(J157+J156)/2*Phu_tai!$D$39)</f>
        <v/>
      </c>
      <c r="L157">
        <f>IF(AND(K157&lt;0.0001,J157=0,I157&gt;0),0,Phu_tai!$D$12+Phu_tai!$D$24*J157/Params!$D$26)</f>
        <v/>
      </c>
      <c r="M157">
        <f>IF(AND(K157&lt;0.0001,J157=0,I157&gt;0),0,Phu_tai!$D$13+Phu_tai!$D$25*J157/Params!$D$26)</f>
        <v/>
      </c>
    </row>
    <row r="158">
      <c r="I158">
        <f>156*Phu_tai!$D$39</f>
        <v/>
      </c>
      <c r="J158">
        <f>IF(I158&lt;Phu_tai!$D$15,Params!$D$27*I158,IF(I158&lt;Phu_tai!$D$15+Phu_tai!$D$17,Params!$D$26,IF(I158&lt;Phu_tai!$D$18,Params!$D$26-Params!$D$27*(I158-Phu_tai!$D$15-Phu_tai!$D$17),0)))+IF(AND((I158-Phu_tai!$D$18-Phu_tai!$D$40)&gt;=0,(I158-Phu_tai!$D$18-Phu_tai!$D$40)&lt;Phu_tai!$D$18),-(IF((I158-Phu_tai!$D$18-Phu_tai!$D$40)&lt;Phu_tai!$D$15,Params!$D$27*(I158-Phu_tai!$D$18-Phu_tai!$D$40),IF((I158-Phu_tai!$D$18-Phu_tai!$D$40)&lt;Phu_tai!$D$15+Phu_tai!$D$17,Params!$D$26,Params!$D$26-Params!$D$27*((I158-Phu_tai!$D$18-Phu_tai!$D$40)-Phu_tai!$D$15-Phu_tai!$D$17)))),0)</f>
        <v/>
      </c>
      <c r="K158">
        <f>MAX(0,K157+(J158+J157)/2*Phu_tai!$D$39)</f>
        <v/>
      </c>
      <c r="L158">
        <f>IF(AND(K158&lt;0.0001,J158=0,I158&gt;0),0,Phu_tai!$D$12+Phu_tai!$D$24*J158/Params!$D$26)</f>
        <v/>
      </c>
      <c r="M158">
        <f>IF(AND(K158&lt;0.0001,J158=0,I158&gt;0),0,Phu_tai!$D$13+Phu_tai!$D$25*J158/Params!$D$26)</f>
        <v/>
      </c>
    </row>
    <row r="159">
      <c r="I159">
        <f>157*Phu_tai!$D$39</f>
        <v/>
      </c>
      <c r="J159">
        <f>IF(I159&lt;Phu_tai!$D$15,Params!$D$27*I159,IF(I159&lt;Phu_tai!$D$15+Phu_tai!$D$17,Params!$D$26,IF(I159&lt;Phu_tai!$D$18,Params!$D$26-Params!$D$27*(I159-Phu_tai!$D$15-Phu_tai!$D$17),0)))+IF(AND((I159-Phu_tai!$D$18-Phu_tai!$D$40)&gt;=0,(I159-Phu_tai!$D$18-Phu_tai!$D$40)&lt;Phu_tai!$D$18),-(IF((I159-Phu_tai!$D$18-Phu_tai!$D$40)&lt;Phu_tai!$D$15,Params!$D$27*(I159-Phu_tai!$D$18-Phu_tai!$D$40),IF((I159-Phu_tai!$D$18-Phu_tai!$D$40)&lt;Phu_tai!$D$15+Phu_tai!$D$17,Params!$D$26,Params!$D$26-Params!$D$27*((I159-Phu_tai!$D$18-Phu_tai!$D$40)-Phu_tai!$D$15-Phu_tai!$D$17)))),0)</f>
        <v/>
      </c>
      <c r="K159">
        <f>MAX(0,K158+(J159+J158)/2*Phu_tai!$D$39)</f>
        <v/>
      </c>
      <c r="L159">
        <f>IF(AND(K159&lt;0.0001,J159=0,I159&gt;0),0,Phu_tai!$D$12+Phu_tai!$D$24*J159/Params!$D$26)</f>
        <v/>
      </c>
      <c r="M159">
        <f>IF(AND(K159&lt;0.0001,J159=0,I159&gt;0),0,Phu_tai!$D$13+Phu_tai!$D$25*J159/Params!$D$26)</f>
        <v/>
      </c>
    </row>
    <row r="160">
      <c r="I160">
        <f>158*Phu_tai!$D$39</f>
        <v/>
      </c>
      <c r="J160">
        <f>IF(I160&lt;Phu_tai!$D$15,Params!$D$27*I160,IF(I160&lt;Phu_tai!$D$15+Phu_tai!$D$17,Params!$D$26,IF(I160&lt;Phu_tai!$D$18,Params!$D$26-Params!$D$27*(I160-Phu_tai!$D$15-Phu_tai!$D$17),0)))+IF(AND((I160-Phu_tai!$D$18-Phu_tai!$D$40)&gt;=0,(I160-Phu_tai!$D$18-Phu_tai!$D$40)&lt;Phu_tai!$D$18),-(IF((I160-Phu_tai!$D$18-Phu_tai!$D$40)&lt;Phu_tai!$D$15,Params!$D$27*(I160-Phu_tai!$D$18-Phu_tai!$D$40),IF((I160-Phu_tai!$D$18-Phu_tai!$D$40)&lt;Phu_tai!$D$15+Phu_tai!$D$17,Params!$D$26,Params!$D$26-Params!$D$27*((I160-Phu_tai!$D$18-Phu_tai!$D$40)-Phu_tai!$D$15-Phu_tai!$D$17)))),0)</f>
        <v/>
      </c>
      <c r="K160">
        <f>MAX(0,K159+(J160+J159)/2*Phu_tai!$D$39)</f>
        <v/>
      </c>
      <c r="L160">
        <f>IF(AND(K160&lt;0.0001,J160=0,I160&gt;0),0,Phu_tai!$D$12+Phu_tai!$D$24*J160/Params!$D$26)</f>
        <v/>
      </c>
      <c r="M160">
        <f>IF(AND(K160&lt;0.0001,J160=0,I160&gt;0),0,Phu_tai!$D$13+Phu_tai!$D$25*J160/Params!$D$26)</f>
        <v/>
      </c>
    </row>
    <row r="161">
      <c r="I161">
        <f>159*Phu_tai!$D$39</f>
        <v/>
      </c>
      <c r="J161">
        <f>IF(I161&lt;Phu_tai!$D$15,Params!$D$27*I161,IF(I161&lt;Phu_tai!$D$15+Phu_tai!$D$17,Params!$D$26,IF(I161&lt;Phu_tai!$D$18,Params!$D$26-Params!$D$27*(I161-Phu_tai!$D$15-Phu_tai!$D$17),0)))+IF(AND((I161-Phu_tai!$D$18-Phu_tai!$D$40)&gt;=0,(I161-Phu_tai!$D$18-Phu_tai!$D$40)&lt;Phu_tai!$D$18),-(IF((I161-Phu_tai!$D$18-Phu_tai!$D$40)&lt;Phu_tai!$D$15,Params!$D$27*(I161-Phu_tai!$D$18-Phu_tai!$D$40),IF((I161-Phu_tai!$D$18-Phu_tai!$D$40)&lt;Phu_tai!$D$15+Phu_tai!$D$17,Params!$D$26,Params!$D$26-Params!$D$27*((I161-Phu_tai!$D$18-Phu_tai!$D$40)-Phu_tai!$D$15-Phu_tai!$D$17)))),0)</f>
        <v/>
      </c>
      <c r="K161">
        <f>MAX(0,K160+(J161+J160)/2*Phu_tai!$D$39)</f>
        <v/>
      </c>
      <c r="L161">
        <f>IF(AND(K161&lt;0.0001,J161=0,I161&gt;0),0,Phu_tai!$D$12+Phu_tai!$D$24*J161/Params!$D$26)</f>
        <v/>
      </c>
      <c r="M161">
        <f>IF(AND(K161&lt;0.0001,J161=0,I161&gt;0),0,Phu_tai!$D$13+Phu_tai!$D$25*J161/Params!$D$26)</f>
        <v/>
      </c>
    </row>
    <row r="162">
      <c r="I162">
        <f>160*Phu_tai!$D$39</f>
        <v/>
      </c>
      <c r="J162">
        <f>IF(I162&lt;Phu_tai!$D$15,Params!$D$27*I162,IF(I162&lt;Phu_tai!$D$15+Phu_tai!$D$17,Params!$D$26,IF(I162&lt;Phu_tai!$D$18,Params!$D$26-Params!$D$27*(I162-Phu_tai!$D$15-Phu_tai!$D$17),0)))+IF(AND((I162-Phu_tai!$D$18-Phu_tai!$D$40)&gt;=0,(I162-Phu_tai!$D$18-Phu_tai!$D$40)&lt;Phu_tai!$D$18),-(IF((I162-Phu_tai!$D$18-Phu_tai!$D$40)&lt;Phu_tai!$D$15,Params!$D$27*(I162-Phu_tai!$D$18-Phu_tai!$D$40),IF((I162-Phu_tai!$D$18-Phu_tai!$D$40)&lt;Phu_tai!$D$15+Phu_tai!$D$17,Params!$D$26,Params!$D$26-Params!$D$27*((I162-Phu_tai!$D$18-Phu_tai!$D$40)-Phu_tai!$D$15-Phu_tai!$D$17)))),0)</f>
        <v/>
      </c>
      <c r="K162">
        <f>MAX(0,K161+(J162+J161)/2*Phu_tai!$D$39)</f>
        <v/>
      </c>
      <c r="L162">
        <f>IF(AND(K162&lt;0.0001,J162=0,I162&gt;0),0,Phu_tai!$D$12+Phu_tai!$D$24*J162/Params!$D$26)</f>
        <v/>
      </c>
      <c r="M162">
        <f>IF(AND(K162&lt;0.0001,J162=0,I162&gt;0),0,Phu_tai!$D$13+Phu_tai!$D$25*J162/Params!$D$26)</f>
        <v/>
      </c>
    </row>
    <row r="163">
      <c r="I163">
        <f>161*Phu_tai!$D$39</f>
        <v/>
      </c>
      <c r="J163">
        <f>IF(I163&lt;Phu_tai!$D$15,Params!$D$27*I163,IF(I163&lt;Phu_tai!$D$15+Phu_tai!$D$17,Params!$D$26,IF(I163&lt;Phu_tai!$D$18,Params!$D$26-Params!$D$27*(I163-Phu_tai!$D$15-Phu_tai!$D$17),0)))+IF(AND((I163-Phu_tai!$D$18-Phu_tai!$D$40)&gt;=0,(I163-Phu_tai!$D$18-Phu_tai!$D$40)&lt;Phu_tai!$D$18),-(IF((I163-Phu_tai!$D$18-Phu_tai!$D$40)&lt;Phu_tai!$D$15,Params!$D$27*(I163-Phu_tai!$D$18-Phu_tai!$D$40),IF((I163-Phu_tai!$D$18-Phu_tai!$D$40)&lt;Phu_tai!$D$15+Phu_tai!$D$17,Params!$D$26,Params!$D$26-Params!$D$27*((I163-Phu_tai!$D$18-Phu_tai!$D$40)-Phu_tai!$D$15-Phu_tai!$D$17)))),0)</f>
        <v/>
      </c>
      <c r="K163">
        <f>MAX(0,K162+(J163+J162)/2*Phu_tai!$D$39)</f>
        <v/>
      </c>
      <c r="L163">
        <f>IF(AND(K163&lt;0.0001,J163=0,I163&gt;0),0,Phu_tai!$D$12+Phu_tai!$D$24*J163/Params!$D$26)</f>
        <v/>
      </c>
      <c r="M163">
        <f>IF(AND(K163&lt;0.0001,J163=0,I163&gt;0),0,Phu_tai!$D$13+Phu_tai!$D$25*J163/Params!$D$26)</f>
        <v/>
      </c>
    </row>
    <row r="164">
      <c r="I164">
        <f>162*Phu_tai!$D$39</f>
        <v/>
      </c>
      <c r="J164">
        <f>IF(I164&lt;Phu_tai!$D$15,Params!$D$27*I164,IF(I164&lt;Phu_tai!$D$15+Phu_tai!$D$17,Params!$D$26,IF(I164&lt;Phu_tai!$D$18,Params!$D$26-Params!$D$27*(I164-Phu_tai!$D$15-Phu_tai!$D$17),0)))+IF(AND((I164-Phu_tai!$D$18-Phu_tai!$D$40)&gt;=0,(I164-Phu_tai!$D$18-Phu_tai!$D$40)&lt;Phu_tai!$D$18),-(IF((I164-Phu_tai!$D$18-Phu_tai!$D$40)&lt;Phu_tai!$D$15,Params!$D$27*(I164-Phu_tai!$D$18-Phu_tai!$D$40),IF((I164-Phu_tai!$D$18-Phu_tai!$D$40)&lt;Phu_tai!$D$15+Phu_tai!$D$17,Params!$D$26,Params!$D$26-Params!$D$27*((I164-Phu_tai!$D$18-Phu_tai!$D$40)-Phu_tai!$D$15-Phu_tai!$D$17)))),0)</f>
        <v/>
      </c>
      <c r="K164">
        <f>MAX(0,K163+(J164+J163)/2*Phu_tai!$D$39)</f>
        <v/>
      </c>
      <c r="L164">
        <f>IF(AND(K164&lt;0.0001,J164=0,I164&gt;0),0,Phu_tai!$D$12+Phu_tai!$D$24*J164/Params!$D$26)</f>
        <v/>
      </c>
      <c r="M164">
        <f>IF(AND(K164&lt;0.0001,J164=0,I164&gt;0),0,Phu_tai!$D$13+Phu_tai!$D$25*J164/Params!$D$26)</f>
        <v/>
      </c>
    </row>
    <row r="165">
      <c r="I165">
        <f>163*Phu_tai!$D$39</f>
        <v/>
      </c>
      <c r="J165">
        <f>IF(I165&lt;Phu_tai!$D$15,Params!$D$27*I165,IF(I165&lt;Phu_tai!$D$15+Phu_tai!$D$17,Params!$D$26,IF(I165&lt;Phu_tai!$D$18,Params!$D$26-Params!$D$27*(I165-Phu_tai!$D$15-Phu_tai!$D$17),0)))+IF(AND((I165-Phu_tai!$D$18-Phu_tai!$D$40)&gt;=0,(I165-Phu_tai!$D$18-Phu_tai!$D$40)&lt;Phu_tai!$D$18),-(IF((I165-Phu_tai!$D$18-Phu_tai!$D$40)&lt;Phu_tai!$D$15,Params!$D$27*(I165-Phu_tai!$D$18-Phu_tai!$D$40),IF((I165-Phu_tai!$D$18-Phu_tai!$D$40)&lt;Phu_tai!$D$15+Phu_tai!$D$17,Params!$D$26,Params!$D$26-Params!$D$27*((I165-Phu_tai!$D$18-Phu_tai!$D$40)-Phu_tai!$D$15-Phu_tai!$D$17)))),0)</f>
        <v/>
      </c>
      <c r="K165">
        <f>MAX(0,K164+(J165+J164)/2*Phu_tai!$D$39)</f>
        <v/>
      </c>
      <c r="L165">
        <f>IF(AND(K165&lt;0.0001,J165=0,I165&gt;0),0,Phu_tai!$D$12+Phu_tai!$D$24*J165/Params!$D$26)</f>
        <v/>
      </c>
      <c r="M165">
        <f>IF(AND(K165&lt;0.0001,J165=0,I165&gt;0),0,Phu_tai!$D$13+Phu_tai!$D$25*J165/Params!$D$26)</f>
        <v/>
      </c>
    </row>
    <row r="166">
      <c r="I166">
        <f>164*Phu_tai!$D$39</f>
        <v/>
      </c>
      <c r="J166">
        <f>IF(I166&lt;Phu_tai!$D$15,Params!$D$27*I166,IF(I166&lt;Phu_tai!$D$15+Phu_tai!$D$17,Params!$D$26,IF(I166&lt;Phu_tai!$D$18,Params!$D$26-Params!$D$27*(I166-Phu_tai!$D$15-Phu_tai!$D$17),0)))+IF(AND((I166-Phu_tai!$D$18-Phu_tai!$D$40)&gt;=0,(I166-Phu_tai!$D$18-Phu_tai!$D$40)&lt;Phu_tai!$D$18),-(IF((I166-Phu_tai!$D$18-Phu_tai!$D$40)&lt;Phu_tai!$D$15,Params!$D$27*(I166-Phu_tai!$D$18-Phu_tai!$D$40),IF((I166-Phu_tai!$D$18-Phu_tai!$D$40)&lt;Phu_tai!$D$15+Phu_tai!$D$17,Params!$D$26,Params!$D$26-Params!$D$27*((I166-Phu_tai!$D$18-Phu_tai!$D$40)-Phu_tai!$D$15-Phu_tai!$D$17)))),0)</f>
        <v/>
      </c>
      <c r="K166">
        <f>MAX(0,K165+(J166+J165)/2*Phu_tai!$D$39)</f>
        <v/>
      </c>
      <c r="L166">
        <f>IF(AND(K166&lt;0.0001,J166=0,I166&gt;0),0,Phu_tai!$D$12+Phu_tai!$D$24*J166/Params!$D$26)</f>
        <v/>
      </c>
      <c r="M166">
        <f>IF(AND(K166&lt;0.0001,J166=0,I166&gt;0),0,Phu_tai!$D$13+Phu_tai!$D$25*J166/Params!$D$26)</f>
        <v/>
      </c>
    </row>
    <row r="167">
      <c r="I167">
        <f>165*Phu_tai!$D$39</f>
        <v/>
      </c>
      <c r="J167">
        <f>IF(I167&lt;Phu_tai!$D$15,Params!$D$27*I167,IF(I167&lt;Phu_tai!$D$15+Phu_tai!$D$17,Params!$D$26,IF(I167&lt;Phu_tai!$D$18,Params!$D$26-Params!$D$27*(I167-Phu_tai!$D$15-Phu_tai!$D$17),0)))+IF(AND((I167-Phu_tai!$D$18-Phu_tai!$D$40)&gt;=0,(I167-Phu_tai!$D$18-Phu_tai!$D$40)&lt;Phu_tai!$D$18),-(IF((I167-Phu_tai!$D$18-Phu_tai!$D$40)&lt;Phu_tai!$D$15,Params!$D$27*(I167-Phu_tai!$D$18-Phu_tai!$D$40),IF((I167-Phu_tai!$D$18-Phu_tai!$D$40)&lt;Phu_tai!$D$15+Phu_tai!$D$17,Params!$D$26,Params!$D$26-Params!$D$27*((I167-Phu_tai!$D$18-Phu_tai!$D$40)-Phu_tai!$D$15-Phu_tai!$D$17)))),0)</f>
        <v/>
      </c>
      <c r="K167">
        <f>MAX(0,K166+(J167+J166)/2*Phu_tai!$D$39)</f>
        <v/>
      </c>
      <c r="L167">
        <f>IF(AND(K167&lt;0.0001,J167=0,I167&gt;0),0,Phu_tai!$D$12+Phu_tai!$D$24*J167/Params!$D$26)</f>
        <v/>
      </c>
      <c r="M167">
        <f>IF(AND(K167&lt;0.0001,J167=0,I167&gt;0),0,Phu_tai!$D$13+Phu_tai!$D$25*J167/Params!$D$26)</f>
        <v/>
      </c>
    </row>
    <row r="168">
      <c r="I168">
        <f>166*Phu_tai!$D$39</f>
        <v/>
      </c>
      <c r="J168">
        <f>IF(I168&lt;Phu_tai!$D$15,Params!$D$27*I168,IF(I168&lt;Phu_tai!$D$15+Phu_tai!$D$17,Params!$D$26,IF(I168&lt;Phu_tai!$D$18,Params!$D$26-Params!$D$27*(I168-Phu_tai!$D$15-Phu_tai!$D$17),0)))+IF(AND((I168-Phu_tai!$D$18-Phu_tai!$D$40)&gt;=0,(I168-Phu_tai!$D$18-Phu_tai!$D$40)&lt;Phu_tai!$D$18),-(IF((I168-Phu_tai!$D$18-Phu_tai!$D$40)&lt;Phu_tai!$D$15,Params!$D$27*(I168-Phu_tai!$D$18-Phu_tai!$D$40),IF((I168-Phu_tai!$D$18-Phu_tai!$D$40)&lt;Phu_tai!$D$15+Phu_tai!$D$17,Params!$D$26,Params!$D$26-Params!$D$27*((I168-Phu_tai!$D$18-Phu_tai!$D$40)-Phu_tai!$D$15-Phu_tai!$D$17)))),0)</f>
        <v/>
      </c>
      <c r="K168">
        <f>MAX(0,K167+(J168+J167)/2*Phu_tai!$D$39)</f>
        <v/>
      </c>
      <c r="L168">
        <f>IF(AND(K168&lt;0.0001,J168=0,I168&gt;0),0,Phu_tai!$D$12+Phu_tai!$D$24*J168/Params!$D$26)</f>
        <v/>
      </c>
      <c r="M168">
        <f>IF(AND(K168&lt;0.0001,J168=0,I168&gt;0),0,Phu_tai!$D$13+Phu_tai!$D$25*J168/Params!$D$26)</f>
        <v/>
      </c>
    </row>
    <row r="169">
      <c r="I169">
        <f>167*Phu_tai!$D$39</f>
        <v/>
      </c>
      <c r="J169">
        <f>IF(I169&lt;Phu_tai!$D$15,Params!$D$27*I169,IF(I169&lt;Phu_tai!$D$15+Phu_tai!$D$17,Params!$D$26,IF(I169&lt;Phu_tai!$D$18,Params!$D$26-Params!$D$27*(I169-Phu_tai!$D$15-Phu_tai!$D$17),0)))+IF(AND((I169-Phu_tai!$D$18-Phu_tai!$D$40)&gt;=0,(I169-Phu_tai!$D$18-Phu_tai!$D$40)&lt;Phu_tai!$D$18),-(IF((I169-Phu_tai!$D$18-Phu_tai!$D$40)&lt;Phu_tai!$D$15,Params!$D$27*(I169-Phu_tai!$D$18-Phu_tai!$D$40),IF((I169-Phu_tai!$D$18-Phu_tai!$D$40)&lt;Phu_tai!$D$15+Phu_tai!$D$17,Params!$D$26,Params!$D$26-Params!$D$27*((I169-Phu_tai!$D$18-Phu_tai!$D$40)-Phu_tai!$D$15-Phu_tai!$D$17)))),0)</f>
        <v/>
      </c>
      <c r="K169">
        <f>MAX(0,K168+(J169+J168)/2*Phu_tai!$D$39)</f>
        <v/>
      </c>
      <c r="L169">
        <f>IF(AND(K169&lt;0.0001,J169=0,I169&gt;0),0,Phu_tai!$D$12+Phu_tai!$D$24*J169/Params!$D$26)</f>
        <v/>
      </c>
      <c r="M169">
        <f>IF(AND(K169&lt;0.0001,J169=0,I169&gt;0),0,Phu_tai!$D$13+Phu_tai!$D$25*J169/Params!$D$26)</f>
        <v/>
      </c>
    </row>
    <row r="170">
      <c r="I170">
        <f>168*Phu_tai!$D$39</f>
        <v/>
      </c>
      <c r="J170">
        <f>IF(I170&lt;Phu_tai!$D$15,Params!$D$27*I170,IF(I170&lt;Phu_tai!$D$15+Phu_tai!$D$17,Params!$D$26,IF(I170&lt;Phu_tai!$D$18,Params!$D$26-Params!$D$27*(I170-Phu_tai!$D$15-Phu_tai!$D$17),0)))+IF(AND((I170-Phu_tai!$D$18-Phu_tai!$D$40)&gt;=0,(I170-Phu_tai!$D$18-Phu_tai!$D$40)&lt;Phu_tai!$D$18),-(IF((I170-Phu_tai!$D$18-Phu_tai!$D$40)&lt;Phu_tai!$D$15,Params!$D$27*(I170-Phu_tai!$D$18-Phu_tai!$D$40),IF((I170-Phu_tai!$D$18-Phu_tai!$D$40)&lt;Phu_tai!$D$15+Phu_tai!$D$17,Params!$D$26,Params!$D$26-Params!$D$27*((I170-Phu_tai!$D$18-Phu_tai!$D$40)-Phu_tai!$D$15-Phu_tai!$D$17)))),0)</f>
        <v/>
      </c>
      <c r="K170">
        <f>MAX(0,K169+(J170+J169)/2*Phu_tai!$D$39)</f>
        <v/>
      </c>
      <c r="L170">
        <f>IF(AND(K170&lt;0.0001,J170=0,I170&gt;0),0,Phu_tai!$D$12+Phu_tai!$D$24*J170/Params!$D$26)</f>
        <v/>
      </c>
      <c r="M170">
        <f>IF(AND(K170&lt;0.0001,J170=0,I170&gt;0),0,Phu_tai!$D$13+Phu_tai!$D$25*J170/Params!$D$26)</f>
        <v/>
      </c>
    </row>
    <row r="171">
      <c r="I171">
        <f>169*Phu_tai!$D$39</f>
        <v/>
      </c>
      <c r="J171">
        <f>IF(I171&lt;Phu_tai!$D$15,Params!$D$27*I171,IF(I171&lt;Phu_tai!$D$15+Phu_tai!$D$17,Params!$D$26,IF(I171&lt;Phu_tai!$D$18,Params!$D$26-Params!$D$27*(I171-Phu_tai!$D$15-Phu_tai!$D$17),0)))+IF(AND((I171-Phu_tai!$D$18-Phu_tai!$D$40)&gt;=0,(I171-Phu_tai!$D$18-Phu_tai!$D$40)&lt;Phu_tai!$D$18),-(IF((I171-Phu_tai!$D$18-Phu_tai!$D$40)&lt;Phu_tai!$D$15,Params!$D$27*(I171-Phu_tai!$D$18-Phu_tai!$D$40),IF((I171-Phu_tai!$D$18-Phu_tai!$D$40)&lt;Phu_tai!$D$15+Phu_tai!$D$17,Params!$D$26,Params!$D$26-Params!$D$27*((I171-Phu_tai!$D$18-Phu_tai!$D$40)-Phu_tai!$D$15-Phu_tai!$D$17)))),0)</f>
        <v/>
      </c>
      <c r="K171">
        <f>MAX(0,K170+(J171+J170)/2*Phu_tai!$D$39)</f>
        <v/>
      </c>
      <c r="L171">
        <f>IF(AND(K171&lt;0.0001,J171=0,I171&gt;0),0,Phu_tai!$D$12+Phu_tai!$D$24*J171/Params!$D$26)</f>
        <v/>
      </c>
      <c r="M171">
        <f>IF(AND(K171&lt;0.0001,J171=0,I171&gt;0),0,Phu_tai!$D$13+Phu_tai!$D$25*J171/Params!$D$26)</f>
        <v/>
      </c>
    </row>
    <row r="172">
      <c r="I172">
        <f>170*Phu_tai!$D$39</f>
        <v/>
      </c>
      <c r="J172">
        <f>IF(I172&lt;Phu_tai!$D$15,Params!$D$27*I172,IF(I172&lt;Phu_tai!$D$15+Phu_tai!$D$17,Params!$D$26,IF(I172&lt;Phu_tai!$D$18,Params!$D$26-Params!$D$27*(I172-Phu_tai!$D$15-Phu_tai!$D$17),0)))+IF(AND((I172-Phu_tai!$D$18-Phu_tai!$D$40)&gt;=0,(I172-Phu_tai!$D$18-Phu_tai!$D$40)&lt;Phu_tai!$D$18),-(IF((I172-Phu_tai!$D$18-Phu_tai!$D$40)&lt;Phu_tai!$D$15,Params!$D$27*(I172-Phu_tai!$D$18-Phu_tai!$D$40),IF((I172-Phu_tai!$D$18-Phu_tai!$D$40)&lt;Phu_tai!$D$15+Phu_tai!$D$17,Params!$D$26,Params!$D$26-Params!$D$27*((I172-Phu_tai!$D$18-Phu_tai!$D$40)-Phu_tai!$D$15-Phu_tai!$D$17)))),0)</f>
        <v/>
      </c>
      <c r="K172">
        <f>MAX(0,K171+(J172+J171)/2*Phu_tai!$D$39)</f>
        <v/>
      </c>
      <c r="L172">
        <f>IF(AND(K172&lt;0.0001,J172=0,I172&gt;0),0,Phu_tai!$D$12+Phu_tai!$D$24*J172/Params!$D$26)</f>
        <v/>
      </c>
      <c r="M172">
        <f>IF(AND(K172&lt;0.0001,J172=0,I172&gt;0),0,Phu_tai!$D$13+Phu_tai!$D$25*J172/Params!$D$26)</f>
        <v/>
      </c>
    </row>
    <row r="173">
      <c r="I173">
        <f>171*Phu_tai!$D$39</f>
        <v/>
      </c>
      <c r="J173">
        <f>IF(I173&lt;Phu_tai!$D$15,Params!$D$27*I173,IF(I173&lt;Phu_tai!$D$15+Phu_tai!$D$17,Params!$D$26,IF(I173&lt;Phu_tai!$D$18,Params!$D$26-Params!$D$27*(I173-Phu_tai!$D$15-Phu_tai!$D$17),0)))+IF(AND((I173-Phu_tai!$D$18-Phu_tai!$D$40)&gt;=0,(I173-Phu_tai!$D$18-Phu_tai!$D$40)&lt;Phu_tai!$D$18),-(IF((I173-Phu_tai!$D$18-Phu_tai!$D$40)&lt;Phu_tai!$D$15,Params!$D$27*(I173-Phu_tai!$D$18-Phu_tai!$D$40),IF((I173-Phu_tai!$D$18-Phu_tai!$D$40)&lt;Phu_tai!$D$15+Phu_tai!$D$17,Params!$D$26,Params!$D$26-Params!$D$27*((I173-Phu_tai!$D$18-Phu_tai!$D$40)-Phu_tai!$D$15-Phu_tai!$D$17)))),0)</f>
        <v/>
      </c>
      <c r="K173">
        <f>MAX(0,K172+(J173+J172)/2*Phu_tai!$D$39)</f>
        <v/>
      </c>
      <c r="L173">
        <f>IF(AND(K173&lt;0.0001,J173=0,I173&gt;0),0,Phu_tai!$D$12+Phu_tai!$D$24*J173/Params!$D$26)</f>
        <v/>
      </c>
      <c r="M173">
        <f>IF(AND(K173&lt;0.0001,J173=0,I173&gt;0),0,Phu_tai!$D$13+Phu_tai!$D$25*J173/Params!$D$26)</f>
        <v/>
      </c>
    </row>
    <row r="174">
      <c r="I174">
        <f>172*Phu_tai!$D$39</f>
        <v/>
      </c>
      <c r="J174">
        <f>IF(I174&lt;Phu_tai!$D$15,Params!$D$27*I174,IF(I174&lt;Phu_tai!$D$15+Phu_tai!$D$17,Params!$D$26,IF(I174&lt;Phu_tai!$D$18,Params!$D$26-Params!$D$27*(I174-Phu_tai!$D$15-Phu_tai!$D$17),0)))+IF(AND((I174-Phu_tai!$D$18-Phu_tai!$D$40)&gt;=0,(I174-Phu_tai!$D$18-Phu_tai!$D$40)&lt;Phu_tai!$D$18),-(IF((I174-Phu_tai!$D$18-Phu_tai!$D$40)&lt;Phu_tai!$D$15,Params!$D$27*(I174-Phu_tai!$D$18-Phu_tai!$D$40),IF((I174-Phu_tai!$D$18-Phu_tai!$D$40)&lt;Phu_tai!$D$15+Phu_tai!$D$17,Params!$D$26,Params!$D$26-Params!$D$27*((I174-Phu_tai!$D$18-Phu_tai!$D$40)-Phu_tai!$D$15-Phu_tai!$D$17)))),0)</f>
        <v/>
      </c>
      <c r="K174">
        <f>MAX(0,K173+(J174+J173)/2*Phu_tai!$D$39)</f>
        <v/>
      </c>
      <c r="L174">
        <f>IF(AND(K174&lt;0.0001,J174=0,I174&gt;0),0,Phu_tai!$D$12+Phu_tai!$D$24*J174/Params!$D$26)</f>
        <v/>
      </c>
      <c r="M174">
        <f>IF(AND(K174&lt;0.0001,J174=0,I174&gt;0),0,Phu_tai!$D$13+Phu_tai!$D$25*J174/Params!$D$26)</f>
        <v/>
      </c>
    </row>
    <row r="175">
      <c r="I175">
        <f>173*Phu_tai!$D$39</f>
        <v/>
      </c>
      <c r="J175">
        <f>IF(I175&lt;Phu_tai!$D$15,Params!$D$27*I175,IF(I175&lt;Phu_tai!$D$15+Phu_tai!$D$17,Params!$D$26,IF(I175&lt;Phu_tai!$D$18,Params!$D$26-Params!$D$27*(I175-Phu_tai!$D$15-Phu_tai!$D$17),0)))+IF(AND((I175-Phu_tai!$D$18-Phu_tai!$D$40)&gt;=0,(I175-Phu_tai!$D$18-Phu_tai!$D$40)&lt;Phu_tai!$D$18),-(IF((I175-Phu_tai!$D$18-Phu_tai!$D$40)&lt;Phu_tai!$D$15,Params!$D$27*(I175-Phu_tai!$D$18-Phu_tai!$D$40),IF((I175-Phu_tai!$D$18-Phu_tai!$D$40)&lt;Phu_tai!$D$15+Phu_tai!$D$17,Params!$D$26,Params!$D$26-Params!$D$27*((I175-Phu_tai!$D$18-Phu_tai!$D$40)-Phu_tai!$D$15-Phu_tai!$D$17)))),0)</f>
        <v/>
      </c>
      <c r="K175">
        <f>MAX(0,K174+(J175+J174)/2*Phu_tai!$D$39)</f>
        <v/>
      </c>
      <c r="L175">
        <f>IF(AND(K175&lt;0.0001,J175=0,I175&gt;0),0,Phu_tai!$D$12+Phu_tai!$D$24*J175/Params!$D$26)</f>
        <v/>
      </c>
      <c r="M175">
        <f>IF(AND(K175&lt;0.0001,J175=0,I175&gt;0),0,Phu_tai!$D$13+Phu_tai!$D$25*J175/Params!$D$26)</f>
        <v/>
      </c>
    </row>
    <row r="176">
      <c r="I176">
        <f>174*Phu_tai!$D$39</f>
        <v/>
      </c>
      <c r="J176">
        <f>IF(I176&lt;Phu_tai!$D$15,Params!$D$27*I176,IF(I176&lt;Phu_tai!$D$15+Phu_tai!$D$17,Params!$D$26,IF(I176&lt;Phu_tai!$D$18,Params!$D$26-Params!$D$27*(I176-Phu_tai!$D$15-Phu_tai!$D$17),0)))+IF(AND((I176-Phu_tai!$D$18-Phu_tai!$D$40)&gt;=0,(I176-Phu_tai!$D$18-Phu_tai!$D$40)&lt;Phu_tai!$D$18),-(IF((I176-Phu_tai!$D$18-Phu_tai!$D$40)&lt;Phu_tai!$D$15,Params!$D$27*(I176-Phu_tai!$D$18-Phu_tai!$D$40),IF((I176-Phu_tai!$D$18-Phu_tai!$D$40)&lt;Phu_tai!$D$15+Phu_tai!$D$17,Params!$D$26,Params!$D$26-Params!$D$27*((I176-Phu_tai!$D$18-Phu_tai!$D$40)-Phu_tai!$D$15-Phu_tai!$D$17)))),0)</f>
        <v/>
      </c>
      <c r="K176">
        <f>MAX(0,K175+(J176+J175)/2*Phu_tai!$D$39)</f>
        <v/>
      </c>
      <c r="L176">
        <f>IF(AND(K176&lt;0.0001,J176=0,I176&gt;0),0,Phu_tai!$D$12+Phu_tai!$D$24*J176/Params!$D$26)</f>
        <v/>
      </c>
      <c r="M176">
        <f>IF(AND(K176&lt;0.0001,J176=0,I176&gt;0),0,Phu_tai!$D$13+Phu_tai!$D$25*J176/Params!$D$26)</f>
        <v/>
      </c>
    </row>
    <row r="177">
      <c r="I177">
        <f>175*Phu_tai!$D$39</f>
        <v/>
      </c>
      <c r="J177">
        <f>IF(I177&lt;Phu_tai!$D$15,Params!$D$27*I177,IF(I177&lt;Phu_tai!$D$15+Phu_tai!$D$17,Params!$D$26,IF(I177&lt;Phu_tai!$D$18,Params!$D$26-Params!$D$27*(I177-Phu_tai!$D$15-Phu_tai!$D$17),0)))+IF(AND((I177-Phu_tai!$D$18-Phu_tai!$D$40)&gt;=0,(I177-Phu_tai!$D$18-Phu_tai!$D$40)&lt;Phu_tai!$D$18),-(IF((I177-Phu_tai!$D$18-Phu_tai!$D$40)&lt;Phu_tai!$D$15,Params!$D$27*(I177-Phu_tai!$D$18-Phu_tai!$D$40),IF((I177-Phu_tai!$D$18-Phu_tai!$D$40)&lt;Phu_tai!$D$15+Phu_tai!$D$17,Params!$D$26,Params!$D$26-Params!$D$27*((I177-Phu_tai!$D$18-Phu_tai!$D$40)-Phu_tai!$D$15-Phu_tai!$D$17)))),0)</f>
        <v/>
      </c>
      <c r="K177">
        <f>MAX(0,K176+(J177+J176)/2*Phu_tai!$D$39)</f>
        <v/>
      </c>
      <c r="L177">
        <f>IF(AND(K177&lt;0.0001,J177=0,I177&gt;0),0,Phu_tai!$D$12+Phu_tai!$D$24*J177/Params!$D$26)</f>
        <v/>
      </c>
      <c r="M177">
        <f>IF(AND(K177&lt;0.0001,J177=0,I177&gt;0),0,Phu_tai!$D$13+Phu_tai!$D$25*J177/Params!$D$26)</f>
        <v/>
      </c>
    </row>
    <row r="178">
      <c r="I178">
        <f>176*Phu_tai!$D$39</f>
        <v/>
      </c>
      <c r="J178">
        <f>IF(I178&lt;Phu_tai!$D$15,Params!$D$27*I178,IF(I178&lt;Phu_tai!$D$15+Phu_tai!$D$17,Params!$D$26,IF(I178&lt;Phu_tai!$D$18,Params!$D$26-Params!$D$27*(I178-Phu_tai!$D$15-Phu_tai!$D$17),0)))+IF(AND((I178-Phu_tai!$D$18-Phu_tai!$D$40)&gt;=0,(I178-Phu_tai!$D$18-Phu_tai!$D$40)&lt;Phu_tai!$D$18),-(IF((I178-Phu_tai!$D$18-Phu_tai!$D$40)&lt;Phu_tai!$D$15,Params!$D$27*(I178-Phu_tai!$D$18-Phu_tai!$D$40),IF((I178-Phu_tai!$D$18-Phu_tai!$D$40)&lt;Phu_tai!$D$15+Phu_tai!$D$17,Params!$D$26,Params!$D$26-Params!$D$27*((I178-Phu_tai!$D$18-Phu_tai!$D$40)-Phu_tai!$D$15-Phu_tai!$D$17)))),0)</f>
        <v/>
      </c>
      <c r="K178">
        <f>MAX(0,K177+(J178+J177)/2*Phu_tai!$D$39)</f>
        <v/>
      </c>
      <c r="L178">
        <f>IF(AND(K178&lt;0.0001,J178=0,I178&gt;0),0,Phu_tai!$D$12+Phu_tai!$D$24*J178/Params!$D$26)</f>
        <v/>
      </c>
      <c r="M178">
        <f>IF(AND(K178&lt;0.0001,J178=0,I178&gt;0),0,Phu_tai!$D$13+Phu_tai!$D$25*J178/Params!$D$26)</f>
        <v/>
      </c>
    </row>
    <row r="179">
      <c r="I179">
        <f>177*Phu_tai!$D$39</f>
        <v/>
      </c>
      <c r="J179">
        <f>IF(I179&lt;Phu_tai!$D$15,Params!$D$27*I179,IF(I179&lt;Phu_tai!$D$15+Phu_tai!$D$17,Params!$D$26,IF(I179&lt;Phu_tai!$D$18,Params!$D$26-Params!$D$27*(I179-Phu_tai!$D$15-Phu_tai!$D$17),0)))+IF(AND((I179-Phu_tai!$D$18-Phu_tai!$D$40)&gt;=0,(I179-Phu_tai!$D$18-Phu_tai!$D$40)&lt;Phu_tai!$D$18),-(IF((I179-Phu_tai!$D$18-Phu_tai!$D$40)&lt;Phu_tai!$D$15,Params!$D$27*(I179-Phu_tai!$D$18-Phu_tai!$D$40),IF((I179-Phu_tai!$D$18-Phu_tai!$D$40)&lt;Phu_tai!$D$15+Phu_tai!$D$17,Params!$D$26,Params!$D$26-Params!$D$27*((I179-Phu_tai!$D$18-Phu_tai!$D$40)-Phu_tai!$D$15-Phu_tai!$D$17)))),0)</f>
        <v/>
      </c>
      <c r="K179">
        <f>MAX(0,K178+(J179+J178)/2*Phu_tai!$D$39)</f>
        <v/>
      </c>
      <c r="L179">
        <f>IF(AND(K179&lt;0.0001,J179=0,I179&gt;0),0,Phu_tai!$D$12+Phu_tai!$D$24*J179/Params!$D$26)</f>
        <v/>
      </c>
      <c r="M179">
        <f>IF(AND(K179&lt;0.0001,J179=0,I179&gt;0),0,Phu_tai!$D$13+Phu_tai!$D$25*J179/Params!$D$26)</f>
        <v/>
      </c>
    </row>
    <row r="180">
      <c r="I180">
        <f>178*Phu_tai!$D$39</f>
        <v/>
      </c>
      <c r="J180">
        <f>IF(I180&lt;Phu_tai!$D$15,Params!$D$27*I180,IF(I180&lt;Phu_tai!$D$15+Phu_tai!$D$17,Params!$D$26,IF(I180&lt;Phu_tai!$D$18,Params!$D$26-Params!$D$27*(I180-Phu_tai!$D$15-Phu_tai!$D$17),0)))+IF(AND((I180-Phu_tai!$D$18-Phu_tai!$D$40)&gt;=0,(I180-Phu_tai!$D$18-Phu_tai!$D$40)&lt;Phu_tai!$D$18),-(IF((I180-Phu_tai!$D$18-Phu_tai!$D$40)&lt;Phu_tai!$D$15,Params!$D$27*(I180-Phu_tai!$D$18-Phu_tai!$D$40),IF((I180-Phu_tai!$D$18-Phu_tai!$D$40)&lt;Phu_tai!$D$15+Phu_tai!$D$17,Params!$D$26,Params!$D$26-Params!$D$27*((I180-Phu_tai!$D$18-Phu_tai!$D$40)-Phu_tai!$D$15-Phu_tai!$D$17)))),0)</f>
        <v/>
      </c>
      <c r="K180">
        <f>MAX(0,K179+(J180+J179)/2*Phu_tai!$D$39)</f>
        <v/>
      </c>
      <c r="L180">
        <f>IF(AND(K180&lt;0.0001,J180=0,I180&gt;0),0,Phu_tai!$D$12+Phu_tai!$D$24*J180/Params!$D$26)</f>
        <v/>
      </c>
      <c r="M180">
        <f>IF(AND(K180&lt;0.0001,J180=0,I180&gt;0),0,Phu_tai!$D$13+Phu_tai!$D$25*J180/Params!$D$26)</f>
        <v/>
      </c>
    </row>
    <row r="181">
      <c r="I181">
        <f>179*Phu_tai!$D$39</f>
        <v/>
      </c>
      <c r="J181">
        <f>IF(I181&lt;Phu_tai!$D$15,Params!$D$27*I181,IF(I181&lt;Phu_tai!$D$15+Phu_tai!$D$17,Params!$D$26,IF(I181&lt;Phu_tai!$D$18,Params!$D$26-Params!$D$27*(I181-Phu_tai!$D$15-Phu_tai!$D$17),0)))+IF(AND((I181-Phu_tai!$D$18-Phu_tai!$D$40)&gt;=0,(I181-Phu_tai!$D$18-Phu_tai!$D$40)&lt;Phu_tai!$D$18),-(IF((I181-Phu_tai!$D$18-Phu_tai!$D$40)&lt;Phu_tai!$D$15,Params!$D$27*(I181-Phu_tai!$D$18-Phu_tai!$D$40),IF((I181-Phu_tai!$D$18-Phu_tai!$D$40)&lt;Phu_tai!$D$15+Phu_tai!$D$17,Params!$D$26,Params!$D$26-Params!$D$27*((I181-Phu_tai!$D$18-Phu_tai!$D$40)-Phu_tai!$D$15-Phu_tai!$D$17)))),0)</f>
        <v/>
      </c>
      <c r="K181">
        <f>MAX(0,K180+(J181+J180)/2*Phu_tai!$D$39)</f>
        <v/>
      </c>
      <c r="L181">
        <f>IF(AND(K181&lt;0.0001,J181=0,I181&gt;0),0,Phu_tai!$D$12+Phu_tai!$D$24*J181/Params!$D$26)</f>
        <v/>
      </c>
      <c r="M181">
        <f>IF(AND(K181&lt;0.0001,J181=0,I181&gt;0),0,Phu_tai!$D$13+Phu_tai!$D$25*J181/Params!$D$26)</f>
        <v/>
      </c>
    </row>
    <row r="182">
      <c r="I182">
        <f>180*Phu_tai!$D$39</f>
        <v/>
      </c>
      <c r="J182">
        <f>IF(I182&lt;Phu_tai!$D$15,Params!$D$27*I182,IF(I182&lt;Phu_tai!$D$15+Phu_tai!$D$17,Params!$D$26,IF(I182&lt;Phu_tai!$D$18,Params!$D$26-Params!$D$27*(I182-Phu_tai!$D$15-Phu_tai!$D$17),0)))+IF(AND((I182-Phu_tai!$D$18-Phu_tai!$D$40)&gt;=0,(I182-Phu_tai!$D$18-Phu_tai!$D$40)&lt;Phu_tai!$D$18),-(IF((I182-Phu_tai!$D$18-Phu_tai!$D$40)&lt;Phu_tai!$D$15,Params!$D$27*(I182-Phu_tai!$D$18-Phu_tai!$D$40),IF((I182-Phu_tai!$D$18-Phu_tai!$D$40)&lt;Phu_tai!$D$15+Phu_tai!$D$17,Params!$D$26,Params!$D$26-Params!$D$27*((I182-Phu_tai!$D$18-Phu_tai!$D$40)-Phu_tai!$D$15-Phu_tai!$D$17)))),0)</f>
        <v/>
      </c>
      <c r="K182">
        <f>MAX(0,K181+(J182+J181)/2*Phu_tai!$D$39)</f>
        <v/>
      </c>
      <c r="L182">
        <f>IF(AND(K182&lt;0.0001,J182=0,I182&gt;0),0,Phu_tai!$D$12+Phu_tai!$D$24*J182/Params!$D$26)</f>
        <v/>
      </c>
      <c r="M182">
        <f>IF(AND(K182&lt;0.0001,J182=0,I182&gt;0),0,Phu_tai!$D$13+Phu_tai!$D$25*J182/Params!$D$26)</f>
        <v/>
      </c>
    </row>
    <row r="183">
      <c r="I183">
        <f>181*Phu_tai!$D$39</f>
        <v/>
      </c>
      <c r="J183">
        <f>IF(I183&lt;Phu_tai!$D$15,Params!$D$27*I183,IF(I183&lt;Phu_tai!$D$15+Phu_tai!$D$17,Params!$D$26,IF(I183&lt;Phu_tai!$D$18,Params!$D$26-Params!$D$27*(I183-Phu_tai!$D$15-Phu_tai!$D$17),0)))+IF(AND((I183-Phu_tai!$D$18-Phu_tai!$D$40)&gt;=0,(I183-Phu_tai!$D$18-Phu_tai!$D$40)&lt;Phu_tai!$D$18),-(IF((I183-Phu_tai!$D$18-Phu_tai!$D$40)&lt;Phu_tai!$D$15,Params!$D$27*(I183-Phu_tai!$D$18-Phu_tai!$D$40),IF((I183-Phu_tai!$D$18-Phu_tai!$D$40)&lt;Phu_tai!$D$15+Phu_tai!$D$17,Params!$D$26,Params!$D$26-Params!$D$27*((I183-Phu_tai!$D$18-Phu_tai!$D$40)-Phu_tai!$D$15-Phu_tai!$D$17)))),0)</f>
        <v/>
      </c>
      <c r="K183">
        <f>MAX(0,K182+(J183+J182)/2*Phu_tai!$D$39)</f>
        <v/>
      </c>
      <c r="L183">
        <f>IF(AND(K183&lt;0.0001,J183=0,I183&gt;0),0,Phu_tai!$D$12+Phu_tai!$D$24*J183/Params!$D$26)</f>
        <v/>
      </c>
      <c r="M183">
        <f>IF(AND(K183&lt;0.0001,J183=0,I183&gt;0),0,Phu_tai!$D$13+Phu_tai!$D$25*J183/Params!$D$26)</f>
        <v/>
      </c>
    </row>
    <row r="184">
      <c r="I184">
        <f>182*Phu_tai!$D$39</f>
        <v/>
      </c>
      <c r="J184">
        <f>IF(I184&lt;Phu_tai!$D$15,Params!$D$27*I184,IF(I184&lt;Phu_tai!$D$15+Phu_tai!$D$17,Params!$D$26,IF(I184&lt;Phu_tai!$D$18,Params!$D$26-Params!$D$27*(I184-Phu_tai!$D$15-Phu_tai!$D$17),0)))+IF(AND((I184-Phu_tai!$D$18-Phu_tai!$D$40)&gt;=0,(I184-Phu_tai!$D$18-Phu_tai!$D$40)&lt;Phu_tai!$D$18),-(IF((I184-Phu_tai!$D$18-Phu_tai!$D$40)&lt;Phu_tai!$D$15,Params!$D$27*(I184-Phu_tai!$D$18-Phu_tai!$D$40),IF((I184-Phu_tai!$D$18-Phu_tai!$D$40)&lt;Phu_tai!$D$15+Phu_tai!$D$17,Params!$D$26,Params!$D$26-Params!$D$27*((I184-Phu_tai!$D$18-Phu_tai!$D$40)-Phu_tai!$D$15-Phu_tai!$D$17)))),0)</f>
        <v/>
      </c>
      <c r="K184">
        <f>MAX(0,K183+(J184+J183)/2*Phu_tai!$D$39)</f>
        <v/>
      </c>
      <c r="L184">
        <f>IF(AND(K184&lt;0.0001,J184=0,I184&gt;0),0,Phu_tai!$D$12+Phu_tai!$D$24*J184/Params!$D$26)</f>
        <v/>
      </c>
      <c r="M184">
        <f>IF(AND(K184&lt;0.0001,J184=0,I184&gt;0),0,Phu_tai!$D$13+Phu_tai!$D$25*J184/Params!$D$26)</f>
        <v/>
      </c>
    </row>
    <row r="185">
      <c r="I185">
        <f>183*Phu_tai!$D$39</f>
        <v/>
      </c>
      <c r="J185">
        <f>IF(I185&lt;Phu_tai!$D$15,Params!$D$27*I185,IF(I185&lt;Phu_tai!$D$15+Phu_tai!$D$17,Params!$D$26,IF(I185&lt;Phu_tai!$D$18,Params!$D$26-Params!$D$27*(I185-Phu_tai!$D$15-Phu_tai!$D$17),0)))+IF(AND((I185-Phu_tai!$D$18-Phu_tai!$D$40)&gt;=0,(I185-Phu_tai!$D$18-Phu_tai!$D$40)&lt;Phu_tai!$D$18),-(IF((I185-Phu_tai!$D$18-Phu_tai!$D$40)&lt;Phu_tai!$D$15,Params!$D$27*(I185-Phu_tai!$D$18-Phu_tai!$D$40),IF((I185-Phu_tai!$D$18-Phu_tai!$D$40)&lt;Phu_tai!$D$15+Phu_tai!$D$17,Params!$D$26,Params!$D$26-Params!$D$27*((I185-Phu_tai!$D$18-Phu_tai!$D$40)-Phu_tai!$D$15-Phu_tai!$D$17)))),0)</f>
        <v/>
      </c>
      <c r="K185">
        <f>MAX(0,K184+(J185+J184)/2*Phu_tai!$D$39)</f>
        <v/>
      </c>
      <c r="L185">
        <f>IF(AND(K185&lt;0.0001,J185=0,I185&gt;0),0,Phu_tai!$D$12+Phu_tai!$D$24*J185/Params!$D$26)</f>
        <v/>
      </c>
      <c r="M185">
        <f>IF(AND(K185&lt;0.0001,J185=0,I185&gt;0),0,Phu_tai!$D$13+Phu_tai!$D$25*J185/Params!$D$26)</f>
        <v/>
      </c>
    </row>
    <row r="186">
      <c r="I186">
        <f>184*Phu_tai!$D$39</f>
        <v/>
      </c>
      <c r="J186">
        <f>IF(I186&lt;Phu_tai!$D$15,Params!$D$27*I186,IF(I186&lt;Phu_tai!$D$15+Phu_tai!$D$17,Params!$D$26,IF(I186&lt;Phu_tai!$D$18,Params!$D$26-Params!$D$27*(I186-Phu_tai!$D$15-Phu_tai!$D$17),0)))+IF(AND((I186-Phu_tai!$D$18-Phu_tai!$D$40)&gt;=0,(I186-Phu_tai!$D$18-Phu_tai!$D$40)&lt;Phu_tai!$D$18),-(IF((I186-Phu_tai!$D$18-Phu_tai!$D$40)&lt;Phu_tai!$D$15,Params!$D$27*(I186-Phu_tai!$D$18-Phu_tai!$D$40),IF((I186-Phu_tai!$D$18-Phu_tai!$D$40)&lt;Phu_tai!$D$15+Phu_tai!$D$17,Params!$D$26,Params!$D$26-Params!$D$27*((I186-Phu_tai!$D$18-Phu_tai!$D$40)-Phu_tai!$D$15-Phu_tai!$D$17)))),0)</f>
        <v/>
      </c>
      <c r="K186">
        <f>MAX(0,K185+(J186+J185)/2*Phu_tai!$D$39)</f>
        <v/>
      </c>
      <c r="L186">
        <f>IF(AND(K186&lt;0.0001,J186=0,I186&gt;0),0,Phu_tai!$D$12+Phu_tai!$D$24*J186/Params!$D$26)</f>
        <v/>
      </c>
      <c r="M186">
        <f>IF(AND(K186&lt;0.0001,J186=0,I186&gt;0),0,Phu_tai!$D$13+Phu_tai!$D$25*J186/Params!$D$26)</f>
        <v/>
      </c>
    </row>
    <row r="187">
      <c r="I187">
        <f>185*Phu_tai!$D$39</f>
        <v/>
      </c>
      <c r="J187">
        <f>IF(I187&lt;Phu_tai!$D$15,Params!$D$27*I187,IF(I187&lt;Phu_tai!$D$15+Phu_tai!$D$17,Params!$D$26,IF(I187&lt;Phu_tai!$D$18,Params!$D$26-Params!$D$27*(I187-Phu_tai!$D$15-Phu_tai!$D$17),0)))+IF(AND((I187-Phu_tai!$D$18-Phu_tai!$D$40)&gt;=0,(I187-Phu_tai!$D$18-Phu_tai!$D$40)&lt;Phu_tai!$D$18),-(IF((I187-Phu_tai!$D$18-Phu_tai!$D$40)&lt;Phu_tai!$D$15,Params!$D$27*(I187-Phu_tai!$D$18-Phu_tai!$D$40),IF((I187-Phu_tai!$D$18-Phu_tai!$D$40)&lt;Phu_tai!$D$15+Phu_tai!$D$17,Params!$D$26,Params!$D$26-Params!$D$27*((I187-Phu_tai!$D$18-Phu_tai!$D$40)-Phu_tai!$D$15-Phu_tai!$D$17)))),0)</f>
        <v/>
      </c>
      <c r="K187">
        <f>MAX(0,K186+(J187+J186)/2*Phu_tai!$D$39)</f>
        <v/>
      </c>
      <c r="L187">
        <f>IF(AND(K187&lt;0.0001,J187=0,I187&gt;0),0,Phu_tai!$D$12+Phu_tai!$D$24*J187/Params!$D$26)</f>
        <v/>
      </c>
      <c r="M187">
        <f>IF(AND(K187&lt;0.0001,J187=0,I187&gt;0),0,Phu_tai!$D$13+Phu_tai!$D$25*J187/Params!$D$26)</f>
        <v/>
      </c>
    </row>
    <row r="188">
      <c r="I188">
        <f>186*Phu_tai!$D$39</f>
        <v/>
      </c>
      <c r="J188">
        <f>IF(I188&lt;Phu_tai!$D$15,Params!$D$27*I188,IF(I188&lt;Phu_tai!$D$15+Phu_tai!$D$17,Params!$D$26,IF(I188&lt;Phu_tai!$D$18,Params!$D$26-Params!$D$27*(I188-Phu_tai!$D$15-Phu_tai!$D$17),0)))+IF(AND((I188-Phu_tai!$D$18-Phu_tai!$D$40)&gt;=0,(I188-Phu_tai!$D$18-Phu_tai!$D$40)&lt;Phu_tai!$D$18),-(IF((I188-Phu_tai!$D$18-Phu_tai!$D$40)&lt;Phu_tai!$D$15,Params!$D$27*(I188-Phu_tai!$D$18-Phu_tai!$D$40),IF((I188-Phu_tai!$D$18-Phu_tai!$D$40)&lt;Phu_tai!$D$15+Phu_tai!$D$17,Params!$D$26,Params!$D$26-Params!$D$27*((I188-Phu_tai!$D$18-Phu_tai!$D$40)-Phu_tai!$D$15-Phu_tai!$D$17)))),0)</f>
        <v/>
      </c>
      <c r="K188">
        <f>MAX(0,K187+(J188+J187)/2*Phu_tai!$D$39)</f>
        <v/>
      </c>
      <c r="L188">
        <f>IF(AND(K188&lt;0.0001,J188=0,I188&gt;0),0,Phu_tai!$D$12+Phu_tai!$D$24*J188/Params!$D$26)</f>
        <v/>
      </c>
      <c r="M188">
        <f>IF(AND(K188&lt;0.0001,J188=0,I188&gt;0),0,Phu_tai!$D$13+Phu_tai!$D$25*J188/Params!$D$26)</f>
        <v/>
      </c>
    </row>
    <row r="189">
      <c r="I189">
        <f>187*Phu_tai!$D$39</f>
        <v/>
      </c>
      <c r="J189">
        <f>IF(I189&lt;Phu_tai!$D$15,Params!$D$27*I189,IF(I189&lt;Phu_tai!$D$15+Phu_tai!$D$17,Params!$D$26,IF(I189&lt;Phu_tai!$D$18,Params!$D$26-Params!$D$27*(I189-Phu_tai!$D$15-Phu_tai!$D$17),0)))+IF(AND((I189-Phu_tai!$D$18-Phu_tai!$D$40)&gt;=0,(I189-Phu_tai!$D$18-Phu_tai!$D$40)&lt;Phu_tai!$D$18),-(IF((I189-Phu_tai!$D$18-Phu_tai!$D$40)&lt;Phu_tai!$D$15,Params!$D$27*(I189-Phu_tai!$D$18-Phu_tai!$D$40),IF((I189-Phu_tai!$D$18-Phu_tai!$D$40)&lt;Phu_tai!$D$15+Phu_tai!$D$17,Params!$D$26,Params!$D$26-Params!$D$27*((I189-Phu_tai!$D$18-Phu_tai!$D$40)-Phu_tai!$D$15-Phu_tai!$D$17)))),0)</f>
        <v/>
      </c>
      <c r="K189">
        <f>MAX(0,K188+(J189+J188)/2*Phu_tai!$D$39)</f>
        <v/>
      </c>
      <c r="L189">
        <f>IF(AND(K189&lt;0.0001,J189=0,I189&gt;0),0,Phu_tai!$D$12+Phu_tai!$D$24*J189/Params!$D$26)</f>
        <v/>
      </c>
      <c r="M189">
        <f>IF(AND(K189&lt;0.0001,J189=0,I189&gt;0),0,Phu_tai!$D$13+Phu_tai!$D$25*J189/Params!$D$26)</f>
        <v/>
      </c>
    </row>
    <row r="190">
      <c r="I190">
        <f>188*Phu_tai!$D$39</f>
        <v/>
      </c>
      <c r="J190">
        <f>IF(I190&lt;Phu_tai!$D$15,Params!$D$27*I190,IF(I190&lt;Phu_tai!$D$15+Phu_tai!$D$17,Params!$D$26,IF(I190&lt;Phu_tai!$D$18,Params!$D$26-Params!$D$27*(I190-Phu_tai!$D$15-Phu_tai!$D$17),0)))+IF(AND((I190-Phu_tai!$D$18-Phu_tai!$D$40)&gt;=0,(I190-Phu_tai!$D$18-Phu_tai!$D$40)&lt;Phu_tai!$D$18),-(IF((I190-Phu_tai!$D$18-Phu_tai!$D$40)&lt;Phu_tai!$D$15,Params!$D$27*(I190-Phu_tai!$D$18-Phu_tai!$D$40),IF((I190-Phu_tai!$D$18-Phu_tai!$D$40)&lt;Phu_tai!$D$15+Phu_tai!$D$17,Params!$D$26,Params!$D$26-Params!$D$27*((I190-Phu_tai!$D$18-Phu_tai!$D$40)-Phu_tai!$D$15-Phu_tai!$D$17)))),0)</f>
        <v/>
      </c>
      <c r="K190">
        <f>MAX(0,K189+(J190+J189)/2*Phu_tai!$D$39)</f>
        <v/>
      </c>
      <c r="L190">
        <f>IF(AND(K190&lt;0.0001,J190=0,I190&gt;0),0,Phu_tai!$D$12+Phu_tai!$D$24*J190/Params!$D$26)</f>
        <v/>
      </c>
      <c r="M190">
        <f>IF(AND(K190&lt;0.0001,J190=0,I190&gt;0),0,Phu_tai!$D$13+Phu_tai!$D$25*J190/Params!$D$26)</f>
        <v/>
      </c>
    </row>
    <row r="191">
      <c r="I191">
        <f>189*Phu_tai!$D$39</f>
        <v/>
      </c>
      <c r="J191">
        <f>IF(I191&lt;Phu_tai!$D$15,Params!$D$27*I191,IF(I191&lt;Phu_tai!$D$15+Phu_tai!$D$17,Params!$D$26,IF(I191&lt;Phu_tai!$D$18,Params!$D$26-Params!$D$27*(I191-Phu_tai!$D$15-Phu_tai!$D$17),0)))+IF(AND((I191-Phu_tai!$D$18-Phu_tai!$D$40)&gt;=0,(I191-Phu_tai!$D$18-Phu_tai!$D$40)&lt;Phu_tai!$D$18),-(IF((I191-Phu_tai!$D$18-Phu_tai!$D$40)&lt;Phu_tai!$D$15,Params!$D$27*(I191-Phu_tai!$D$18-Phu_tai!$D$40),IF((I191-Phu_tai!$D$18-Phu_tai!$D$40)&lt;Phu_tai!$D$15+Phu_tai!$D$17,Params!$D$26,Params!$D$26-Params!$D$27*((I191-Phu_tai!$D$18-Phu_tai!$D$40)-Phu_tai!$D$15-Phu_tai!$D$17)))),0)</f>
        <v/>
      </c>
      <c r="K191">
        <f>MAX(0,K190+(J191+J190)/2*Phu_tai!$D$39)</f>
        <v/>
      </c>
      <c r="L191">
        <f>IF(AND(K191&lt;0.0001,J191=0,I191&gt;0),0,Phu_tai!$D$12+Phu_tai!$D$24*J191/Params!$D$26)</f>
        <v/>
      </c>
      <c r="M191">
        <f>IF(AND(K191&lt;0.0001,J191=0,I191&gt;0),0,Phu_tai!$D$13+Phu_tai!$D$25*J191/Params!$D$26)</f>
        <v/>
      </c>
    </row>
    <row r="192">
      <c r="I192">
        <f>190*Phu_tai!$D$39</f>
        <v/>
      </c>
      <c r="J192">
        <f>IF(I192&lt;Phu_tai!$D$15,Params!$D$27*I192,IF(I192&lt;Phu_tai!$D$15+Phu_tai!$D$17,Params!$D$26,IF(I192&lt;Phu_tai!$D$18,Params!$D$26-Params!$D$27*(I192-Phu_tai!$D$15-Phu_tai!$D$17),0)))+IF(AND((I192-Phu_tai!$D$18-Phu_tai!$D$40)&gt;=0,(I192-Phu_tai!$D$18-Phu_tai!$D$40)&lt;Phu_tai!$D$18),-(IF((I192-Phu_tai!$D$18-Phu_tai!$D$40)&lt;Phu_tai!$D$15,Params!$D$27*(I192-Phu_tai!$D$18-Phu_tai!$D$40),IF((I192-Phu_tai!$D$18-Phu_tai!$D$40)&lt;Phu_tai!$D$15+Phu_tai!$D$17,Params!$D$26,Params!$D$26-Params!$D$27*((I192-Phu_tai!$D$18-Phu_tai!$D$40)-Phu_tai!$D$15-Phu_tai!$D$17)))),0)</f>
        <v/>
      </c>
      <c r="K192">
        <f>MAX(0,K191+(J192+J191)/2*Phu_tai!$D$39)</f>
        <v/>
      </c>
      <c r="L192">
        <f>IF(AND(K192&lt;0.0001,J192=0,I192&gt;0),0,Phu_tai!$D$12+Phu_tai!$D$24*J192/Params!$D$26)</f>
        <v/>
      </c>
      <c r="M192">
        <f>IF(AND(K192&lt;0.0001,J192=0,I192&gt;0),0,Phu_tai!$D$13+Phu_tai!$D$25*J192/Params!$D$26)</f>
        <v/>
      </c>
    </row>
    <row r="193">
      <c r="I193">
        <f>191*Phu_tai!$D$39</f>
        <v/>
      </c>
      <c r="J193">
        <f>IF(I193&lt;Phu_tai!$D$15,Params!$D$27*I193,IF(I193&lt;Phu_tai!$D$15+Phu_tai!$D$17,Params!$D$26,IF(I193&lt;Phu_tai!$D$18,Params!$D$26-Params!$D$27*(I193-Phu_tai!$D$15-Phu_tai!$D$17),0)))+IF(AND((I193-Phu_tai!$D$18-Phu_tai!$D$40)&gt;=0,(I193-Phu_tai!$D$18-Phu_tai!$D$40)&lt;Phu_tai!$D$18),-(IF((I193-Phu_tai!$D$18-Phu_tai!$D$40)&lt;Phu_tai!$D$15,Params!$D$27*(I193-Phu_tai!$D$18-Phu_tai!$D$40),IF((I193-Phu_tai!$D$18-Phu_tai!$D$40)&lt;Phu_tai!$D$15+Phu_tai!$D$17,Params!$D$26,Params!$D$26-Params!$D$27*((I193-Phu_tai!$D$18-Phu_tai!$D$40)-Phu_tai!$D$15-Phu_tai!$D$17)))),0)</f>
        <v/>
      </c>
      <c r="K193">
        <f>MAX(0,K192+(J193+J192)/2*Phu_tai!$D$39)</f>
        <v/>
      </c>
      <c r="L193">
        <f>IF(AND(K193&lt;0.0001,J193=0,I193&gt;0),0,Phu_tai!$D$12+Phu_tai!$D$24*J193/Params!$D$26)</f>
        <v/>
      </c>
      <c r="M193">
        <f>IF(AND(K193&lt;0.0001,J193=0,I193&gt;0),0,Phu_tai!$D$13+Phu_tai!$D$25*J193/Params!$D$26)</f>
        <v/>
      </c>
    </row>
    <row r="194">
      <c r="I194">
        <f>192*Phu_tai!$D$39</f>
        <v/>
      </c>
      <c r="J194">
        <f>IF(I194&lt;Phu_tai!$D$15,Params!$D$27*I194,IF(I194&lt;Phu_tai!$D$15+Phu_tai!$D$17,Params!$D$26,IF(I194&lt;Phu_tai!$D$18,Params!$D$26-Params!$D$27*(I194-Phu_tai!$D$15-Phu_tai!$D$17),0)))+IF(AND((I194-Phu_tai!$D$18-Phu_tai!$D$40)&gt;=0,(I194-Phu_tai!$D$18-Phu_tai!$D$40)&lt;Phu_tai!$D$18),-(IF((I194-Phu_tai!$D$18-Phu_tai!$D$40)&lt;Phu_tai!$D$15,Params!$D$27*(I194-Phu_tai!$D$18-Phu_tai!$D$40),IF((I194-Phu_tai!$D$18-Phu_tai!$D$40)&lt;Phu_tai!$D$15+Phu_tai!$D$17,Params!$D$26,Params!$D$26-Params!$D$27*((I194-Phu_tai!$D$18-Phu_tai!$D$40)-Phu_tai!$D$15-Phu_tai!$D$17)))),0)</f>
        <v/>
      </c>
      <c r="K194">
        <f>MAX(0,K193+(J194+J193)/2*Phu_tai!$D$39)</f>
        <v/>
      </c>
      <c r="L194">
        <f>IF(AND(K194&lt;0.0001,J194=0,I194&gt;0),0,Phu_tai!$D$12+Phu_tai!$D$24*J194/Params!$D$26)</f>
        <v/>
      </c>
      <c r="M194">
        <f>IF(AND(K194&lt;0.0001,J194=0,I194&gt;0),0,Phu_tai!$D$13+Phu_tai!$D$25*J194/Params!$D$26)</f>
        <v/>
      </c>
    </row>
    <row r="195">
      <c r="I195">
        <f>193*Phu_tai!$D$39</f>
        <v/>
      </c>
      <c r="J195">
        <f>IF(I195&lt;Phu_tai!$D$15,Params!$D$27*I195,IF(I195&lt;Phu_tai!$D$15+Phu_tai!$D$17,Params!$D$26,IF(I195&lt;Phu_tai!$D$18,Params!$D$26-Params!$D$27*(I195-Phu_tai!$D$15-Phu_tai!$D$17),0)))+IF(AND((I195-Phu_tai!$D$18-Phu_tai!$D$40)&gt;=0,(I195-Phu_tai!$D$18-Phu_tai!$D$40)&lt;Phu_tai!$D$18),-(IF((I195-Phu_tai!$D$18-Phu_tai!$D$40)&lt;Phu_tai!$D$15,Params!$D$27*(I195-Phu_tai!$D$18-Phu_tai!$D$40),IF((I195-Phu_tai!$D$18-Phu_tai!$D$40)&lt;Phu_tai!$D$15+Phu_tai!$D$17,Params!$D$26,Params!$D$26-Params!$D$27*((I195-Phu_tai!$D$18-Phu_tai!$D$40)-Phu_tai!$D$15-Phu_tai!$D$17)))),0)</f>
        <v/>
      </c>
      <c r="K195">
        <f>MAX(0,K194+(J195+J194)/2*Phu_tai!$D$39)</f>
        <v/>
      </c>
      <c r="L195">
        <f>IF(AND(K195&lt;0.0001,J195=0,I195&gt;0),0,Phu_tai!$D$12+Phu_tai!$D$24*J195/Params!$D$26)</f>
        <v/>
      </c>
      <c r="M195">
        <f>IF(AND(K195&lt;0.0001,J195=0,I195&gt;0),0,Phu_tai!$D$13+Phu_tai!$D$25*J195/Params!$D$26)</f>
        <v/>
      </c>
    </row>
    <row r="196">
      <c r="I196">
        <f>194*Phu_tai!$D$39</f>
        <v/>
      </c>
      <c r="J196">
        <f>IF(I196&lt;Phu_tai!$D$15,Params!$D$27*I196,IF(I196&lt;Phu_tai!$D$15+Phu_tai!$D$17,Params!$D$26,IF(I196&lt;Phu_tai!$D$18,Params!$D$26-Params!$D$27*(I196-Phu_tai!$D$15-Phu_tai!$D$17),0)))+IF(AND((I196-Phu_tai!$D$18-Phu_tai!$D$40)&gt;=0,(I196-Phu_tai!$D$18-Phu_tai!$D$40)&lt;Phu_tai!$D$18),-(IF((I196-Phu_tai!$D$18-Phu_tai!$D$40)&lt;Phu_tai!$D$15,Params!$D$27*(I196-Phu_tai!$D$18-Phu_tai!$D$40),IF((I196-Phu_tai!$D$18-Phu_tai!$D$40)&lt;Phu_tai!$D$15+Phu_tai!$D$17,Params!$D$26,Params!$D$26-Params!$D$27*((I196-Phu_tai!$D$18-Phu_tai!$D$40)-Phu_tai!$D$15-Phu_tai!$D$17)))),0)</f>
        <v/>
      </c>
      <c r="K196">
        <f>MAX(0,K195+(J196+J195)/2*Phu_tai!$D$39)</f>
        <v/>
      </c>
      <c r="L196">
        <f>IF(AND(K196&lt;0.0001,J196=0,I196&gt;0),0,Phu_tai!$D$12+Phu_tai!$D$24*J196/Params!$D$26)</f>
        <v/>
      </c>
      <c r="M196">
        <f>IF(AND(K196&lt;0.0001,J196=0,I196&gt;0),0,Phu_tai!$D$13+Phu_tai!$D$25*J196/Params!$D$26)</f>
        <v/>
      </c>
    </row>
    <row r="197">
      <c r="I197">
        <f>195*Phu_tai!$D$39</f>
        <v/>
      </c>
      <c r="J197">
        <f>IF(I197&lt;Phu_tai!$D$15,Params!$D$27*I197,IF(I197&lt;Phu_tai!$D$15+Phu_tai!$D$17,Params!$D$26,IF(I197&lt;Phu_tai!$D$18,Params!$D$26-Params!$D$27*(I197-Phu_tai!$D$15-Phu_tai!$D$17),0)))+IF(AND((I197-Phu_tai!$D$18-Phu_tai!$D$40)&gt;=0,(I197-Phu_tai!$D$18-Phu_tai!$D$40)&lt;Phu_tai!$D$18),-(IF((I197-Phu_tai!$D$18-Phu_tai!$D$40)&lt;Phu_tai!$D$15,Params!$D$27*(I197-Phu_tai!$D$18-Phu_tai!$D$40),IF((I197-Phu_tai!$D$18-Phu_tai!$D$40)&lt;Phu_tai!$D$15+Phu_tai!$D$17,Params!$D$26,Params!$D$26-Params!$D$27*((I197-Phu_tai!$D$18-Phu_tai!$D$40)-Phu_tai!$D$15-Phu_tai!$D$17)))),0)</f>
        <v/>
      </c>
      <c r="K197">
        <f>MAX(0,K196+(J197+J196)/2*Phu_tai!$D$39)</f>
        <v/>
      </c>
      <c r="L197">
        <f>IF(AND(K197&lt;0.0001,J197=0,I197&gt;0),0,Phu_tai!$D$12+Phu_tai!$D$24*J197/Params!$D$26)</f>
        <v/>
      </c>
      <c r="M197">
        <f>IF(AND(K197&lt;0.0001,J197=0,I197&gt;0),0,Phu_tai!$D$13+Phu_tai!$D$25*J197/Params!$D$26)</f>
        <v/>
      </c>
    </row>
    <row r="198">
      <c r="I198">
        <f>196*Phu_tai!$D$39</f>
        <v/>
      </c>
      <c r="J198">
        <f>IF(I198&lt;Phu_tai!$D$15,Params!$D$27*I198,IF(I198&lt;Phu_tai!$D$15+Phu_tai!$D$17,Params!$D$26,IF(I198&lt;Phu_tai!$D$18,Params!$D$26-Params!$D$27*(I198-Phu_tai!$D$15-Phu_tai!$D$17),0)))+IF(AND((I198-Phu_tai!$D$18-Phu_tai!$D$40)&gt;=0,(I198-Phu_tai!$D$18-Phu_tai!$D$40)&lt;Phu_tai!$D$18),-(IF((I198-Phu_tai!$D$18-Phu_tai!$D$40)&lt;Phu_tai!$D$15,Params!$D$27*(I198-Phu_tai!$D$18-Phu_tai!$D$40),IF((I198-Phu_tai!$D$18-Phu_tai!$D$40)&lt;Phu_tai!$D$15+Phu_tai!$D$17,Params!$D$26,Params!$D$26-Params!$D$27*((I198-Phu_tai!$D$18-Phu_tai!$D$40)-Phu_tai!$D$15-Phu_tai!$D$17)))),0)</f>
        <v/>
      </c>
      <c r="K198">
        <f>MAX(0,K197+(J198+J197)/2*Phu_tai!$D$39)</f>
        <v/>
      </c>
      <c r="L198">
        <f>IF(AND(K198&lt;0.0001,J198=0,I198&gt;0),0,Phu_tai!$D$12+Phu_tai!$D$24*J198/Params!$D$26)</f>
        <v/>
      </c>
      <c r="M198">
        <f>IF(AND(K198&lt;0.0001,J198=0,I198&gt;0),0,Phu_tai!$D$13+Phu_tai!$D$25*J198/Params!$D$26)</f>
        <v/>
      </c>
    </row>
    <row r="199">
      <c r="I199">
        <f>197*Phu_tai!$D$39</f>
        <v/>
      </c>
      <c r="J199">
        <f>IF(I199&lt;Phu_tai!$D$15,Params!$D$27*I199,IF(I199&lt;Phu_tai!$D$15+Phu_tai!$D$17,Params!$D$26,IF(I199&lt;Phu_tai!$D$18,Params!$D$26-Params!$D$27*(I199-Phu_tai!$D$15-Phu_tai!$D$17),0)))+IF(AND((I199-Phu_tai!$D$18-Phu_tai!$D$40)&gt;=0,(I199-Phu_tai!$D$18-Phu_tai!$D$40)&lt;Phu_tai!$D$18),-(IF((I199-Phu_tai!$D$18-Phu_tai!$D$40)&lt;Phu_tai!$D$15,Params!$D$27*(I199-Phu_tai!$D$18-Phu_tai!$D$40),IF((I199-Phu_tai!$D$18-Phu_tai!$D$40)&lt;Phu_tai!$D$15+Phu_tai!$D$17,Params!$D$26,Params!$D$26-Params!$D$27*((I199-Phu_tai!$D$18-Phu_tai!$D$40)-Phu_tai!$D$15-Phu_tai!$D$17)))),0)</f>
        <v/>
      </c>
      <c r="K199">
        <f>MAX(0,K198+(J199+J198)/2*Phu_tai!$D$39)</f>
        <v/>
      </c>
      <c r="L199">
        <f>IF(AND(K199&lt;0.0001,J199=0,I199&gt;0),0,Phu_tai!$D$12+Phu_tai!$D$24*J199/Params!$D$26)</f>
        <v/>
      </c>
      <c r="M199">
        <f>IF(AND(K199&lt;0.0001,J199=0,I199&gt;0),0,Phu_tai!$D$13+Phu_tai!$D$25*J199/Params!$D$26)</f>
        <v/>
      </c>
    </row>
    <row r="200">
      <c r="I200">
        <f>198*Phu_tai!$D$39</f>
        <v/>
      </c>
      <c r="J200">
        <f>IF(I200&lt;Phu_tai!$D$15,Params!$D$27*I200,IF(I200&lt;Phu_tai!$D$15+Phu_tai!$D$17,Params!$D$26,IF(I200&lt;Phu_tai!$D$18,Params!$D$26-Params!$D$27*(I200-Phu_tai!$D$15-Phu_tai!$D$17),0)))+IF(AND((I200-Phu_tai!$D$18-Phu_tai!$D$40)&gt;=0,(I200-Phu_tai!$D$18-Phu_tai!$D$40)&lt;Phu_tai!$D$18),-(IF((I200-Phu_tai!$D$18-Phu_tai!$D$40)&lt;Phu_tai!$D$15,Params!$D$27*(I200-Phu_tai!$D$18-Phu_tai!$D$40),IF((I200-Phu_tai!$D$18-Phu_tai!$D$40)&lt;Phu_tai!$D$15+Phu_tai!$D$17,Params!$D$26,Params!$D$26-Params!$D$27*((I200-Phu_tai!$D$18-Phu_tai!$D$40)-Phu_tai!$D$15-Phu_tai!$D$17)))),0)</f>
        <v/>
      </c>
      <c r="K200">
        <f>MAX(0,K199+(J200+J199)/2*Phu_tai!$D$39)</f>
        <v/>
      </c>
      <c r="L200">
        <f>IF(AND(K200&lt;0.0001,J200=0,I200&gt;0),0,Phu_tai!$D$12+Phu_tai!$D$24*J200/Params!$D$26)</f>
        <v/>
      </c>
      <c r="M200">
        <f>IF(AND(K200&lt;0.0001,J200=0,I200&gt;0),0,Phu_tai!$D$13+Phu_tai!$D$25*J200/Params!$D$26)</f>
        <v/>
      </c>
    </row>
    <row r="201">
      <c r="I201">
        <f>199*Phu_tai!$D$39</f>
        <v/>
      </c>
      <c r="J201">
        <f>IF(I201&lt;Phu_tai!$D$15,Params!$D$27*I201,IF(I201&lt;Phu_tai!$D$15+Phu_tai!$D$17,Params!$D$26,IF(I201&lt;Phu_tai!$D$18,Params!$D$26-Params!$D$27*(I201-Phu_tai!$D$15-Phu_tai!$D$17),0)))+IF(AND((I201-Phu_tai!$D$18-Phu_tai!$D$40)&gt;=0,(I201-Phu_tai!$D$18-Phu_tai!$D$40)&lt;Phu_tai!$D$18),-(IF((I201-Phu_tai!$D$18-Phu_tai!$D$40)&lt;Phu_tai!$D$15,Params!$D$27*(I201-Phu_tai!$D$18-Phu_tai!$D$40),IF((I201-Phu_tai!$D$18-Phu_tai!$D$40)&lt;Phu_tai!$D$15+Phu_tai!$D$17,Params!$D$26,Params!$D$26-Params!$D$27*((I201-Phu_tai!$D$18-Phu_tai!$D$40)-Phu_tai!$D$15-Phu_tai!$D$17)))),0)</f>
        <v/>
      </c>
      <c r="K201">
        <f>MAX(0,K200+(J201+J200)/2*Phu_tai!$D$39)</f>
        <v/>
      </c>
      <c r="L201">
        <f>IF(AND(K201&lt;0.0001,J201=0,I201&gt;0),0,Phu_tai!$D$12+Phu_tai!$D$24*J201/Params!$D$26)</f>
        <v/>
      </c>
      <c r="M201">
        <f>IF(AND(K201&lt;0.0001,J201=0,I201&gt;0),0,Phu_tai!$D$13+Phu_tai!$D$25*J201/Params!$D$26)</f>
        <v/>
      </c>
    </row>
    <row r="202">
      <c r="I202">
        <f>200*Phu_tai!$D$39</f>
        <v/>
      </c>
      <c r="J202">
        <f>IF(I202&lt;Phu_tai!$D$15,Params!$D$27*I202,IF(I202&lt;Phu_tai!$D$15+Phu_tai!$D$17,Params!$D$26,IF(I202&lt;Phu_tai!$D$18,Params!$D$26-Params!$D$27*(I202-Phu_tai!$D$15-Phu_tai!$D$17),0)))+IF(AND((I202-Phu_tai!$D$18-Phu_tai!$D$40)&gt;=0,(I202-Phu_tai!$D$18-Phu_tai!$D$40)&lt;Phu_tai!$D$18),-(IF((I202-Phu_tai!$D$18-Phu_tai!$D$40)&lt;Phu_tai!$D$15,Params!$D$27*(I202-Phu_tai!$D$18-Phu_tai!$D$40),IF((I202-Phu_tai!$D$18-Phu_tai!$D$40)&lt;Phu_tai!$D$15+Phu_tai!$D$17,Params!$D$26,Params!$D$26-Params!$D$27*((I202-Phu_tai!$D$18-Phu_tai!$D$40)-Phu_tai!$D$15-Phu_tai!$D$17)))),0)</f>
        <v/>
      </c>
      <c r="K202">
        <f>MAX(0,K201+(J202+J201)/2*Phu_tai!$D$39)</f>
        <v/>
      </c>
      <c r="L202">
        <f>IF(AND(K202&lt;0.0001,J202=0,I202&gt;0),0,Phu_tai!$D$12+Phu_tai!$D$24*J202/Params!$D$26)</f>
        <v/>
      </c>
      <c r="M202">
        <f>IF(AND(K202&lt;0.0001,J202=0,I202&gt;0),0,Phu_tai!$D$13+Phu_tai!$D$25*J202/Params!$D$26)</f>
        <v/>
      </c>
    </row>
    <row r="203">
      <c r="I203">
        <f>201*Phu_tai!$D$39</f>
        <v/>
      </c>
      <c r="J203">
        <f>IF(I203&lt;Phu_tai!$D$15,Params!$D$27*I203,IF(I203&lt;Phu_tai!$D$15+Phu_tai!$D$17,Params!$D$26,IF(I203&lt;Phu_tai!$D$18,Params!$D$26-Params!$D$27*(I203-Phu_tai!$D$15-Phu_tai!$D$17),0)))+IF(AND((I203-Phu_tai!$D$18-Phu_tai!$D$40)&gt;=0,(I203-Phu_tai!$D$18-Phu_tai!$D$40)&lt;Phu_tai!$D$18),-(IF((I203-Phu_tai!$D$18-Phu_tai!$D$40)&lt;Phu_tai!$D$15,Params!$D$27*(I203-Phu_tai!$D$18-Phu_tai!$D$40),IF((I203-Phu_tai!$D$18-Phu_tai!$D$40)&lt;Phu_tai!$D$15+Phu_tai!$D$17,Params!$D$26,Params!$D$26-Params!$D$27*((I203-Phu_tai!$D$18-Phu_tai!$D$40)-Phu_tai!$D$15-Phu_tai!$D$17)))),0)</f>
        <v/>
      </c>
      <c r="K203">
        <f>MAX(0,K202+(J203+J202)/2*Phu_tai!$D$39)</f>
        <v/>
      </c>
      <c r="L203">
        <f>IF(AND(K203&lt;0.0001,J203=0,I203&gt;0),0,Phu_tai!$D$12+Phu_tai!$D$24*J203/Params!$D$26)</f>
        <v/>
      </c>
      <c r="M203">
        <f>IF(AND(K203&lt;0.0001,J203=0,I203&gt;0),0,Phu_tai!$D$13+Phu_tai!$D$25*J203/Params!$D$26)</f>
        <v/>
      </c>
    </row>
    <row r="204">
      <c r="I204">
        <f>202*Phu_tai!$D$39</f>
        <v/>
      </c>
      <c r="J204">
        <f>IF(I204&lt;Phu_tai!$D$15,Params!$D$27*I204,IF(I204&lt;Phu_tai!$D$15+Phu_tai!$D$17,Params!$D$26,IF(I204&lt;Phu_tai!$D$18,Params!$D$26-Params!$D$27*(I204-Phu_tai!$D$15-Phu_tai!$D$17),0)))+IF(AND((I204-Phu_tai!$D$18-Phu_tai!$D$40)&gt;=0,(I204-Phu_tai!$D$18-Phu_tai!$D$40)&lt;Phu_tai!$D$18),-(IF((I204-Phu_tai!$D$18-Phu_tai!$D$40)&lt;Phu_tai!$D$15,Params!$D$27*(I204-Phu_tai!$D$18-Phu_tai!$D$40),IF((I204-Phu_tai!$D$18-Phu_tai!$D$40)&lt;Phu_tai!$D$15+Phu_tai!$D$17,Params!$D$26,Params!$D$26-Params!$D$27*((I204-Phu_tai!$D$18-Phu_tai!$D$40)-Phu_tai!$D$15-Phu_tai!$D$17)))),0)</f>
        <v/>
      </c>
      <c r="K204">
        <f>MAX(0,K203+(J204+J203)/2*Phu_tai!$D$39)</f>
        <v/>
      </c>
      <c r="L204">
        <f>IF(AND(K204&lt;0.0001,J204=0,I204&gt;0),0,Phu_tai!$D$12+Phu_tai!$D$24*J204/Params!$D$26)</f>
        <v/>
      </c>
      <c r="M204">
        <f>IF(AND(K204&lt;0.0001,J204=0,I204&gt;0),0,Phu_tai!$D$13+Phu_tai!$D$25*J204/Params!$D$26)</f>
        <v/>
      </c>
    </row>
    <row r="205">
      <c r="I205">
        <f>203*Phu_tai!$D$39</f>
        <v/>
      </c>
      <c r="J205">
        <f>IF(I205&lt;Phu_tai!$D$15,Params!$D$27*I205,IF(I205&lt;Phu_tai!$D$15+Phu_tai!$D$17,Params!$D$26,IF(I205&lt;Phu_tai!$D$18,Params!$D$26-Params!$D$27*(I205-Phu_tai!$D$15-Phu_tai!$D$17),0)))+IF(AND((I205-Phu_tai!$D$18-Phu_tai!$D$40)&gt;=0,(I205-Phu_tai!$D$18-Phu_tai!$D$40)&lt;Phu_tai!$D$18),-(IF((I205-Phu_tai!$D$18-Phu_tai!$D$40)&lt;Phu_tai!$D$15,Params!$D$27*(I205-Phu_tai!$D$18-Phu_tai!$D$40),IF((I205-Phu_tai!$D$18-Phu_tai!$D$40)&lt;Phu_tai!$D$15+Phu_tai!$D$17,Params!$D$26,Params!$D$26-Params!$D$27*((I205-Phu_tai!$D$18-Phu_tai!$D$40)-Phu_tai!$D$15-Phu_tai!$D$17)))),0)</f>
        <v/>
      </c>
      <c r="K205">
        <f>MAX(0,K204+(J205+J204)/2*Phu_tai!$D$39)</f>
        <v/>
      </c>
      <c r="L205">
        <f>IF(AND(K205&lt;0.0001,J205=0,I205&gt;0),0,Phu_tai!$D$12+Phu_tai!$D$24*J205/Params!$D$26)</f>
        <v/>
      </c>
      <c r="M205">
        <f>IF(AND(K205&lt;0.0001,J205=0,I205&gt;0),0,Phu_tai!$D$13+Phu_tai!$D$25*J205/Params!$D$26)</f>
        <v/>
      </c>
    </row>
    <row r="206">
      <c r="I206">
        <f>204*Phu_tai!$D$39</f>
        <v/>
      </c>
      <c r="J206">
        <f>IF(I206&lt;Phu_tai!$D$15,Params!$D$27*I206,IF(I206&lt;Phu_tai!$D$15+Phu_tai!$D$17,Params!$D$26,IF(I206&lt;Phu_tai!$D$18,Params!$D$26-Params!$D$27*(I206-Phu_tai!$D$15-Phu_tai!$D$17),0)))+IF(AND((I206-Phu_tai!$D$18-Phu_tai!$D$40)&gt;=0,(I206-Phu_tai!$D$18-Phu_tai!$D$40)&lt;Phu_tai!$D$18),-(IF((I206-Phu_tai!$D$18-Phu_tai!$D$40)&lt;Phu_tai!$D$15,Params!$D$27*(I206-Phu_tai!$D$18-Phu_tai!$D$40),IF((I206-Phu_tai!$D$18-Phu_tai!$D$40)&lt;Phu_tai!$D$15+Phu_tai!$D$17,Params!$D$26,Params!$D$26-Params!$D$27*((I206-Phu_tai!$D$18-Phu_tai!$D$40)-Phu_tai!$D$15-Phu_tai!$D$17)))),0)</f>
        <v/>
      </c>
      <c r="K206">
        <f>MAX(0,K205+(J206+J205)/2*Phu_tai!$D$39)</f>
        <v/>
      </c>
      <c r="L206">
        <f>IF(AND(K206&lt;0.0001,J206=0,I206&gt;0),0,Phu_tai!$D$12+Phu_tai!$D$24*J206/Params!$D$26)</f>
        <v/>
      </c>
      <c r="M206">
        <f>IF(AND(K206&lt;0.0001,J206=0,I206&gt;0),0,Phu_tai!$D$13+Phu_tai!$D$25*J206/Params!$D$26)</f>
        <v/>
      </c>
    </row>
    <row r="207">
      <c r="I207">
        <f>205*Phu_tai!$D$39</f>
        <v/>
      </c>
      <c r="J207">
        <f>IF(I207&lt;Phu_tai!$D$15,Params!$D$27*I207,IF(I207&lt;Phu_tai!$D$15+Phu_tai!$D$17,Params!$D$26,IF(I207&lt;Phu_tai!$D$18,Params!$D$26-Params!$D$27*(I207-Phu_tai!$D$15-Phu_tai!$D$17),0)))+IF(AND((I207-Phu_tai!$D$18-Phu_tai!$D$40)&gt;=0,(I207-Phu_tai!$D$18-Phu_tai!$D$40)&lt;Phu_tai!$D$18),-(IF((I207-Phu_tai!$D$18-Phu_tai!$D$40)&lt;Phu_tai!$D$15,Params!$D$27*(I207-Phu_tai!$D$18-Phu_tai!$D$40),IF((I207-Phu_tai!$D$18-Phu_tai!$D$40)&lt;Phu_tai!$D$15+Phu_tai!$D$17,Params!$D$26,Params!$D$26-Params!$D$27*((I207-Phu_tai!$D$18-Phu_tai!$D$40)-Phu_tai!$D$15-Phu_tai!$D$17)))),0)</f>
        <v/>
      </c>
      <c r="K207">
        <f>MAX(0,K206+(J207+J206)/2*Phu_tai!$D$39)</f>
        <v/>
      </c>
      <c r="L207">
        <f>IF(AND(K207&lt;0.0001,J207=0,I207&gt;0),0,Phu_tai!$D$12+Phu_tai!$D$24*J207/Params!$D$26)</f>
        <v/>
      </c>
      <c r="M207">
        <f>IF(AND(K207&lt;0.0001,J207=0,I207&gt;0),0,Phu_tai!$D$13+Phu_tai!$D$25*J207/Params!$D$26)</f>
        <v/>
      </c>
    </row>
    <row r="208">
      <c r="I208">
        <f>206*Phu_tai!$D$39</f>
        <v/>
      </c>
      <c r="J208">
        <f>IF(I208&lt;Phu_tai!$D$15,Params!$D$27*I208,IF(I208&lt;Phu_tai!$D$15+Phu_tai!$D$17,Params!$D$26,IF(I208&lt;Phu_tai!$D$18,Params!$D$26-Params!$D$27*(I208-Phu_tai!$D$15-Phu_tai!$D$17),0)))+IF(AND((I208-Phu_tai!$D$18-Phu_tai!$D$40)&gt;=0,(I208-Phu_tai!$D$18-Phu_tai!$D$40)&lt;Phu_tai!$D$18),-(IF((I208-Phu_tai!$D$18-Phu_tai!$D$40)&lt;Phu_tai!$D$15,Params!$D$27*(I208-Phu_tai!$D$18-Phu_tai!$D$40),IF((I208-Phu_tai!$D$18-Phu_tai!$D$40)&lt;Phu_tai!$D$15+Phu_tai!$D$17,Params!$D$26,Params!$D$26-Params!$D$27*((I208-Phu_tai!$D$18-Phu_tai!$D$40)-Phu_tai!$D$15-Phu_tai!$D$17)))),0)</f>
        <v/>
      </c>
      <c r="K208">
        <f>MAX(0,K207+(J208+J207)/2*Phu_tai!$D$39)</f>
        <v/>
      </c>
      <c r="L208">
        <f>IF(AND(K208&lt;0.0001,J208=0,I208&gt;0),0,Phu_tai!$D$12+Phu_tai!$D$24*J208/Params!$D$26)</f>
        <v/>
      </c>
      <c r="M208">
        <f>IF(AND(K208&lt;0.0001,J208=0,I208&gt;0),0,Phu_tai!$D$13+Phu_tai!$D$25*J208/Params!$D$26)</f>
        <v/>
      </c>
    </row>
    <row r="209">
      <c r="I209">
        <f>207*Phu_tai!$D$39</f>
        <v/>
      </c>
      <c r="J209">
        <f>IF(I209&lt;Phu_tai!$D$15,Params!$D$27*I209,IF(I209&lt;Phu_tai!$D$15+Phu_tai!$D$17,Params!$D$26,IF(I209&lt;Phu_tai!$D$18,Params!$D$26-Params!$D$27*(I209-Phu_tai!$D$15-Phu_tai!$D$17),0)))+IF(AND((I209-Phu_tai!$D$18-Phu_tai!$D$40)&gt;=0,(I209-Phu_tai!$D$18-Phu_tai!$D$40)&lt;Phu_tai!$D$18),-(IF((I209-Phu_tai!$D$18-Phu_tai!$D$40)&lt;Phu_tai!$D$15,Params!$D$27*(I209-Phu_tai!$D$18-Phu_tai!$D$40),IF((I209-Phu_tai!$D$18-Phu_tai!$D$40)&lt;Phu_tai!$D$15+Phu_tai!$D$17,Params!$D$26,Params!$D$26-Params!$D$27*((I209-Phu_tai!$D$18-Phu_tai!$D$40)-Phu_tai!$D$15-Phu_tai!$D$17)))),0)</f>
        <v/>
      </c>
      <c r="K209">
        <f>MAX(0,K208+(J209+J208)/2*Phu_tai!$D$39)</f>
        <v/>
      </c>
      <c r="L209">
        <f>IF(AND(K209&lt;0.0001,J209=0,I209&gt;0),0,Phu_tai!$D$12+Phu_tai!$D$24*J209/Params!$D$26)</f>
        <v/>
      </c>
      <c r="M209">
        <f>IF(AND(K209&lt;0.0001,J209=0,I209&gt;0),0,Phu_tai!$D$13+Phu_tai!$D$25*J209/Params!$D$26)</f>
        <v/>
      </c>
    </row>
    <row r="210">
      <c r="I210">
        <f>208*Phu_tai!$D$39</f>
        <v/>
      </c>
      <c r="J210">
        <f>IF(I210&lt;Phu_tai!$D$15,Params!$D$27*I210,IF(I210&lt;Phu_tai!$D$15+Phu_tai!$D$17,Params!$D$26,IF(I210&lt;Phu_tai!$D$18,Params!$D$26-Params!$D$27*(I210-Phu_tai!$D$15-Phu_tai!$D$17),0)))+IF(AND((I210-Phu_tai!$D$18-Phu_tai!$D$40)&gt;=0,(I210-Phu_tai!$D$18-Phu_tai!$D$40)&lt;Phu_tai!$D$18),-(IF((I210-Phu_tai!$D$18-Phu_tai!$D$40)&lt;Phu_tai!$D$15,Params!$D$27*(I210-Phu_tai!$D$18-Phu_tai!$D$40),IF((I210-Phu_tai!$D$18-Phu_tai!$D$40)&lt;Phu_tai!$D$15+Phu_tai!$D$17,Params!$D$26,Params!$D$26-Params!$D$27*((I210-Phu_tai!$D$18-Phu_tai!$D$40)-Phu_tai!$D$15-Phu_tai!$D$17)))),0)</f>
        <v/>
      </c>
      <c r="K210">
        <f>MAX(0,K209+(J210+J209)/2*Phu_tai!$D$39)</f>
        <v/>
      </c>
      <c r="L210">
        <f>IF(AND(K210&lt;0.0001,J210=0,I210&gt;0),0,Phu_tai!$D$12+Phu_tai!$D$24*J210/Params!$D$26)</f>
        <v/>
      </c>
      <c r="M210">
        <f>IF(AND(K210&lt;0.0001,J210=0,I210&gt;0),0,Phu_tai!$D$13+Phu_tai!$D$25*J210/Params!$D$26)</f>
        <v/>
      </c>
    </row>
    <row r="211">
      <c r="I211">
        <f>209*Phu_tai!$D$39</f>
        <v/>
      </c>
      <c r="J211">
        <f>IF(I211&lt;Phu_tai!$D$15,Params!$D$27*I211,IF(I211&lt;Phu_tai!$D$15+Phu_tai!$D$17,Params!$D$26,IF(I211&lt;Phu_tai!$D$18,Params!$D$26-Params!$D$27*(I211-Phu_tai!$D$15-Phu_tai!$D$17),0)))+IF(AND((I211-Phu_tai!$D$18-Phu_tai!$D$40)&gt;=0,(I211-Phu_tai!$D$18-Phu_tai!$D$40)&lt;Phu_tai!$D$18),-(IF((I211-Phu_tai!$D$18-Phu_tai!$D$40)&lt;Phu_tai!$D$15,Params!$D$27*(I211-Phu_tai!$D$18-Phu_tai!$D$40),IF((I211-Phu_tai!$D$18-Phu_tai!$D$40)&lt;Phu_tai!$D$15+Phu_tai!$D$17,Params!$D$26,Params!$D$26-Params!$D$27*((I211-Phu_tai!$D$18-Phu_tai!$D$40)-Phu_tai!$D$15-Phu_tai!$D$17)))),0)</f>
        <v/>
      </c>
      <c r="K211">
        <f>MAX(0,K210+(J211+J210)/2*Phu_tai!$D$39)</f>
        <v/>
      </c>
      <c r="L211">
        <f>IF(AND(K211&lt;0.0001,J211=0,I211&gt;0),0,Phu_tai!$D$12+Phu_tai!$D$24*J211/Params!$D$26)</f>
        <v/>
      </c>
      <c r="M211">
        <f>IF(AND(K211&lt;0.0001,J211=0,I211&gt;0),0,Phu_tai!$D$13+Phu_tai!$D$25*J211/Params!$D$26)</f>
        <v/>
      </c>
    </row>
    <row r="212">
      <c r="I212">
        <f>210*Phu_tai!$D$39</f>
        <v/>
      </c>
      <c r="J212">
        <f>IF(I212&lt;Phu_tai!$D$15,Params!$D$27*I212,IF(I212&lt;Phu_tai!$D$15+Phu_tai!$D$17,Params!$D$26,IF(I212&lt;Phu_tai!$D$18,Params!$D$26-Params!$D$27*(I212-Phu_tai!$D$15-Phu_tai!$D$17),0)))+IF(AND((I212-Phu_tai!$D$18-Phu_tai!$D$40)&gt;=0,(I212-Phu_tai!$D$18-Phu_tai!$D$40)&lt;Phu_tai!$D$18),-(IF((I212-Phu_tai!$D$18-Phu_tai!$D$40)&lt;Phu_tai!$D$15,Params!$D$27*(I212-Phu_tai!$D$18-Phu_tai!$D$40),IF((I212-Phu_tai!$D$18-Phu_tai!$D$40)&lt;Phu_tai!$D$15+Phu_tai!$D$17,Params!$D$26,Params!$D$26-Params!$D$27*((I212-Phu_tai!$D$18-Phu_tai!$D$40)-Phu_tai!$D$15-Phu_tai!$D$17)))),0)</f>
        <v/>
      </c>
      <c r="K212">
        <f>MAX(0,K211+(J212+J211)/2*Phu_tai!$D$39)</f>
        <v/>
      </c>
      <c r="L212">
        <f>IF(AND(K212&lt;0.0001,J212=0,I212&gt;0),0,Phu_tai!$D$12+Phu_tai!$D$24*J212/Params!$D$26)</f>
        <v/>
      </c>
      <c r="M212">
        <f>IF(AND(K212&lt;0.0001,J212=0,I212&gt;0),0,Phu_tai!$D$13+Phu_tai!$D$25*J212/Params!$D$26)</f>
        <v/>
      </c>
    </row>
    <row r="213">
      <c r="I213">
        <f>211*Phu_tai!$D$39</f>
        <v/>
      </c>
      <c r="J213">
        <f>IF(I213&lt;Phu_tai!$D$15,Params!$D$27*I213,IF(I213&lt;Phu_tai!$D$15+Phu_tai!$D$17,Params!$D$26,IF(I213&lt;Phu_tai!$D$18,Params!$D$26-Params!$D$27*(I213-Phu_tai!$D$15-Phu_tai!$D$17),0)))+IF(AND((I213-Phu_tai!$D$18-Phu_tai!$D$40)&gt;=0,(I213-Phu_tai!$D$18-Phu_tai!$D$40)&lt;Phu_tai!$D$18),-(IF((I213-Phu_tai!$D$18-Phu_tai!$D$40)&lt;Phu_tai!$D$15,Params!$D$27*(I213-Phu_tai!$D$18-Phu_tai!$D$40),IF((I213-Phu_tai!$D$18-Phu_tai!$D$40)&lt;Phu_tai!$D$15+Phu_tai!$D$17,Params!$D$26,Params!$D$26-Params!$D$27*((I213-Phu_tai!$D$18-Phu_tai!$D$40)-Phu_tai!$D$15-Phu_tai!$D$17)))),0)</f>
        <v/>
      </c>
      <c r="K213">
        <f>MAX(0,K212+(J213+J212)/2*Phu_tai!$D$39)</f>
        <v/>
      </c>
      <c r="L213">
        <f>IF(AND(K213&lt;0.0001,J213=0,I213&gt;0),0,Phu_tai!$D$12+Phu_tai!$D$24*J213/Params!$D$26)</f>
        <v/>
      </c>
      <c r="M213">
        <f>IF(AND(K213&lt;0.0001,J213=0,I213&gt;0),0,Phu_tai!$D$13+Phu_tai!$D$25*J213/Params!$D$26)</f>
        <v/>
      </c>
    </row>
    <row r="214">
      <c r="I214">
        <f>212*Phu_tai!$D$39</f>
        <v/>
      </c>
      <c r="J214">
        <f>IF(I214&lt;Phu_tai!$D$15,Params!$D$27*I214,IF(I214&lt;Phu_tai!$D$15+Phu_tai!$D$17,Params!$D$26,IF(I214&lt;Phu_tai!$D$18,Params!$D$26-Params!$D$27*(I214-Phu_tai!$D$15-Phu_tai!$D$17),0)))+IF(AND((I214-Phu_tai!$D$18-Phu_tai!$D$40)&gt;=0,(I214-Phu_tai!$D$18-Phu_tai!$D$40)&lt;Phu_tai!$D$18),-(IF((I214-Phu_tai!$D$18-Phu_tai!$D$40)&lt;Phu_tai!$D$15,Params!$D$27*(I214-Phu_tai!$D$18-Phu_tai!$D$40),IF((I214-Phu_tai!$D$18-Phu_tai!$D$40)&lt;Phu_tai!$D$15+Phu_tai!$D$17,Params!$D$26,Params!$D$26-Params!$D$27*((I214-Phu_tai!$D$18-Phu_tai!$D$40)-Phu_tai!$D$15-Phu_tai!$D$17)))),0)</f>
        <v/>
      </c>
      <c r="K214">
        <f>MAX(0,K213+(J214+J213)/2*Phu_tai!$D$39)</f>
        <v/>
      </c>
      <c r="L214">
        <f>IF(AND(K214&lt;0.0001,J214=0,I214&gt;0),0,Phu_tai!$D$12+Phu_tai!$D$24*J214/Params!$D$26)</f>
        <v/>
      </c>
      <c r="M214">
        <f>IF(AND(K214&lt;0.0001,J214=0,I214&gt;0),0,Phu_tai!$D$13+Phu_tai!$D$25*J214/Params!$D$26)</f>
        <v/>
      </c>
    </row>
    <row r="215">
      <c r="I215">
        <f>213*Phu_tai!$D$39</f>
        <v/>
      </c>
      <c r="J215">
        <f>IF(I215&lt;Phu_tai!$D$15,Params!$D$27*I215,IF(I215&lt;Phu_tai!$D$15+Phu_tai!$D$17,Params!$D$26,IF(I215&lt;Phu_tai!$D$18,Params!$D$26-Params!$D$27*(I215-Phu_tai!$D$15-Phu_tai!$D$17),0)))+IF(AND((I215-Phu_tai!$D$18-Phu_tai!$D$40)&gt;=0,(I215-Phu_tai!$D$18-Phu_tai!$D$40)&lt;Phu_tai!$D$18),-(IF((I215-Phu_tai!$D$18-Phu_tai!$D$40)&lt;Phu_tai!$D$15,Params!$D$27*(I215-Phu_tai!$D$18-Phu_tai!$D$40),IF((I215-Phu_tai!$D$18-Phu_tai!$D$40)&lt;Phu_tai!$D$15+Phu_tai!$D$17,Params!$D$26,Params!$D$26-Params!$D$27*((I215-Phu_tai!$D$18-Phu_tai!$D$40)-Phu_tai!$D$15-Phu_tai!$D$17)))),0)</f>
        <v/>
      </c>
      <c r="K215">
        <f>MAX(0,K214+(J215+J214)/2*Phu_tai!$D$39)</f>
        <v/>
      </c>
      <c r="L215">
        <f>IF(AND(K215&lt;0.0001,J215=0,I215&gt;0),0,Phu_tai!$D$12+Phu_tai!$D$24*J215/Params!$D$26)</f>
        <v/>
      </c>
      <c r="M215">
        <f>IF(AND(K215&lt;0.0001,J215=0,I215&gt;0),0,Phu_tai!$D$13+Phu_tai!$D$25*J215/Params!$D$26)</f>
        <v/>
      </c>
    </row>
    <row r="216">
      <c r="I216">
        <f>214*Phu_tai!$D$39</f>
        <v/>
      </c>
      <c r="J216">
        <f>IF(I216&lt;Phu_tai!$D$15,Params!$D$27*I216,IF(I216&lt;Phu_tai!$D$15+Phu_tai!$D$17,Params!$D$26,IF(I216&lt;Phu_tai!$D$18,Params!$D$26-Params!$D$27*(I216-Phu_tai!$D$15-Phu_tai!$D$17),0)))+IF(AND((I216-Phu_tai!$D$18-Phu_tai!$D$40)&gt;=0,(I216-Phu_tai!$D$18-Phu_tai!$D$40)&lt;Phu_tai!$D$18),-(IF((I216-Phu_tai!$D$18-Phu_tai!$D$40)&lt;Phu_tai!$D$15,Params!$D$27*(I216-Phu_tai!$D$18-Phu_tai!$D$40),IF((I216-Phu_tai!$D$18-Phu_tai!$D$40)&lt;Phu_tai!$D$15+Phu_tai!$D$17,Params!$D$26,Params!$D$26-Params!$D$27*((I216-Phu_tai!$D$18-Phu_tai!$D$40)-Phu_tai!$D$15-Phu_tai!$D$17)))),0)</f>
        <v/>
      </c>
      <c r="K216">
        <f>MAX(0,K215+(J216+J215)/2*Phu_tai!$D$39)</f>
        <v/>
      </c>
      <c r="L216">
        <f>IF(AND(K216&lt;0.0001,J216=0,I216&gt;0),0,Phu_tai!$D$12+Phu_tai!$D$24*J216/Params!$D$26)</f>
        <v/>
      </c>
      <c r="M216">
        <f>IF(AND(K216&lt;0.0001,J216=0,I216&gt;0),0,Phu_tai!$D$13+Phu_tai!$D$25*J216/Params!$D$26)</f>
        <v/>
      </c>
    </row>
    <row r="217">
      <c r="I217">
        <f>215*Phu_tai!$D$39</f>
        <v/>
      </c>
      <c r="J217">
        <f>IF(I217&lt;Phu_tai!$D$15,Params!$D$27*I217,IF(I217&lt;Phu_tai!$D$15+Phu_tai!$D$17,Params!$D$26,IF(I217&lt;Phu_tai!$D$18,Params!$D$26-Params!$D$27*(I217-Phu_tai!$D$15-Phu_tai!$D$17),0)))+IF(AND((I217-Phu_tai!$D$18-Phu_tai!$D$40)&gt;=0,(I217-Phu_tai!$D$18-Phu_tai!$D$40)&lt;Phu_tai!$D$18),-(IF((I217-Phu_tai!$D$18-Phu_tai!$D$40)&lt;Phu_tai!$D$15,Params!$D$27*(I217-Phu_tai!$D$18-Phu_tai!$D$40),IF((I217-Phu_tai!$D$18-Phu_tai!$D$40)&lt;Phu_tai!$D$15+Phu_tai!$D$17,Params!$D$26,Params!$D$26-Params!$D$27*((I217-Phu_tai!$D$18-Phu_tai!$D$40)-Phu_tai!$D$15-Phu_tai!$D$17)))),0)</f>
        <v/>
      </c>
      <c r="K217">
        <f>MAX(0,K216+(J217+J216)/2*Phu_tai!$D$39)</f>
        <v/>
      </c>
      <c r="L217">
        <f>IF(AND(K217&lt;0.0001,J217=0,I217&gt;0),0,Phu_tai!$D$12+Phu_tai!$D$24*J217/Params!$D$26)</f>
        <v/>
      </c>
      <c r="M217">
        <f>IF(AND(K217&lt;0.0001,J217=0,I217&gt;0),0,Phu_tai!$D$13+Phu_tai!$D$25*J217/Params!$D$26)</f>
        <v/>
      </c>
    </row>
    <row r="218">
      <c r="I218">
        <f>216*Phu_tai!$D$39</f>
        <v/>
      </c>
      <c r="J218">
        <f>IF(I218&lt;Phu_tai!$D$15,Params!$D$27*I218,IF(I218&lt;Phu_tai!$D$15+Phu_tai!$D$17,Params!$D$26,IF(I218&lt;Phu_tai!$D$18,Params!$D$26-Params!$D$27*(I218-Phu_tai!$D$15-Phu_tai!$D$17),0)))+IF(AND((I218-Phu_tai!$D$18-Phu_tai!$D$40)&gt;=0,(I218-Phu_tai!$D$18-Phu_tai!$D$40)&lt;Phu_tai!$D$18),-(IF((I218-Phu_tai!$D$18-Phu_tai!$D$40)&lt;Phu_tai!$D$15,Params!$D$27*(I218-Phu_tai!$D$18-Phu_tai!$D$40),IF((I218-Phu_tai!$D$18-Phu_tai!$D$40)&lt;Phu_tai!$D$15+Phu_tai!$D$17,Params!$D$26,Params!$D$26-Params!$D$27*((I218-Phu_tai!$D$18-Phu_tai!$D$40)-Phu_tai!$D$15-Phu_tai!$D$17)))),0)</f>
        <v/>
      </c>
      <c r="K218">
        <f>MAX(0,K217+(J218+J217)/2*Phu_tai!$D$39)</f>
        <v/>
      </c>
      <c r="L218">
        <f>IF(AND(K218&lt;0.0001,J218=0,I218&gt;0),0,Phu_tai!$D$12+Phu_tai!$D$24*J218/Params!$D$26)</f>
        <v/>
      </c>
      <c r="M218">
        <f>IF(AND(K218&lt;0.0001,J218=0,I218&gt;0),0,Phu_tai!$D$13+Phu_tai!$D$25*J218/Params!$D$26)</f>
        <v/>
      </c>
    </row>
    <row r="219">
      <c r="I219">
        <f>217*Phu_tai!$D$39</f>
        <v/>
      </c>
      <c r="J219">
        <f>IF(I219&lt;Phu_tai!$D$15,Params!$D$27*I219,IF(I219&lt;Phu_tai!$D$15+Phu_tai!$D$17,Params!$D$26,IF(I219&lt;Phu_tai!$D$18,Params!$D$26-Params!$D$27*(I219-Phu_tai!$D$15-Phu_tai!$D$17),0)))+IF(AND((I219-Phu_tai!$D$18-Phu_tai!$D$40)&gt;=0,(I219-Phu_tai!$D$18-Phu_tai!$D$40)&lt;Phu_tai!$D$18),-(IF((I219-Phu_tai!$D$18-Phu_tai!$D$40)&lt;Phu_tai!$D$15,Params!$D$27*(I219-Phu_tai!$D$18-Phu_tai!$D$40),IF((I219-Phu_tai!$D$18-Phu_tai!$D$40)&lt;Phu_tai!$D$15+Phu_tai!$D$17,Params!$D$26,Params!$D$26-Params!$D$27*((I219-Phu_tai!$D$18-Phu_tai!$D$40)-Phu_tai!$D$15-Phu_tai!$D$17)))),0)</f>
        <v/>
      </c>
      <c r="K219">
        <f>MAX(0,K218+(J219+J218)/2*Phu_tai!$D$39)</f>
        <v/>
      </c>
      <c r="L219">
        <f>IF(AND(K219&lt;0.0001,J219=0,I219&gt;0),0,Phu_tai!$D$12+Phu_tai!$D$24*J219/Params!$D$26)</f>
        <v/>
      </c>
      <c r="M219">
        <f>IF(AND(K219&lt;0.0001,J219=0,I219&gt;0),0,Phu_tai!$D$13+Phu_tai!$D$25*J219/Params!$D$26)</f>
        <v/>
      </c>
    </row>
    <row r="220">
      <c r="I220">
        <f>218*Phu_tai!$D$39</f>
        <v/>
      </c>
      <c r="J220">
        <f>IF(I220&lt;Phu_tai!$D$15,Params!$D$27*I220,IF(I220&lt;Phu_tai!$D$15+Phu_tai!$D$17,Params!$D$26,IF(I220&lt;Phu_tai!$D$18,Params!$D$26-Params!$D$27*(I220-Phu_tai!$D$15-Phu_tai!$D$17),0)))+IF(AND((I220-Phu_tai!$D$18-Phu_tai!$D$40)&gt;=0,(I220-Phu_tai!$D$18-Phu_tai!$D$40)&lt;Phu_tai!$D$18),-(IF((I220-Phu_tai!$D$18-Phu_tai!$D$40)&lt;Phu_tai!$D$15,Params!$D$27*(I220-Phu_tai!$D$18-Phu_tai!$D$40),IF((I220-Phu_tai!$D$18-Phu_tai!$D$40)&lt;Phu_tai!$D$15+Phu_tai!$D$17,Params!$D$26,Params!$D$26-Params!$D$27*((I220-Phu_tai!$D$18-Phu_tai!$D$40)-Phu_tai!$D$15-Phu_tai!$D$17)))),0)</f>
        <v/>
      </c>
      <c r="K220">
        <f>MAX(0,K219+(J220+J219)/2*Phu_tai!$D$39)</f>
        <v/>
      </c>
      <c r="L220">
        <f>IF(AND(K220&lt;0.0001,J220=0,I220&gt;0),0,Phu_tai!$D$12+Phu_tai!$D$24*J220/Params!$D$26)</f>
        <v/>
      </c>
      <c r="M220">
        <f>IF(AND(K220&lt;0.0001,J220=0,I220&gt;0),0,Phu_tai!$D$13+Phu_tai!$D$25*J220/Params!$D$26)</f>
        <v/>
      </c>
    </row>
    <row r="221">
      <c r="I221">
        <f>219*Phu_tai!$D$39</f>
        <v/>
      </c>
      <c r="J221">
        <f>IF(I221&lt;Phu_tai!$D$15,Params!$D$27*I221,IF(I221&lt;Phu_tai!$D$15+Phu_tai!$D$17,Params!$D$26,IF(I221&lt;Phu_tai!$D$18,Params!$D$26-Params!$D$27*(I221-Phu_tai!$D$15-Phu_tai!$D$17),0)))+IF(AND((I221-Phu_tai!$D$18-Phu_tai!$D$40)&gt;=0,(I221-Phu_tai!$D$18-Phu_tai!$D$40)&lt;Phu_tai!$D$18),-(IF((I221-Phu_tai!$D$18-Phu_tai!$D$40)&lt;Phu_tai!$D$15,Params!$D$27*(I221-Phu_tai!$D$18-Phu_tai!$D$40),IF((I221-Phu_tai!$D$18-Phu_tai!$D$40)&lt;Phu_tai!$D$15+Phu_tai!$D$17,Params!$D$26,Params!$D$26-Params!$D$27*((I221-Phu_tai!$D$18-Phu_tai!$D$40)-Phu_tai!$D$15-Phu_tai!$D$17)))),0)</f>
        <v/>
      </c>
      <c r="K221">
        <f>MAX(0,K220+(J221+J220)/2*Phu_tai!$D$39)</f>
        <v/>
      </c>
      <c r="L221">
        <f>IF(AND(K221&lt;0.0001,J221=0,I221&gt;0),0,Phu_tai!$D$12+Phu_tai!$D$24*J221/Params!$D$26)</f>
        <v/>
      </c>
      <c r="M221">
        <f>IF(AND(K221&lt;0.0001,J221=0,I221&gt;0),0,Phu_tai!$D$13+Phu_tai!$D$25*J221/Params!$D$26)</f>
        <v/>
      </c>
    </row>
    <row r="222">
      <c r="I222">
        <f>220*Phu_tai!$D$39</f>
        <v/>
      </c>
      <c r="J222">
        <f>IF(I222&lt;Phu_tai!$D$15,Params!$D$27*I222,IF(I222&lt;Phu_tai!$D$15+Phu_tai!$D$17,Params!$D$26,IF(I222&lt;Phu_tai!$D$18,Params!$D$26-Params!$D$27*(I222-Phu_tai!$D$15-Phu_tai!$D$17),0)))+IF(AND((I222-Phu_tai!$D$18-Phu_tai!$D$40)&gt;=0,(I222-Phu_tai!$D$18-Phu_tai!$D$40)&lt;Phu_tai!$D$18),-(IF((I222-Phu_tai!$D$18-Phu_tai!$D$40)&lt;Phu_tai!$D$15,Params!$D$27*(I222-Phu_tai!$D$18-Phu_tai!$D$40),IF((I222-Phu_tai!$D$18-Phu_tai!$D$40)&lt;Phu_tai!$D$15+Phu_tai!$D$17,Params!$D$26,Params!$D$26-Params!$D$27*((I222-Phu_tai!$D$18-Phu_tai!$D$40)-Phu_tai!$D$15-Phu_tai!$D$17)))),0)</f>
        <v/>
      </c>
      <c r="K222">
        <f>MAX(0,K221+(J222+J221)/2*Phu_tai!$D$39)</f>
        <v/>
      </c>
      <c r="L222">
        <f>IF(AND(K222&lt;0.0001,J222=0,I222&gt;0),0,Phu_tai!$D$12+Phu_tai!$D$24*J222/Params!$D$26)</f>
        <v/>
      </c>
      <c r="M222">
        <f>IF(AND(K222&lt;0.0001,J222=0,I222&gt;0),0,Phu_tai!$D$13+Phu_tai!$D$25*J222/Params!$D$26)</f>
        <v/>
      </c>
    </row>
    <row r="223">
      <c r="I223">
        <f>221*Phu_tai!$D$39</f>
        <v/>
      </c>
      <c r="J223">
        <f>IF(I223&lt;Phu_tai!$D$15,Params!$D$27*I223,IF(I223&lt;Phu_tai!$D$15+Phu_tai!$D$17,Params!$D$26,IF(I223&lt;Phu_tai!$D$18,Params!$D$26-Params!$D$27*(I223-Phu_tai!$D$15-Phu_tai!$D$17),0)))+IF(AND((I223-Phu_tai!$D$18-Phu_tai!$D$40)&gt;=0,(I223-Phu_tai!$D$18-Phu_tai!$D$40)&lt;Phu_tai!$D$18),-(IF((I223-Phu_tai!$D$18-Phu_tai!$D$40)&lt;Phu_tai!$D$15,Params!$D$27*(I223-Phu_tai!$D$18-Phu_tai!$D$40),IF((I223-Phu_tai!$D$18-Phu_tai!$D$40)&lt;Phu_tai!$D$15+Phu_tai!$D$17,Params!$D$26,Params!$D$26-Params!$D$27*((I223-Phu_tai!$D$18-Phu_tai!$D$40)-Phu_tai!$D$15-Phu_tai!$D$17)))),0)</f>
        <v/>
      </c>
      <c r="K223">
        <f>MAX(0,K222+(J223+J222)/2*Phu_tai!$D$39)</f>
        <v/>
      </c>
      <c r="L223">
        <f>IF(AND(K223&lt;0.0001,J223=0,I223&gt;0),0,Phu_tai!$D$12+Phu_tai!$D$24*J223/Params!$D$26)</f>
        <v/>
      </c>
      <c r="M223">
        <f>IF(AND(K223&lt;0.0001,J223=0,I223&gt;0),0,Phu_tai!$D$13+Phu_tai!$D$25*J223/Params!$D$26)</f>
        <v/>
      </c>
    </row>
    <row r="224">
      <c r="I224">
        <f>222*Phu_tai!$D$39</f>
        <v/>
      </c>
      <c r="J224">
        <f>IF(I224&lt;Phu_tai!$D$15,Params!$D$27*I224,IF(I224&lt;Phu_tai!$D$15+Phu_tai!$D$17,Params!$D$26,IF(I224&lt;Phu_tai!$D$18,Params!$D$26-Params!$D$27*(I224-Phu_tai!$D$15-Phu_tai!$D$17),0)))+IF(AND((I224-Phu_tai!$D$18-Phu_tai!$D$40)&gt;=0,(I224-Phu_tai!$D$18-Phu_tai!$D$40)&lt;Phu_tai!$D$18),-(IF((I224-Phu_tai!$D$18-Phu_tai!$D$40)&lt;Phu_tai!$D$15,Params!$D$27*(I224-Phu_tai!$D$18-Phu_tai!$D$40),IF((I224-Phu_tai!$D$18-Phu_tai!$D$40)&lt;Phu_tai!$D$15+Phu_tai!$D$17,Params!$D$26,Params!$D$26-Params!$D$27*((I224-Phu_tai!$D$18-Phu_tai!$D$40)-Phu_tai!$D$15-Phu_tai!$D$17)))),0)</f>
        <v/>
      </c>
      <c r="K224">
        <f>MAX(0,K223+(J224+J223)/2*Phu_tai!$D$39)</f>
        <v/>
      </c>
      <c r="L224">
        <f>IF(AND(K224&lt;0.0001,J224=0,I224&gt;0),0,Phu_tai!$D$12+Phu_tai!$D$24*J224/Params!$D$26)</f>
        <v/>
      </c>
      <c r="M224">
        <f>IF(AND(K224&lt;0.0001,J224=0,I224&gt;0),0,Phu_tai!$D$13+Phu_tai!$D$25*J224/Params!$D$26)</f>
        <v/>
      </c>
    </row>
    <row r="225">
      <c r="I225">
        <f>223*Phu_tai!$D$39</f>
        <v/>
      </c>
      <c r="J225">
        <f>IF(I225&lt;Phu_tai!$D$15,Params!$D$27*I225,IF(I225&lt;Phu_tai!$D$15+Phu_tai!$D$17,Params!$D$26,IF(I225&lt;Phu_tai!$D$18,Params!$D$26-Params!$D$27*(I225-Phu_tai!$D$15-Phu_tai!$D$17),0)))+IF(AND((I225-Phu_tai!$D$18-Phu_tai!$D$40)&gt;=0,(I225-Phu_tai!$D$18-Phu_tai!$D$40)&lt;Phu_tai!$D$18),-(IF((I225-Phu_tai!$D$18-Phu_tai!$D$40)&lt;Phu_tai!$D$15,Params!$D$27*(I225-Phu_tai!$D$18-Phu_tai!$D$40),IF((I225-Phu_tai!$D$18-Phu_tai!$D$40)&lt;Phu_tai!$D$15+Phu_tai!$D$17,Params!$D$26,Params!$D$26-Params!$D$27*((I225-Phu_tai!$D$18-Phu_tai!$D$40)-Phu_tai!$D$15-Phu_tai!$D$17)))),0)</f>
        <v/>
      </c>
      <c r="K225">
        <f>MAX(0,K224+(J225+J224)/2*Phu_tai!$D$39)</f>
        <v/>
      </c>
      <c r="L225">
        <f>IF(AND(K225&lt;0.0001,J225=0,I225&gt;0),0,Phu_tai!$D$12+Phu_tai!$D$24*J225/Params!$D$26)</f>
        <v/>
      </c>
      <c r="M225">
        <f>IF(AND(K225&lt;0.0001,J225=0,I225&gt;0),0,Phu_tai!$D$13+Phu_tai!$D$25*J225/Params!$D$26)</f>
        <v/>
      </c>
    </row>
    <row r="226">
      <c r="I226">
        <f>224*Phu_tai!$D$39</f>
        <v/>
      </c>
      <c r="J226">
        <f>IF(I226&lt;Phu_tai!$D$15,Params!$D$27*I226,IF(I226&lt;Phu_tai!$D$15+Phu_tai!$D$17,Params!$D$26,IF(I226&lt;Phu_tai!$D$18,Params!$D$26-Params!$D$27*(I226-Phu_tai!$D$15-Phu_tai!$D$17),0)))+IF(AND((I226-Phu_tai!$D$18-Phu_tai!$D$40)&gt;=0,(I226-Phu_tai!$D$18-Phu_tai!$D$40)&lt;Phu_tai!$D$18),-(IF((I226-Phu_tai!$D$18-Phu_tai!$D$40)&lt;Phu_tai!$D$15,Params!$D$27*(I226-Phu_tai!$D$18-Phu_tai!$D$40),IF((I226-Phu_tai!$D$18-Phu_tai!$D$40)&lt;Phu_tai!$D$15+Phu_tai!$D$17,Params!$D$26,Params!$D$26-Params!$D$27*((I226-Phu_tai!$D$18-Phu_tai!$D$40)-Phu_tai!$D$15-Phu_tai!$D$17)))),0)</f>
        <v/>
      </c>
      <c r="K226">
        <f>MAX(0,K225+(J226+J225)/2*Phu_tai!$D$39)</f>
        <v/>
      </c>
      <c r="L226">
        <f>IF(AND(K226&lt;0.0001,J226=0,I226&gt;0),0,Phu_tai!$D$12+Phu_tai!$D$24*J226/Params!$D$26)</f>
        <v/>
      </c>
      <c r="M226">
        <f>IF(AND(K226&lt;0.0001,J226=0,I226&gt;0),0,Phu_tai!$D$13+Phu_tai!$D$25*J226/Params!$D$26)</f>
        <v/>
      </c>
    </row>
    <row r="227">
      <c r="I227">
        <f>225*Phu_tai!$D$39</f>
        <v/>
      </c>
      <c r="J227">
        <f>IF(I227&lt;Phu_tai!$D$15,Params!$D$27*I227,IF(I227&lt;Phu_tai!$D$15+Phu_tai!$D$17,Params!$D$26,IF(I227&lt;Phu_tai!$D$18,Params!$D$26-Params!$D$27*(I227-Phu_tai!$D$15-Phu_tai!$D$17),0)))+IF(AND((I227-Phu_tai!$D$18-Phu_tai!$D$40)&gt;=0,(I227-Phu_tai!$D$18-Phu_tai!$D$40)&lt;Phu_tai!$D$18),-(IF((I227-Phu_tai!$D$18-Phu_tai!$D$40)&lt;Phu_tai!$D$15,Params!$D$27*(I227-Phu_tai!$D$18-Phu_tai!$D$40),IF((I227-Phu_tai!$D$18-Phu_tai!$D$40)&lt;Phu_tai!$D$15+Phu_tai!$D$17,Params!$D$26,Params!$D$26-Params!$D$27*((I227-Phu_tai!$D$18-Phu_tai!$D$40)-Phu_tai!$D$15-Phu_tai!$D$17)))),0)</f>
        <v/>
      </c>
      <c r="K227">
        <f>MAX(0,K226+(J227+J226)/2*Phu_tai!$D$39)</f>
        <v/>
      </c>
      <c r="L227">
        <f>IF(AND(K227&lt;0.0001,J227=0,I227&gt;0),0,Phu_tai!$D$12+Phu_tai!$D$24*J227/Params!$D$26)</f>
        <v/>
      </c>
      <c r="M227">
        <f>IF(AND(K227&lt;0.0001,J227=0,I227&gt;0),0,Phu_tai!$D$13+Phu_tai!$D$25*J227/Params!$D$26)</f>
        <v/>
      </c>
    </row>
    <row r="228">
      <c r="I228">
        <f>226*Phu_tai!$D$39</f>
        <v/>
      </c>
      <c r="J228">
        <f>IF(I228&lt;Phu_tai!$D$15,Params!$D$27*I228,IF(I228&lt;Phu_tai!$D$15+Phu_tai!$D$17,Params!$D$26,IF(I228&lt;Phu_tai!$D$18,Params!$D$26-Params!$D$27*(I228-Phu_tai!$D$15-Phu_tai!$D$17),0)))+IF(AND((I228-Phu_tai!$D$18-Phu_tai!$D$40)&gt;=0,(I228-Phu_tai!$D$18-Phu_tai!$D$40)&lt;Phu_tai!$D$18),-(IF((I228-Phu_tai!$D$18-Phu_tai!$D$40)&lt;Phu_tai!$D$15,Params!$D$27*(I228-Phu_tai!$D$18-Phu_tai!$D$40),IF((I228-Phu_tai!$D$18-Phu_tai!$D$40)&lt;Phu_tai!$D$15+Phu_tai!$D$17,Params!$D$26,Params!$D$26-Params!$D$27*((I228-Phu_tai!$D$18-Phu_tai!$D$40)-Phu_tai!$D$15-Phu_tai!$D$17)))),0)</f>
        <v/>
      </c>
      <c r="K228">
        <f>MAX(0,K227+(J228+J227)/2*Phu_tai!$D$39)</f>
        <v/>
      </c>
      <c r="L228">
        <f>IF(AND(K228&lt;0.0001,J228=0,I228&gt;0),0,Phu_tai!$D$12+Phu_tai!$D$24*J228/Params!$D$26)</f>
        <v/>
      </c>
      <c r="M228">
        <f>IF(AND(K228&lt;0.0001,J228=0,I228&gt;0),0,Phu_tai!$D$13+Phu_tai!$D$25*J228/Params!$D$26)</f>
        <v/>
      </c>
    </row>
    <row r="229">
      <c r="I229">
        <f>227*Phu_tai!$D$39</f>
        <v/>
      </c>
      <c r="J229">
        <f>IF(I229&lt;Phu_tai!$D$15,Params!$D$27*I229,IF(I229&lt;Phu_tai!$D$15+Phu_tai!$D$17,Params!$D$26,IF(I229&lt;Phu_tai!$D$18,Params!$D$26-Params!$D$27*(I229-Phu_tai!$D$15-Phu_tai!$D$17),0)))+IF(AND((I229-Phu_tai!$D$18-Phu_tai!$D$40)&gt;=0,(I229-Phu_tai!$D$18-Phu_tai!$D$40)&lt;Phu_tai!$D$18),-(IF((I229-Phu_tai!$D$18-Phu_tai!$D$40)&lt;Phu_tai!$D$15,Params!$D$27*(I229-Phu_tai!$D$18-Phu_tai!$D$40),IF((I229-Phu_tai!$D$18-Phu_tai!$D$40)&lt;Phu_tai!$D$15+Phu_tai!$D$17,Params!$D$26,Params!$D$26-Params!$D$27*((I229-Phu_tai!$D$18-Phu_tai!$D$40)-Phu_tai!$D$15-Phu_tai!$D$17)))),0)</f>
        <v/>
      </c>
      <c r="K229">
        <f>MAX(0,K228+(J229+J228)/2*Phu_tai!$D$39)</f>
        <v/>
      </c>
      <c r="L229">
        <f>IF(AND(K229&lt;0.0001,J229=0,I229&gt;0),0,Phu_tai!$D$12+Phu_tai!$D$24*J229/Params!$D$26)</f>
        <v/>
      </c>
      <c r="M229">
        <f>IF(AND(K229&lt;0.0001,J229=0,I229&gt;0),0,Phu_tai!$D$13+Phu_tai!$D$25*J229/Params!$D$26)</f>
        <v/>
      </c>
    </row>
    <row r="230">
      <c r="I230">
        <f>228*Phu_tai!$D$39</f>
        <v/>
      </c>
      <c r="J230">
        <f>IF(I230&lt;Phu_tai!$D$15,Params!$D$27*I230,IF(I230&lt;Phu_tai!$D$15+Phu_tai!$D$17,Params!$D$26,IF(I230&lt;Phu_tai!$D$18,Params!$D$26-Params!$D$27*(I230-Phu_tai!$D$15-Phu_tai!$D$17),0)))+IF(AND((I230-Phu_tai!$D$18-Phu_tai!$D$40)&gt;=0,(I230-Phu_tai!$D$18-Phu_tai!$D$40)&lt;Phu_tai!$D$18),-(IF((I230-Phu_tai!$D$18-Phu_tai!$D$40)&lt;Phu_tai!$D$15,Params!$D$27*(I230-Phu_tai!$D$18-Phu_tai!$D$40),IF((I230-Phu_tai!$D$18-Phu_tai!$D$40)&lt;Phu_tai!$D$15+Phu_tai!$D$17,Params!$D$26,Params!$D$26-Params!$D$27*((I230-Phu_tai!$D$18-Phu_tai!$D$40)-Phu_tai!$D$15-Phu_tai!$D$17)))),0)</f>
        <v/>
      </c>
      <c r="K230">
        <f>MAX(0,K229+(J230+J229)/2*Phu_tai!$D$39)</f>
        <v/>
      </c>
      <c r="L230">
        <f>IF(AND(K230&lt;0.0001,J230=0,I230&gt;0),0,Phu_tai!$D$12+Phu_tai!$D$24*J230/Params!$D$26)</f>
        <v/>
      </c>
      <c r="M230">
        <f>IF(AND(K230&lt;0.0001,J230=0,I230&gt;0),0,Phu_tai!$D$13+Phu_tai!$D$25*J230/Params!$D$26)</f>
        <v/>
      </c>
    </row>
    <row r="231">
      <c r="I231">
        <f>229*Phu_tai!$D$39</f>
        <v/>
      </c>
      <c r="J231">
        <f>IF(I231&lt;Phu_tai!$D$15,Params!$D$27*I231,IF(I231&lt;Phu_tai!$D$15+Phu_tai!$D$17,Params!$D$26,IF(I231&lt;Phu_tai!$D$18,Params!$D$26-Params!$D$27*(I231-Phu_tai!$D$15-Phu_tai!$D$17),0)))+IF(AND((I231-Phu_tai!$D$18-Phu_tai!$D$40)&gt;=0,(I231-Phu_tai!$D$18-Phu_tai!$D$40)&lt;Phu_tai!$D$18),-(IF((I231-Phu_tai!$D$18-Phu_tai!$D$40)&lt;Phu_tai!$D$15,Params!$D$27*(I231-Phu_tai!$D$18-Phu_tai!$D$40),IF((I231-Phu_tai!$D$18-Phu_tai!$D$40)&lt;Phu_tai!$D$15+Phu_tai!$D$17,Params!$D$26,Params!$D$26-Params!$D$27*((I231-Phu_tai!$D$18-Phu_tai!$D$40)-Phu_tai!$D$15-Phu_tai!$D$17)))),0)</f>
        <v/>
      </c>
      <c r="K231">
        <f>MAX(0,K230+(J231+J230)/2*Phu_tai!$D$39)</f>
        <v/>
      </c>
      <c r="L231">
        <f>IF(AND(K231&lt;0.0001,J231=0,I231&gt;0),0,Phu_tai!$D$12+Phu_tai!$D$24*J231/Params!$D$26)</f>
        <v/>
      </c>
      <c r="M231">
        <f>IF(AND(K231&lt;0.0001,J231=0,I231&gt;0),0,Phu_tai!$D$13+Phu_tai!$D$25*J231/Params!$D$26)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9" customWidth="1" min="8" max="8"/>
    <col width="50" customWidth="1" min="9" max="9"/>
  </cols>
  <sheetData>
    <row r="1">
      <c r="A1" s="4" t="inlineStr">
        <is>
          <t>Mã</t>
        </is>
      </c>
      <c r="B1" s="4" t="inlineStr">
        <is>
          <t>Đại lượng</t>
        </is>
      </c>
      <c r="C1" s="4" t="inlineStr">
        <is>
          <t>Ký hiệu</t>
        </is>
      </c>
      <c r="D1" s="4" t="inlineStr">
        <is>
          <t>Ứng viên 1</t>
        </is>
      </c>
      <c r="E1" s="4" t="inlineStr">
        <is>
          <t>Ứng viên 2</t>
        </is>
      </c>
      <c r="F1" s="4" t="inlineStr">
        <is>
          <t>Ứng viên 3</t>
        </is>
      </c>
      <c r="G1" s="4" t="inlineStr">
        <is>
          <t>Ứng viên 4</t>
        </is>
      </c>
      <c r="H1" s="4" t="inlineStr">
        <is>
          <t>Đơn vị</t>
        </is>
      </c>
      <c r="I1" s="4" t="inlineStr">
        <is>
          <t>Ghi chú</t>
        </is>
      </c>
    </row>
    <row r="2">
      <c r="A2" s="5" t="inlineStr">
        <is>
          <t>A. So sánh 4 động cơ ứng viên tại lượng đặt a*, ρ* (sheet Params)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t="inlineStr">
        <is>
          <t>name</t>
        </is>
      </c>
      <c r="B3" t="inlineStr">
        <is>
          <t>Mã động cơ</t>
        </is>
      </c>
      <c r="C3" t="inlineStr"/>
      <c r="D3">
        <f>Catalogue!$D$6</f>
        <v/>
      </c>
      <c r="E3">
        <f>Catalogue!$E$6</f>
        <v/>
      </c>
      <c r="F3">
        <f>Catalogue!$F$6</f>
        <v/>
      </c>
      <c r="G3">
        <f>Catalogue!$G$6</f>
        <v/>
      </c>
      <c r="H3" t="inlineStr"/>
      <c r="I3" s="12" t="inlineStr"/>
    </row>
    <row r="4">
      <c r="A4" t="inlineStr">
        <is>
          <t>PN</t>
        </is>
      </c>
      <c r="B4" t="inlineStr">
        <is>
          <t>Công suất định mức S1</t>
        </is>
      </c>
      <c r="C4" t="inlineStr">
        <is>
          <t>P_N</t>
        </is>
      </c>
      <c r="D4">
        <f>Catalogue!$D$7</f>
        <v/>
      </c>
      <c r="E4">
        <f>Catalogue!$E$7</f>
        <v/>
      </c>
      <c r="F4">
        <f>Catalogue!$F$7</f>
        <v/>
      </c>
      <c r="G4">
        <f>Catalogue!$G$7</f>
        <v/>
      </c>
      <c r="H4" t="inlineStr">
        <is>
          <t>kW</t>
        </is>
      </c>
      <c r="I4" s="12" t="inlineStr"/>
    </row>
    <row r="5">
      <c r="A5" t="inlineStr">
        <is>
          <t>wN</t>
        </is>
      </c>
      <c r="B5" t="inlineStr">
        <is>
          <t>Tốc độ góc định mức</t>
        </is>
      </c>
      <c r="C5" t="inlineStr">
        <is>
          <t>ω_N</t>
        </is>
      </c>
      <c r="D5" s="11">
        <f>Catalogue!$D$9*2*PI()/60</f>
        <v/>
      </c>
      <c r="E5" s="11">
        <f>Catalogue!$E$9*2*PI()/60</f>
        <v/>
      </c>
      <c r="F5" s="11">
        <f>Catalogue!$F$9*2*PI()/60</f>
        <v/>
      </c>
      <c r="G5" s="11">
        <f>Catalogue!$G$9*2*PI()/60</f>
        <v/>
      </c>
      <c r="H5" t="inlineStr">
        <is>
          <t>rad/s</t>
        </is>
      </c>
      <c r="I5" s="12" t="inlineStr"/>
    </row>
    <row r="6">
      <c r="A6" t="inlineStr">
        <is>
          <t>iyc</t>
        </is>
      </c>
      <c r="B6" t="inlineStr">
        <is>
          <t>Tỷ số truyền yêu cầu</t>
        </is>
      </c>
      <c r="C6" t="inlineStr">
        <is>
          <t>i_yc</t>
        </is>
      </c>
      <c r="D6" s="11">
        <f>Chon_DC!$D$5/Phu_tai!$D$3</f>
        <v/>
      </c>
      <c r="E6" s="11">
        <f>Chon_DC!$E$5/Phu_tai!$D$3</f>
        <v/>
      </c>
      <c r="F6" s="11">
        <f>Chon_DC!$F$5/Phu_tai!$D$3</f>
        <v/>
      </c>
      <c r="G6" s="11">
        <f>Chon_DC!$G$5/Phu_tai!$D$3</f>
        <v/>
      </c>
      <c r="H6" t="inlineStr">
        <is>
          <t>-</t>
        </is>
      </c>
      <c r="I6" s="12" t="inlineStr">
        <is>
          <t>So với i_thực = 155.34</t>
        </is>
      </c>
    </row>
    <row r="7">
      <c r="A7" t="inlineStr">
        <is>
          <t>Mc_MN</t>
        </is>
      </c>
      <c r="B7" t="inlineStr">
        <is>
          <t>Tải tĩnh đầy tải / M_N</t>
        </is>
      </c>
      <c r="C7" t="inlineStr">
        <is>
          <t>M_c/M_N</t>
        </is>
      </c>
      <c r="D7" s="10">
        <f>Phu_tai!$D$12/Catalogue!$D$8</f>
        <v/>
      </c>
      <c r="E7" s="10">
        <f>Phu_tai!$D$12/Catalogue!$E$8</f>
        <v/>
      </c>
      <c r="F7" s="10">
        <f>Phu_tai!$D$12/Catalogue!$F$8</f>
        <v/>
      </c>
      <c r="G7" s="10">
        <f>Phu_tai!$D$12/Catalogue!$G$8</f>
        <v/>
      </c>
      <c r="H7" t="inlineStr">
        <is>
          <t>-</t>
        </is>
      </c>
      <c r="I7" s="12" t="inlineStr">
        <is>
          <t>&gt; 1: quá tải liên tục khi chạy đều 120 s</t>
        </is>
      </c>
    </row>
    <row r="8">
      <c r="A8" t="inlineStr">
        <is>
          <t>Mmax</t>
        </is>
      </c>
      <c r="B8" t="inlineStr">
        <is>
          <t>Mô-men đỉnh khi tăng tốc đầy tải</t>
        </is>
      </c>
      <c r="C8" t="inlineStr">
        <is>
          <t>M_max</t>
        </is>
      </c>
      <c r="D8" s="10">
        <f>Phu_tai!$D$12+Params!$D$28*Params!$D$6*Params!$D$26*Phu_tai!$D$9/Params!$D$18+Catalogue!$D$15*Params!$D$26/Phu_tai!$D$9</f>
        <v/>
      </c>
      <c r="E8" s="10">
        <f>Phu_tai!$D$12+Params!$D$28*Params!$D$6*Params!$D$26*Phu_tai!$D$9/Params!$D$18+Catalogue!$E$15*Params!$D$26/Phu_tai!$D$9</f>
        <v/>
      </c>
      <c r="F8" s="10">
        <f>Phu_tai!$D$12+Params!$D$28*Params!$D$6*Params!$D$26*Phu_tai!$D$9/Params!$D$18+Catalogue!$F$15*Params!$D$26/Phu_tai!$D$9</f>
        <v/>
      </c>
      <c r="G8" s="10">
        <f>Phu_tai!$D$12+Params!$D$28*Params!$D$6*Params!$D$26*Phu_tai!$D$9/Params!$D$18+Catalogue!$G$15*Params!$D$26/Phu_tai!$D$9</f>
        <v/>
      </c>
      <c r="H8" t="inlineStr">
        <is>
          <t>N·m</t>
        </is>
      </c>
      <c r="I8" s="12" t="inlineStr"/>
    </row>
    <row r="9">
      <c r="A9" t="inlineStr">
        <is>
          <t>rM</t>
        </is>
      </c>
      <c r="B9" t="inlineStr">
        <is>
          <t>Bội số yêu cầu</t>
        </is>
      </c>
      <c r="C9" t="inlineStr">
        <is>
          <t>M_max/M_N</t>
        </is>
      </c>
      <c r="D9" s="10">
        <f>Chon_DC!$D$8/Catalogue!$D$8</f>
        <v/>
      </c>
      <c r="E9" s="10">
        <f>Chon_DC!$E$8/Catalogue!$E$8</f>
        <v/>
      </c>
      <c r="F9" s="10">
        <f>Chon_DC!$F$8/Catalogue!$F$8</f>
        <v/>
      </c>
      <c r="G9" s="10">
        <f>Chon_DC!$G$8/Catalogue!$G$8</f>
        <v/>
      </c>
      <c r="H9" t="inlineStr">
        <is>
          <t>-</t>
        </is>
      </c>
      <c r="I9" s="12" t="inlineStr"/>
    </row>
    <row r="10">
      <c r="A10" t="inlineStr">
        <is>
          <t>lav</t>
        </is>
      </c>
      <c r="B10" t="inlineStr">
        <is>
          <t>Bội số khả dụng ở lưới −10%</t>
        </is>
      </c>
      <c r="C10" t="inlineStr">
        <is>
          <t>λ_K(U_min/U_N)²</t>
        </is>
      </c>
      <c r="D10" s="10">
        <f>Catalogue!$D$14*(Params!$D$21*(1-Params!$D$22)/Params!$D$34)^2</f>
        <v/>
      </c>
      <c r="E10" s="10">
        <f>Catalogue!$E$14*(Params!$D$21*(1-Params!$D$22)/Params!$D$34)^2</f>
        <v/>
      </c>
      <c r="F10" s="10">
        <f>Catalogue!$F$14*(Params!$D$21*(1-Params!$D$22)/Params!$D$34)^2</f>
        <v/>
      </c>
      <c r="G10" s="10">
        <f>Catalogue!$G$14*(Params!$D$21*(1-Params!$D$22)/Params!$D$34)^2</f>
        <v/>
      </c>
      <c r="H10" t="inlineStr">
        <is>
          <t>-</t>
        </is>
      </c>
      <c r="I10" s="12" t="inlineStr">
        <is>
          <t>M_K ∝ U²</t>
        </is>
      </c>
    </row>
    <row r="11">
      <c r="A11" t="inlineStr">
        <is>
          <t>klam</t>
        </is>
      </c>
      <c r="B11" t="inlineStr">
        <is>
          <t>Hệ số dự trữ quá tải</t>
        </is>
      </c>
      <c r="C11" t="inlineStr">
        <is>
          <t>k_λ</t>
        </is>
      </c>
      <c r="D11" s="10">
        <f>Chon_DC!$D$10/Chon_DC!$D$9</f>
        <v/>
      </c>
      <c r="E11" s="10">
        <f>Chon_DC!$E$10/Chon_DC!$E$9</f>
        <v/>
      </c>
      <c r="F11" s="10">
        <f>Chon_DC!$F$10/Chon_DC!$F$9</f>
        <v/>
      </c>
      <c r="G11" s="10">
        <f>Chon_DC!$G$10/Chon_DC!$G$9</f>
        <v/>
      </c>
      <c r="H11" t="inlineStr">
        <is>
          <t>-</t>
        </is>
      </c>
      <c r="I11" s="12" t="inlineStr">
        <is>
          <t>Yêu cầu ≥ k_λ,min</t>
        </is>
      </c>
    </row>
    <row r="12">
      <c r="A12" t="inlineStr">
        <is>
          <t>Pdt</t>
        </is>
      </c>
      <c r="B12" t="inlineStr">
        <is>
          <t>Công suất đẳng trị S3-40%</t>
        </is>
      </c>
      <c r="C12" t="inlineStr">
        <is>
          <t>P_đt</t>
        </is>
      </c>
      <c r="D12" s="11">
        <f>Phu_tai!$D$37*Chon_DC!$D$5</f>
        <v/>
      </c>
      <c r="E12" s="11">
        <f>Phu_tai!$D$37*Chon_DC!$E$5</f>
        <v/>
      </c>
      <c r="F12" s="11">
        <f>Phu_tai!$D$37*Chon_DC!$F$5</f>
        <v/>
      </c>
      <c r="G12" s="11">
        <f>Phu_tai!$D$37*Chon_DC!$G$5</f>
        <v/>
      </c>
      <c r="H12" t="inlineStr">
        <is>
          <t>W</t>
        </is>
      </c>
      <c r="I12" s="12" t="inlineStr">
        <is>
          <t>M_đt·ω_N</t>
        </is>
      </c>
    </row>
    <row r="13">
      <c r="A13" t="inlineStr">
        <is>
          <t>kdt</t>
        </is>
      </c>
      <c r="B13" t="inlineStr">
        <is>
          <t>Hệ số dự trữ nhiệt</t>
        </is>
      </c>
      <c r="C13" t="inlineStr">
        <is>
          <t>k_dt</t>
        </is>
      </c>
      <c r="D13" s="10">
        <f>Catalogue!$D$7*1000/Chon_DC!$D$12</f>
        <v/>
      </c>
      <c r="E13" s="10">
        <f>Catalogue!$E$7*1000/Chon_DC!$E$12</f>
        <v/>
      </c>
      <c r="F13" s="10">
        <f>Catalogue!$F$7*1000/Chon_DC!$F$12</f>
        <v/>
      </c>
      <c r="G13" s="10">
        <f>Catalogue!$G$7*1000/Chon_DC!$G$12</f>
        <v/>
      </c>
      <c r="H13" t="inlineStr">
        <is>
          <t>-</t>
        </is>
      </c>
      <c r="I13" s="12" t="inlineStr">
        <is>
          <t>P_N(S1)/P_đt — bảo thủ (chưa quy đổi S3)</t>
        </is>
      </c>
    </row>
    <row r="14">
      <c r="A14" t="inlineStr">
        <is>
          <t>ok</t>
        </is>
      </c>
      <c r="B14" t="inlineStr">
        <is>
          <t>Kết luận</t>
        </is>
      </c>
      <c r="C14" t="inlineStr"/>
      <c r="D14">
        <f>IF(AND(Chon_DC!$D$13&gt;=Params!$D$32,Chon_DC!$D$11&gt;=Params!$D$33,Chon_DC!$D$7&lt;=1),"ĐẠT","KHÔNG ĐẠT")</f>
        <v/>
      </c>
      <c r="E14">
        <f>IF(AND(Chon_DC!$E$13&gt;=Params!$D$32,Chon_DC!$E$11&gt;=Params!$D$33,Chon_DC!$E$7&lt;=1),"ĐẠT","KHÔNG ĐẠT")</f>
        <v/>
      </c>
      <c r="F14">
        <f>IF(AND(Chon_DC!$F$13&gt;=Params!$D$32,Chon_DC!$F$11&gt;=Params!$D$33,Chon_DC!$F$7&lt;=1),"ĐẠT","KHÔNG ĐẠT")</f>
        <v/>
      </c>
      <c r="G14">
        <f>IF(AND(Chon_DC!$G$13&gt;=Params!$D$32,Chon_DC!$G$11&gt;=Params!$D$33,Chon_DC!$G$7&lt;=1),"ĐẠT","KHÔNG ĐẠT")</f>
        <v/>
      </c>
      <c r="H14" t="inlineStr"/>
      <c r="I14" s="12" t="inlineStr"/>
    </row>
    <row r="15">
      <c r="B15" s="18" t="inlineStr">
        <is>
          <t>Động cơ chọn: ứng viên ĐẠT có công suất nhỏ nhất → nhập số cột vào Catalogue!sel_mot</t>
        </is>
      </c>
      <c r="D15">
        <f>IF(Chon_DC!$D$14="ĐẠT",1,IF(Chon_DC!$E$14="ĐẠT",2,IF(Chon_DC!$F$14="ĐẠT",3,IF(Chon_DC!$G$14="ĐẠT",4,0))))</f>
        <v/>
      </c>
    </row>
    <row r="17">
      <c r="A17" s="5" t="inlineStr">
        <is>
          <t>B. Ảnh hưởng của gia tốc đặt a* tới mô-men đỉnh (đầy tải, J_B = 26.2×10⁻⁴ kg·m²) — căn cứ CR-19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B18" s="18" t="inlineStr">
        <is>
          <t>a* (m/s²)</t>
        </is>
      </c>
      <c r="C18" s="18" t="inlineStr">
        <is>
          <t>ρ* = 4·a*</t>
        </is>
      </c>
      <c r="D18" s="18" t="inlineStr">
        <is>
          <t>t_acc (s)</t>
        </is>
      </c>
      <c r="E18" s="18" t="inlineStr">
        <is>
          <t>M_max (N·m)</t>
        </is>
      </c>
      <c r="F18" s="18" t="inlineStr">
        <is>
          <t>Động cơ nhỏ nhất đạt k_λ ≥ 1.2</t>
        </is>
      </c>
    </row>
    <row r="19">
      <c r="B19" t="n">
        <v>0.45</v>
      </c>
      <c r="C19">
        <f>4*B19</f>
        <v/>
      </c>
      <c r="D19" s="10">
        <f>IF(B19^2/C19&lt;Params!$D$12,Params!$D$12/B19+B19/C19,2*SQRT(Params!$D$12/C19))</f>
        <v/>
      </c>
      <c r="E19" s="10">
        <f>Phu_tai!$D$12+(Params!$D$28*Params!$D$6*Phu_tai!$D$9/Params!$D$18+0.00262/Phu_tai!$D$9)*MIN(B19,SQRT(Params!$D$12*C19))</f>
        <v/>
      </c>
      <c r="F19">
        <f>IF(AND(Chon_DC!$D$10/(E19/Catalogue!$D$8)&gt;=Params!$D$33,Phu_tai!$D$12/Catalogue!$D$8&lt;=1,Catalogue!$D$7*1000/(Phu_tai!$D$37*Chon_DC!$D$5)&gt;=Params!$D$32),Catalogue!$D$6,IF(AND(Chon_DC!$E$10/(E19/Catalogue!$E$8)&gt;=Params!$D$33,Phu_tai!$D$12/Catalogue!$E$8&lt;=1,Catalogue!$E$7*1000/(Phu_tai!$D$37*Chon_DC!$E$5)&gt;=Params!$D$32),Catalogue!$E$6,IF(AND(Chon_DC!$F$10/(E19/Catalogue!$F$8)&gt;=Params!$D$33,Phu_tai!$D$12/Catalogue!$F$8&lt;=1,Catalogue!$F$7*1000/(Phu_tai!$D$37*Chon_DC!$F$5)&gt;=Params!$D$32),Catalogue!$F$6,IF(AND(Chon_DC!$G$10/(E19/Catalogue!$G$8)&gt;=Params!$D$33,Phu_tai!$D$12/Catalogue!$G$8&lt;=1,Catalogue!$G$7*1000/(Phu_tai!$D$37*Chon_DC!$G$5)&gt;=Params!$D$32),Catalogue!$G$6,"&gt; 0.75 kW"))))</f>
        <v/>
      </c>
    </row>
    <row r="20">
      <c r="B20" t="n">
        <v>0.3</v>
      </c>
      <c r="C20">
        <f>4*B20</f>
        <v/>
      </c>
      <c r="D20" s="10">
        <f>IF(B20^2/C20&lt;Params!$D$12,Params!$D$12/B20+B20/C20,2*SQRT(Params!$D$12/C20))</f>
        <v/>
      </c>
      <c r="E20" s="10">
        <f>Phu_tai!$D$12+(Params!$D$28*Params!$D$6*Phu_tai!$D$9/Params!$D$18+0.00262/Phu_tai!$D$9)*MIN(B20,SQRT(Params!$D$12*C20))</f>
        <v/>
      </c>
      <c r="F20">
        <f>IF(AND(Chon_DC!$D$10/(E20/Catalogue!$D$8)&gt;=Params!$D$33,Phu_tai!$D$12/Catalogue!$D$8&lt;=1,Catalogue!$D$7*1000/(Phu_tai!$D$37*Chon_DC!$D$5)&gt;=Params!$D$32),Catalogue!$D$6,IF(AND(Chon_DC!$E$10/(E20/Catalogue!$E$8)&gt;=Params!$D$33,Phu_tai!$D$12/Catalogue!$E$8&lt;=1,Catalogue!$E$7*1000/(Phu_tai!$D$37*Chon_DC!$E$5)&gt;=Params!$D$32),Catalogue!$E$6,IF(AND(Chon_DC!$F$10/(E20/Catalogue!$F$8)&gt;=Params!$D$33,Phu_tai!$D$12/Catalogue!$F$8&lt;=1,Catalogue!$F$7*1000/(Phu_tai!$D$37*Chon_DC!$F$5)&gt;=Params!$D$32),Catalogue!$F$6,IF(AND(Chon_DC!$G$10/(E20/Catalogue!$G$8)&gt;=Params!$D$33,Phu_tai!$D$12/Catalogue!$G$8&lt;=1,Catalogue!$G$7*1000/(Phu_tai!$D$37*Chon_DC!$G$5)&gt;=Params!$D$32),Catalogue!$G$6,"&gt; 0.75 kW"))))</f>
        <v/>
      </c>
    </row>
    <row r="21">
      <c r="B21" t="n">
        <v>0.2</v>
      </c>
      <c r="C21">
        <f>4*B21</f>
        <v/>
      </c>
      <c r="D21" s="10">
        <f>IF(B21^2/C21&lt;Params!$D$12,Params!$D$12/B21+B21/C21,2*SQRT(Params!$D$12/C21))</f>
        <v/>
      </c>
      <c r="E21" s="10">
        <f>Phu_tai!$D$12+(Params!$D$28*Params!$D$6*Phu_tai!$D$9/Params!$D$18+0.00262/Phu_tai!$D$9)*MIN(B21,SQRT(Params!$D$12*C21))</f>
        <v/>
      </c>
      <c r="F21">
        <f>IF(AND(Chon_DC!$D$10/(E21/Catalogue!$D$8)&gt;=Params!$D$33,Phu_tai!$D$12/Catalogue!$D$8&lt;=1,Catalogue!$D$7*1000/(Phu_tai!$D$37*Chon_DC!$D$5)&gt;=Params!$D$32),Catalogue!$D$6,IF(AND(Chon_DC!$E$10/(E21/Catalogue!$E$8)&gt;=Params!$D$33,Phu_tai!$D$12/Catalogue!$E$8&lt;=1,Catalogue!$E$7*1000/(Phu_tai!$D$37*Chon_DC!$E$5)&gt;=Params!$D$32),Catalogue!$E$6,IF(AND(Chon_DC!$F$10/(E21/Catalogue!$F$8)&gt;=Params!$D$33,Phu_tai!$D$12/Catalogue!$F$8&lt;=1,Catalogue!$F$7*1000/(Phu_tai!$D$37*Chon_DC!$F$5)&gt;=Params!$D$32),Catalogue!$F$6,IF(AND(Chon_DC!$G$10/(E21/Catalogue!$G$8)&gt;=Params!$D$33,Phu_tai!$D$12/Catalogue!$G$8&lt;=1,Catalogue!$G$7*1000/(Phu_tai!$D$37*Chon_DC!$G$5)&gt;=Params!$D$32),Catalogue!$G$6,"&gt; 0.75 kW"))))</f>
        <v/>
      </c>
    </row>
    <row r="22">
      <c r="B22" t="n">
        <v>0.1</v>
      </c>
      <c r="C22">
        <f>4*B22</f>
        <v/>
      </c>
      <c r="D22" s="10">
        <f>IF(B22^2/C22&lt;Params!$D$12,Params!$D$12/B22+B22/C22,2*SQRT(Params!$D$12/C22))</f>
        <v/>
      </c>
      <c r="E22" s="10">
        <f>Phu_tai!$D$12+(Params!$D$28*Params!$D$6*Phu_tai!$D$9/Params!$D$18+0.00262/Phu_tai!$D$9)*MIN(B22,SQRT(Params!$D$12*C22))</f>
        <v/>
      </c>
      <c r="F22">
        <f>IF(AND(Chon_DC!$D$10/(E22/Catalogue!$D$8)&gt;=Params!$D$33,Phu_tai!$D$12/Catalogue!$D$8&lt;=1,Catalogue!$D$7*1000/(Phu_tai!$D$37*Chon_DC!$D$5)&gt;=Params!$D$32),Catalogue!$D$6,IF(AND(Chon_DC!$E$10/(E22/Catalogue!$E$8)&gt;=Params!$D$33,Phu_tai!$D$12/Catalogue!$E$8&lt;=1,Catalogue!$E$7*1000/(Phu_tai!$D$37*Chon_DC!$E$5)&gt;=Params!$D$32),Catalogue!$E$6,IF(AND(Chon_DC!$F$10/(E22/Catalogue!$F$8)&gt;=Params!$D$33,Phu_tai!$D$12/Catalogue!$F$8&lt;=1,Catalogue!$F$7*1000/(Phu_tai!$D$37*Chon_DC!$F$5)&gt;=Params!$D$32),Catalogue!$F$6,IF(AND(Chon_DC!$G$10/(E22/Catalogue!$G$8)&gt;=Params!$D$33,Phu_tai!$D$12/Catalogue!$G$8&lt;=1,Catalogue!$G$7*1000/(Phu_tai!$D$37*Chon_DC!$G$5)&gt;=Params!$D$32),Catalogue!$G$6,"&gt; 0.75 kW"))))</f>
        <v/>
      </c>
    </row>
    <row r="23">
      <c r="B23" t="n">
        <v>0.06</v>
      </c>
      <c r="C23">
        <f>4*B23</f>
        <v/>
      </c>
      <c r="D23" s="10">
        <f>IF(B23^2/C23&lt;Params!$D$12,Params!$D$12/B23+B23/C23,2*SQRT(Params!$D$12/C23))</f>
        <v/>
      </c>
      <c r="E23" s="10">
        <f>Phu_tai!$D$12+(Params!$D$28*Params!$D$6*Phu_tai!$D$9/Params!$D$18+0.00262/Phu_tai!$D$9)*MIN(B23,SQRT(Params!$D$12*C23))</f>
        <v/>
      </c>
      <c r="F23">
        <f>IF(AND(Chon_DC!$D$10/(E23/Catalogue!$D$8)&gt;=Params!$D$33,Phu_tai!$D$12/Catalogue!$D$8&lt;=1,Catalogue!$D$7*1000/(Phu_tai!$D$37*Chon_DC!$D$5)&gt;=Params!$D$32),Catalogue!$D$6,IF(AND(Chon_DC!$E$10/(E23/Catalogue!$E$8)&gt;=Params!$D$33,Phu_tai!$D$12/Catalogue!$E$8&lt;=1,Catalogue!$E$7*1000/(Phu_tai!$D$37*Chon_DC!$E$5)&gt;=Params!$D$32),Catalogue!$E$6,IF(AND(Chon_DC!$F$10/(E23/Catalogue!$F$8)&gt;=Params!$D$33,Phu_tai!$D$12/Catalogue!$F$8&lt;=1,Catalogue!$F$7*1000/(Phu_tai!$D$37*Chon_DC!$F$5)&gt;=Params!$D$32),Catalogue!$F$6,IF(AND(Chon_DC!$G$10/(E23/Catalogue!$G$8)&gt;=Params!$D$33,Phu_tai!$D$12/Catalogue!$G$8&lt;=1,Catalogue!$G$7*1000/(Phu_tai!$D$37*Chon_DC!$G$5)&gt;=Params!$D$32),Catalogue!$G$6,"&gt; 0.75 kW"))))</f>
        <v/>
      </c>
    </row>
    <row r="24">
      <c r="B24" s="12" t="inlineStr">
        <is>
          <t>Ghi chú: cột F kiểm điều kiện nhiệt bằng M_đt của a* đang chọn (ảnh hưởng của a* tới M_đt rất nhỏ vì pha tăng tốc chỉ ≈ 1% thời gian đóng điện).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4" customWidth="1" min="3" max="3"/>
    <col width="14" customWidth="1" min="4" max="4"/>
    <col width="9" customWidth="1" min="5" max="5"/>
    <col width="40" customWidth="1" min="6" max="6"/>
    <col width="46" customWidth="1" min="7" max="7"/>
  </cols>
  <sheetData>
    <row r="1">
      <c r="A1" s="4" t="inlineStr">
        <is>
          <t>Mã</t>
        </is>
      </c>
      <c r="B1" s="4" t="inlineStr">
        <is>
          <t>Đại lượng</t>
        </is>
      </c>
      <c r="C1" s="4" t="inlineStr">
        <is>
          <t>Ký hiệu</t>
        </is>
      </c>
      <c r="D1" s="4" t="inlineStr">
        <is>
          <t>Giá trị</t>
        </is>
      </c>
      <c r="E1" s="4" t="inlineStr">
        <is>
          <t>Đơn vị</t>
        </is>
      </c>
      <c r="F1" s="4" t="inlineStr">
        <is>
          <t>Công thức (Class_3 slide 9–11)</t>
        </is>
      </c>
      <c r="G1" s="4" t="inlineStr">
        <is>
          <t>Ghi chú</t>
        </is>
      </c>
    </row>
    <row r="2">
      <c r="A2" s="5" t="inlineStr">
        <is>
          <t>A. Thông số nhãn máy động cơ đang chọn — [W-01]</t>
        </is>
      </c>
      <c r="B2" s="6" t="n"/>
      <c r="C2" s="6" t="n"/>
      <c r="D2" s="6" t="n"/>
      <c r="E2" s="6" t="n"/>
      <c r="F2" s="6" t="n"/>
      <c r="G2" s="6" t="n"/>
    </row>
    <row r="3">
      <c r="A3" t="inlineStr">
        <is>
          <t>name</t>
        </is>
      </c>
      <c r="B3" s="7" t="inlineStr">
        <is>
          <t>Mã động cơ</t>
        </is>
      </c>
      <c r="C3" t="inlineStr"/>
      <c r="D3">
        <f>Catalogue!$H$6</f>
        <v/>
      </c>
      <c r="E3" t="inlineStr"/>
      <c r="F3" s="7" t="inlineStr"/>
      <c r="G3" s="7" t="inlineStr"/>
    </row>
    <row r="4">
      <c r="A4" t="inlineStr">
        <is>
          <t>Uph</t>
        </is>
      </c>
      <c r="B4" s="7" t="inlineStr">
        <is>
          <t>Điện áp pha (đấu Y)</t>
        </is>
      </c>
      <c r="C4" t="inlineStr">
        <is>
          <t>U_ph</t>
        </is>
      </c>
      <c r="D4" s="10">
        <f>Params!$D$34/SQRT(3)</f>
        <v/>
      </c>
      <c r="E4" t="inlineStr">
        <is>
          <t>V</t>
        </is>
      </c>
      <c r="F4" s="7" t="inlineStr">
        <is>
          <t>U_N/√3</t>
        </is>
      </c>
      <c r="G4" s="7" t="inlineStr"/>
    </row>
    <row r="5">
      <c r="A5" t="inlineStr">
        <is>
          <t>Iph</t>
        </is>
      </c>
      <c r="B5" s="7" t="inlineStr">
        <is>
          <t>Dòng pha định mức</t>
        </is>
      </c>
      <c r="C5" t="inlineStr">
        <is>
          <t>I_ph</t>
        </is>
      </c>
      <c r="D5">
        <f>Catalogue!$H$10</f>
        <v/>
      </c>
      <c r="E5" t="inlineStr">
        <is>
          <t>A</t>
        </is>
      </c>
      <c r="F5" s="7" t="inlineStr"/>
      <c r="G5" s="7" t="inlineStr"/>
    </row>
    <row r="6">
      <c r="A6" t="inlineStr">
        <is>
          <t>nN</t>
        </is>
      </c>
      <c r="B6" s="7" t="inlineStr">
        <is>
          <t>Tốc độ định mức</t>
        </is>
      </c>
      <c r="C6" t="inlineStr">
        <is>
          <t>N_n</t>
        </is>
      </c>
      <c r="D6">
        <f>Catalogue!$H$9</f>
        <v/>
      </c>
      <c r="E6" t="inlineStr">
        <is>
          <t>vg/ph</t>
        </is>
      </c>
      <c r="F6" s="7" t="inlineStr"/>
      <c r="G6" s="7" t="inlineStr"/>
    </row>
    <row r="7">
      <c r="A7" t="inlineStr">
        <is>
          <t>cos</t>
        </is>
      </c>
      <c r="B7" s="7" t="inlineStr">
        <is>
          <t>Hệ số công suất</t>
        </is>
      </c>
      <c r="C7" t="inlineStr">
        <is>
          <t>cosφ</t>
        </is>
      </c>
      <c r="D7">
        <f>Catalogue!$H$11</f>
        <v/>
      </c>
      <c r="E7" t="inlineStr">
        <is>
          <t>-</t>
        </is>
      </c>
      <c r="F7" s="7" t="inlineStr"/>
      <c r="G7" s="7" t="inlineStr"/>
    </row>
    <row r="8">
      <c r="A8" t="inlineStr">
        <is>
          <t>MN</t>
        </is>
      </c>
      <c r="B8" s="7" t="inlineStr">
        <is>
          <t>Mô-men định mức</t>
        </is>
      </c>
      <c r="C8" t="inlineStr">
        <is>
          <t>M_N</t>
        </is>
      </c>
      <c r="D8">
        <f>Catalogue!$H$8</f>
        <v/>
      </c>
      <c r="E8" t="inlineStr">
        <is>
          <t>N·m</t>
        </is>
      </c>
      <c r="F8" s="7" t="inlineStr"/>
      <c r="G8" s="7" t="inlineStr"/>
    </row>
    <row r="9">
      <c r="A9" t="inlineStr">
        <is>
          <t>lamK</t>
        </is>
      </c>
      <c r="B9" s="7" t="inlineStr">
        <is>
          <t>Bội số mô-men tới hạn</t>
        </is>
      </c>
      <c r="C9" t="inlineStr">
        <is>
          <t>λ_K</t>
        </is>
      </c>
      <c r="D9">
        <f>Catalogue!$H$14</f>
        <v/>
      </c>
      <c r="E9" t="inlineStr">
        <is>
          <t>-</t>
        </is>
      </c>
      <c r="F9" s="7" t="inlineStr"/>
      <c r="G9" s="7" t="inlineStr"/>
    </row>
    <row r="10">
      <c r="A10" t="inlineStr">
        <is>
          <t>ws</t>
        </is>
      </c>
      <c r="B10" s="7" t="inlineStr">
        <is>
          <t>Tần số góc nguồn</t>
        </is>
      </c>
      <c r="C10" t="inlineStr">
        <is>
          <t>ω_s</t>
        </is>
      </c>
      <c r="D10" s="10">
        <f>2*PI()*Params!$D$23</f>
        <v/>
      </c>
      <c r="E10" t="inlineStr">
        <is>
          <t>rad/s</t>
        </is>
      </c>
      <c r="F10" s="7" t="inlineStr">
        <is>
          <t>2πf</t>
        </is>
      </c>
      <c r="G10" s="7" t="inlineStr"/>
    </row>
    <row r="11">
      <c r="A11" t="inlineStr">
        <is>
          <t>Ns</t>
        </is>
      </c>
      <c r="B11" s="7" t="inlineStr">
        <is>
          <t>Tốc độ đồng bộ</t>
        </is>
      </c>
      <c r="C11" t="inlineStr">
        <is>
          <t>N_s</t>
        </is>
      </c>
      <c r="D11">
        <f>60*Params!$D$23/Params!$D$35</f>
        <v/>
      </c>
      <c r="E11" t="inlineStr">
        <is>
          <t>vg/ph</t>
        </is>
      </c>
      <c r="F11" s="7" t="inlineStr">
        <is>
          <t>60f/p</t>
        </is>
      </c>
      <c r="G11" s="7" t="inlineStr"/>
    </row>
    <row r="12">
      <c r="A12" s="5" t="inlineStr">
        <is>
          <t>B. 14 công thức ước lượng tham số động cơ</t>
        </is>
      </c>
      <c r="B12" s="6" t="n"/>
      <c r="C12" s="6" t="n"/>
      <c r="D12" s="6" t="n"/>
      <c r="E12" s="6" t="n"/>
      <c r="F12" s="6" t="n"/>
      <c r="G12" s="6" t="n"/>
    </row>
    <row r="13">
      <c r="A13" t="inlineStr">
        <is>
          <t>CT1</t>
        </is>
      </c>
      <c r="B13" s="7" t="inlineStr">
        <is>
          <t>1. Công suất điện đầu vào</t>
        </is>
      </c>
      <c r="C13" t="inlineStr">
        <is>
          <t>P_e,n</t>
        </is>
      </c>
      <c r="D13" s="11">
        <f>3*Tham_so_DC!$D$4*Tham_so_DC!$D$5*Tham_so_DC!$D$7</f>
        <v/>
      </c>
      <c r="E13" t="inlineStr">
        <is>
          <t>W</t>
        </is>
      </c>
      <c r="F13" s="7" t="inlineStr">
        <is>
          <t>3·U_ph·I_ph·cosφ</t>
        </is>
      </c>
      <c r="G13" s="7" t="inlineStr">
        <is>
          <t>Công suất điện, không phải P_N cơ</t>
        </is>
      </c>
    </row>
    <row r="14">
      <c r="A14" t="inlineStr">
        <is>
          <t>CT2</t>
        </is>
      </c>
      <c r="B14" s="7" t="inlineStr">
        <is>
          <t>2. Tổng trở pha</t>
        </is>
      </c>
      <c r="C14" t="inlineStr">
        <is>
          <t>Z_ph</t>
        </is>
      </c>
      <c r="D14" s="10">
        <f>Tham_so_DC!$D$4/Tham_so_DC!$D$5</f>
        <v/>
      </c>
      <c r="E14" t="inlineStr">
        <is>
          <t>Ω</t>
        </is>
      </c>
      <c r="F14" s="7" t="inlineStr">
        <is>
          <t>U_ph/I_ph</t>
        </is>
      </c>
      <c r="G14" s="7" t="inlineStr"/>
    </row>
    <row r="15">
      <c r="A15" t="inlineStr">
        <is>
          <t>CT3</t>
        </is>
      </c>
      <c r="B15" s="7" t="inlineStr">
        <is>
          <t>3. Hệ số trượt định mức</t>
        </is>
      </c>
      <c r="C15" t="inlineStr">
        <is>
          <t>s_n</t>
        </is>
      </c>
      <c r="D15" s="16">
        <f>(Tham_so_DC!$D$11-Tham_so_DC!$D$6)/Tham_so_DC!$D$11</f>
        <v/>
      </c>
      <c r="E15" t="inlineStr">
        <is>
          <t>-</t>
        </is>
      </c>
      <c r="F15" s="7" t="inlineStr">
        <is>
          <t>(N_s − N_n)/N_s</t>
        </is>
      </c>
      <c r="G15" s="7" t="inlineStr"/>
    </row>
    <row r="16">
      <c r="A16" t="inlineStr">
        <is>
          <t>CT4</t>
        </is>
      </c>
      <c r="B16" s="7" t="inlineStr">
        <is>
          <t>4. Điện trở rotor</t>
        </is>
      </c>
      <c r="C16" t="inlineStr">
        <is>
          <t>R_r</t>
        </is>
      </c>
      <c r="D16" s="9">
        <f>Tham_so_DC!$D$15*Tham_so_DC!$D$14</f>
        <v/>
      </c>
      <c r="E16" t="inlineStr">
        <is>
          <t>Ω</t>
        </is>
      </c>
      <c r="F16" s="7" t="inlineStr">
        <is>
          <t>s_n·Z_ph</t>
        </is>
      </c>
      <c r="G16" s="7" t="inlineStr"/>
    </row>
    <row r="17">
      <c r="A17" t="inlineStr">
        <is>
          <t>CT5a</t>
        </is>
      </c>
      <c r="B17" s="7" t="inlineStr">
        <is>
          <t>5a. Dòng trục d định mức</t>
        </is>
      </c>
      <c r="C17" t="inlineStr">
        <is>
          <t>I_sd,n</t>
        </is>
      </c>
      <c r="D17" s="16">
        <f>SQRT(2)*Tham_so_DC!$D$5*SQRT(1-Tham_so_DC!$D$7)</f>
        <v/>
      </c>
      <c r="E17" t="inlineStr">
        <is>
          <t>A</t>
        </is>
      </c>
      <c r="F17" s="7" t="inlineStr">
        <is>
          <t>√2·I_ph·√(1 − cosφ)</t>
        </is>
      </c>
      <c r="G17" s="7" t="inlineStr"/>
    </row>
    <row r="18">
      <c r="A18" t="inlineStr">
        <is>
          <t>CT5b</t>
        </is>
      </c>
      <c r="B18" s="7" t="inlineStr">
        <is>
          <t>5b. Dòng trục q định mức</t>
        </is>
      </c>
      <c r="C18" t="inlineStr">
        <is>
          <t>I_sq,n</t>
        </is>
      </c>
      <c r="D18" s="16">
        <f>SQRT(2*Tham_so_DC!$D$5^2-Tham_so_DC!$D$17^2)</f>
        <v/>
      </c>
      <c r="E18" t="inlineStr">
        <is>
          <t>A</t>
        </is>
      </c>
      <c r="F18" s="7" t="inlineStr">
        <is>
          <t>√(2I_ph² − I_sd²)</t>
        </is>
      </c>
      <c r="G18" s="7" t="inlineStr"/>
    </row>
    <row r="19">
      <c r="A19" t="inlineStr">
        <is>
          <t>CT6</t>
        </is>
      </c>
      <c r="B19" s="7" t="inlineStr">
        <is>
          <t>6. Tốc độ trượt</t>
        </is>
      </c>
      <c r="C19" t="inlineStr">
        <is>
          <t>ω_sl,n</t>
        </is>
      </c>
      <c r="D19" s="9">
        <f>Tham_so_DC!$D$10-Params!$D$35*2*PI()*Tham_so_DC!$D$6/60</f>
        <v/>
      </c>
      <c r="E19" t="inlineStr">
        <is>
          <t>rad/s</t>
        </is>
      </c>
      <c r="F19" s="7" t="inlineStr">
        <is>
          <t>2πf − p·2πN_n/60</t>
        </is>
      </c>
      <c r="G19" s="7" t="inlineStr"/>
    </row>
    <row r="20">
      <c r="A20" t="inlineStr">
        <is>
          <t>CT7</t>
        </is>
      </c>
      <c r="B20" s="7" t="inlineStr">
        <is>
          <t>7. Hằng số thời gian rotor</t>
        </is>
      </c>
      <c r="C20" t="inlineStr">
        <is>
          <t>T_r</t>
        </is>
      </c>
      <c r="D20" s="16">
        <f>Tham_so_DC!$D$18/(Tham_so_DC!$D$19*Tham_so_DC!$D$17)</f>
        <v/>
      </c>
      <c r="E20" t="inlineStr">
        <is>
          <t>s</t>
        </is>
      </c>
      <c r="F20" s="7" t="inlineStr">
        <is>
          <t>I_sq/(ω_sl·I_sd)</t>
        </is>
      </c>
      <c r="G20" s="7" t="inlineStr"/>
    </row>
    <row r="21">
      <c r="A21" t="inlineStr">
        <is>
          <t>CT8</t>
        </is>
      </c>
      <c r="B21" s="7" t="inlineStr">
        <is>
          <t>8. Điện kháng tản tổng</t>
        </is>
      </c>
      <c r="C21" t="inlineStr">
        <is>
          <t>X_σ</t>
        </is>
      </c>
      <c r="D21" s="10">
        <f>(SQRT(1-Tham_so_DC!$D$7^2)-Tham_so_DC!$D$7*Tham_so_DC!$D$17/Tham_so_DC!$D$18)*Tham_so_DC!$D$14</f>
        <v/>
      </c>
      <c r="E21" t="inlineStr">
        <is>
          <t>Ω</t>
        </is>
      </c>
      <c r="F21" s="7" t="inlineStr">
        <is>
          <t>(sinφ − cosφ·I_sd/I_sq)·U_ph/I_ph</t>
        </is>
      </c>
      <c r="G21" s="7" t="inlineStr"/>
    </row>
    <row r="22">
      <c r="A22" t="inlineStr">
        <is>
          <t>CT9</t>
        </is>
      </c>
      <c r="B22" s="7" t="inlineStr">
        <is>
          <t>9. Điện kháng chính stator</t>
        </is>
      </c>
      <c r="C22" t="inlineStr">
        <is>
          <t>X_s</t>
        </is>
      </c>
      <c r="D22" s="10">
        <f>SQRT(2)*Tham_so_DC!$D$4/Tham_so_DC!$D$17-Tham_so_DC!$D$21</f>
        <v/>
      </c>
      <c r="E22" t="inlineStr">
        <is>
          <t>Ω</t>
        </is>
      </c>
      <c r="F22" s="7" t="inlineStr">
        <is>
          <t>√2·U_ph/I_sd − X_σ</t>
        </is>
      </c>
      <c r="G22" s="7" t="inlineStr"/>
    </row>
    <row r="23">
      <c r="A23" t="inlineStr">
        <is>
          <t>CT10</t>
        </is>
      </c>
      <c r="B23" s="7" t="inlineStr">
        <is>
          <t>10. Điện trở stator</t>
        </is>
      </c>
      <c r="C23" t="inlineStr">
        <is>
          <t>R_s</t>
        </is>
      </c>
      <c r="D23" s="9">
        <f>Tham_so_DC!$D$19/Tham_so_DC!$D$10*Tham_so_DC!$D$17/Tham_so_DC!$D$18*Tham_so_DC!$D$22</f>
        <v/>
      </c>
      <c r="E23" t="inlineStr">
        <is>
          <t>Ω</t>
        </is>
      </c>
      <c r="F23" s="7" t="inlineStr">
        <is>
          <t>(ω_sl/ω_s)·(I_sd/I_sq)·X_s</t>
        </is>
      </c>
      <c r="G23" s="7" t="inlineStr">
        <is>
          <t>Giả thiết R_s ≈ R_r</t>
        </is>
      </c>
    </row>
    <row r="24">
      <c r="A24" t="inlineStr">
        <is>
          <t>CT11</t>
        </is>
      </c>
      <c r="B24" s="7" t="inlineStr">
        <is>
          <t>11. Hệ số tản</t>
        </is>
      </c>
      <c r="C24" t="inlineStr">
        <is>
          <t>σ</t>
        </is>
      </c>
      <c r="D24" s="16">
        <f>Tham_so_DC!$D$21/Tham_so_DC!$D$22</f>
        <v/>
      </c>
      <c r="E24" t="inlineStr">
        <is>
          <t>-</t>
        </is>
      </c>
      <c r="F24" s="7" t="inlineStr">
        <is>
          <t>X_σ/X_s</t>
        </is>
      </c>
      <c r="G24" s="7" t="inlineStr"/>
    </row>
    <row r="25">
      <c r="A25" t="inlineStr">
        <is>
          <t>CT12</t>
        </is>
      </c>
      <c r="B25" s="7" t="inlineStr">
        <is>
          <t>12. Hằng số thời gian stator</t>
        </is>
      </c>
      <c r="C25" t="inlineStr">
        <is>
          <t>T_s</t>
        </is>
      </c>
      <c r="D25" s="16">
        <f>Tham_so_DC!$D$22/(Tham_so_DC!$D$10*Tham_so_DC!$D$23)</f>
        <v/>
      </c>
      <c r="E25" t="inlineStr">
        <is>
          <t>s</t>
        </is>
      </c>
      <c r="F25" s="7" t="inlineStr">
        <is>
          <t>X_s/(ω_s·R_s)</t>
        </is>
      </c>
      <c r="G25" s="7" t="inlineStr">
        <is>
          <t>Thay CT10 vào ⇒ T_s ≡ T_r (trùng nhau do cách lập công thức, không phải lỗi tính)</t>
        </is>
      </c>
    </row>
    <row r="26">
      <c r="A26" t="inlineStr">
        <is>
          <t>CT13</t>
        </is>
      </c>
      <c r="B26" s="7" t="inlineStr">
        <is>
          <t>13. Điện cảm rotor</t>
        </is>
      </c>
      <c r="C26" t="inlineStr">
        <is>
          <t>L_r</t>
        </is>
      </c>
      <c r="D26" s="16">
        <f>Tham_so_DC!$D$20*Tham_so_DC!$D$16</f>
        <v/>
      </c>
      <c r="E26" t="inlineStr">
        <is>
          <t>H</t>
        </is>
      </c>
      <c r="F26" s="7" t="inlineStr">
        <is>
          <t>T_r·R_r</t>
        </is>
      </c>
      <c r="G26" s="7" t="inlineStr"/>
    </row>
    <row r="27">
      <c r="A27" t="inlineStr">
        <is>
          <t>Ls</t>
        </is>
      </c>
      <c r="B27" s="7" t="inlineStr">
        <is>
          <t>(phụ) Điện cảm stator</t>
        </is>
      </c>
      <c r="C27" t="inlineStr">
        <is>
          <t>L_s</t>
        </is>
      </c>
      <c r="D27" s="16">
        <f>Tham_so_DC!$D$22/Tham_so_DC!$D$10</f>
        <v/>
      </c>
      <c r="E27" t="inlineStr">
        <is>
          <t>H</t>
        </is>
      </c>
      <c r="F27" s="7" t="inlineStr">
        <is>
          <t>X_s/ω_s</t>
        </is>
      </c>
      <c r="G27" s="7" t="inlineStr"/>
    </row>
    <row r="28">
      <c r="A28" t="inlineStr">
        <is>
          <t>CT14</t>
        </is>
      </c>
      <c r="B28" s="7" t="inlineStr">
        <is>
          <t>14. Hỗ cảm</t>
        </is>
      </c>
      <c r="C28" t="inlineStr">
        <is>
          <t>L_m</t>
        </is>
      </c>
      <c r="D28" s="16">
        <f>SQRT(Tham_so_DC!$D$27*Tham_so_DC!$D$26*(1-Tham_so_DC!$D$24))</f>
        <v/>
      </c>
      <c r="E28" t="inlineStr">
        <is>
          <t>H</t>
        </is>
      </c>
      <c r="F28" s="7" t="inlineStr">
        <is>
          <t>√(L_s·L_r·(1 − σ))</t>
        </is>
      </c>
      <c r="G28" s="7" t="inlineStr"/>
    </row>
    <row r="29">
      <c r="A29" s="5" t="inlineStr">
        <is>
          <t>C. Bộ hiệu chỉnh: R_s từ cân bằng công suất; R_r', L_σ, L_m khớp catalogue (I_N, cosφ_N, M_N, λ_K)</t>
        </is>
      </c>
      <c r="B29" s="6" t="n"/>
      <c r="C29" s="6" t="n"/>
      <c r="D29" s="6" t="n"/>
      <c r="E29" s="6" t="n"/>
      <c r="F29" s="6" t="n"/>
      <c r="G29" s="6" t="n"/>
    </row>
    <row r="30">
      <c r="A30" t="inlineStr">
        <is>
          <t>Ploss</t>
        </is>
      </c>
      <c r="B30" s="7" t="inlineStr">
        <is>
          <t>Tổng tổn hao định mức</t>
        </is>
      </c>
      <c r="C30" t="inlineStr">
        <is>
          <t>ΣΔP</t>
        </is>
      </c>
      <c r="D30" s="10">
        <f>Catalogue!$H$7*1000/Catalogue!$H$12-Catalogue!$H$7*1000</f>
        <v/>
      </c>
      <c r="E30" t="inlineStr">
        <is>
          <t>W</t>
        </is>
      </c>
      <c r="F30" s="7" t="inlineStr">
        <is>
          <t>P_N/η − P_N</t>
        </is>
      </c>
      <c r="G30" s="7" t="inlineStr"/>
    </row>
    <row r="31">
      <c r="A31" t="inlineStr">
        <is>
          <t>Pcu2</t>
        </is>
      </c>
      <c r="B31" s="7" t="inlineStr">
        <is>
          <t>Tổn hao đồng rotor</t>
        </is>
      </c>
      <c r="C31" t="inlineStr">
        <is>
          <t>ΔP_Cu2</t>
        </is>
      </c>
      <c r="D31" s="10">
        <f>Tham_so_DC!$D$15/(1-Tham_so_DC!$D$15)*Catalogue!$H$7*1000</f>
        <v/>
      </c>
      <c r="E31" t="inlineStr">
        <is>
          <t>W</t>
        </is>
      </c>
      <c r="F31" s="7" t="inlineStr">
        <is>
          <t>s/(1 − s)·P_N</t>
        </is>
      </c>
      <c r="G31" s="7" t="inlineStr"/>
    </row>
    <row r="32">
      <c r="A32" t="inlineStr">
        <is>
          <t>Pcu1</t>
        </is>
      </c>
      <c r="B32" s="7" t="inlineStr">
        <is>
          <t>Tổn hao đồng stator</t>
        </is>
      </c>
      <c r="C32" t="inlineStr">
        <is>
          <t>ΔP_Cu1</t>
        </is>
      </c>
      <c r="D32" s="10">
        <f>Tham_so_DC!$D$30*(1-Params!$D$40)-Tham_so_DC!$D$31</f>
        <v/>
      </c>
      <c r="E32" t="inlineStr">
        <is>
          <t>W</t>
        </is>
      </c>
      <c r="F32" s="7" t="inlineStr">
        <is>
          <t>ΣΔP(1 − k_Fe) − ΔP_Cu2</t>
        </is>
      </c>
      <c r="G32" s="7" t="inlineStr"/>
    </row>
    <row r="33">
      <c r="A33" t="inlineStr">
        <is>
          <t>Rs_c</t>
        </is>
      </c>
      <c r="B33" s="7" t="inlineStr">
        <is>
          <t>Điện trở stator hiệu chỉnh</t>
        </is>
      </c>
      <c r="C33" t="inlineStr">
        <is>
          <t>R_s</t>
        </is>
      </c>
      <c r="D33" s="9">
        <f>Tham_so_DC!$D$32/(3*Tham_so_DC!$D$5^2)</f>
        <v/>
      </c>
      <c r="E33" t="inlineStr">
        <is>
          <t>Ω</t>
        </is>
      </c>
      <c r="F33" s="7" t="inlineStr">
        <is>
          <t>ΔP_Cu1/(3I²)</t>
        </is>
      </c>
      <c r="G33" s="7" t="inlineStr">
        <is>
          <t>[B]</t>
        </is>
      </c>
    </row>
    <row r="34">
      <c r="A34" t="inlineStr">
        <is>
          <t>Rr_c</t>
        </is>
      </c>
      <c r="B34" s="7" t="inlineStr">
        <is>
          <t>Điện trở rotor quy đổi hiệu chỉnh</t>
        </is>
      </c>
      <c r="C34" t="inlineStr">
        <is>
          <t>R_r'</t>
        </is>
      </c>
      <c r="D34" s="8" t="n">
        <v>17.312</v>
      </c>
      <c r="E34" t="inlineStr">
        <is>
          <t>Ω</t>
        </is>
      </c>
      <c r="F34" s="7" t="inlineStr">
        <is>
          <t>Giải tối thiểu tổng bình phương 4 sai số (Excel Solver)</t>
        </is>
      </c>
      <c r="G34" s="7" t="inlineStr">
        <is>
          <t>Giá trị cho DRN71M4; đổi động cơ phải giải lại</t>
        </is>
      </c>
    </row>
    <row r="35">
      <c r="A35" t="inlineStr">
        <is>
          <t>Ll_c</t>
        </is>
      </c>
      <c r="B35" s="7" t="inlineStr">
        <is>
          <t>Điện cảm tản stator = rotor hiệu chỉnh</t>
        </is>
      </c>
      <c r="C35" t="inlineStr">
        <is>
          <t>L_σs = L_σr</t>
        </is>
      </c>
      <c r="D35" s="8" t="n">
        <v>0.0731</v>
      </c>
      <c r="E35" t="inlineStr">
        <is>
          <t>H</t>
        </is>
      </c>
      <c r="F35" s="7" t="inlineStr">
        <is>
          <t>Như trên; chia đều L_σ cho stator và rotor</t>
        </is>
      </c>
      <c r="G35" s="7" t="inlineStr"/>
    </row>
    <row r="36">
      <c r="A36" t="inlineStr">
        <is>
          <t>Lm_c</t>
        </is>
      </c>
      <c r="B36" s="7" t="inlineStr">
        <is>
          <t>Hỗ cảm hiệu chỉnh</t>
        </is>
      </c>
      <c r="C36" t="inlineStr">
        <is>
          <t>L_m</t>
        </is>
      </c>
      <c r="D36" s="8" t="n">
        <v>0.9049</v>
      </c>
      <c r="E36" t="inlineStr">
        <is>
          <t>H</t>
        </is>
      </c>
      <c r="F36" s="7" t="inlineStr">
        <is>
          <t>Như trên</t>
        </is>
      </c>
      <c r="G36" s="7" t="inlineStr"/>
    </row>
    <row r="37">
      <c r="A37" s="5" t="inlineStr">
        <is>
          <t>D. Kiểm chứng: mạch thay thế hình T tại U_N, f_N, s_n — cột D: 14 công thức; cột G: bộ hiệu chỉnh</t>
        </is>
      </c>
      <c r="B37" s="6" t="n"/>
      <c r="C37" s="6" t="n"/>
      <c r="D37" s="6" t="n"/>
      <c r="E37" s="6" t="n"/>
      <c r="F37" s="6" t="n"/>
      <c r="G37" s="6" t="n"/>
    </row>
    <row r="38">
      <c r="A38" t="inlineStr">
        <is>
          <t>Rs</t>
        </is>
      </c>
      <c r="B38" t="inlineStr">
        <is>
          <t>R_s</t>
        </is>
      </c>
      <c r="C38" t="inlineStr">
        <is>
          <t>R_s</t>
        </is>
      </c>
      <c r="D38" s="9">
        <f>Tham_so_DC!$D$23</f>
        <v/>
      </c>
      <c r="E38" t="inlineStr">
        <is>
          <t>Ω</t>
        </is>
      </c>
      <c r="G38" s="9">
        <f>Tham_so_DC!$D$33</f>
        <v/>
      </c>
    </row>
    <row r="39">
      <c r="A39" t="inlineStr">
        <is>
          <t>Rr</t>
        </is>
      </c>
      <c r="B39" t="inlineStr">
        <is>
          <t>R_r'</t>
        </is>
      </c>
      <c r="C39" t="inlineStr">
        <is>
          <t>R_r'</t>
        </is>
      </c>
      <c r="D39" s="9">
        <f>Tham_so_DC!$D$16</f>
        <v/>
      </c>
      <c r="E39" t="inlineStr">
        <is>
          <t>Ω</t>
        </is>
      </c>
      <c r="G39" s="9">
        <f>Tham_so_DC!$D$34</f>
        <v/>
      </c>
    </row>
    <row r="40">
      <c r="A40" t="inlineStr">
        <is>
          <t>Lls</t>
        </is>
      </c>
      <c r="B40" t="inlineStr">
        <is>
          <t>L_σs</t>
        </is>
      </c>
      <c r="C40" t="inlineStr">
        <is>
          <t>L_σs</t>
        </is>
      </c>
      <c r="D40" s="16">
        <f>Tham_so_DC!$D$27-Tham_so_DC!$D$28</f>
        <v/>
      </c>
      <c r="E40" t="inlineStr">
        <is>
          <t>H</t>
        </is>
      </c>
      <c r="G40" s="16">
        <f>Tham_so_DC!$D$35</f>
        <v/>
      </c>
    </row>
    <row r="41">
      <c r="A41" t="inlineStr">
        <is>
          <t>Llr</t>
        </is>
      </c>
      <c r="B41" t="inlineStr">
        <is>
          <t>L_σr</t>
        </is>
      </c>
      <c r="C41" t="inlineStr">
        <is>
          <t>L_σr</t>
        </is>
      </c>
      <c r="D41" s="16">
        <f>Tham_so_DC!$D$26-Tham_so_DC!$D$28</f>
        <v/>
      </c>
      <c r="E41" t="inlineStr">
        <is>
          <t>H</t>
        </is>
      </c>
      <c r="G41" s="16">
        <f>Tham_so_DC!$D$35</f>
        <v/>
      </c>
    </row>
    <row r="42">
      <c r="A42" t="inlineStr">
        <is>
          <t>Lm</t>
        </is>
      </c>
      <c r="B42" t="inlineStr">
        <is>
          <t>L_m</t>
        </is>
      </c>
      <c r="C42" t="inlineStr">
        <is>
          <t>L_m</t>
        </is>
      </c>
      <c r="D42" s="16">
        <f>Tham_so_DC!$D$28</f>
        <v/>
      </c>
      <c r="E42" t="inlineStr">
        <is>
          <t>H</t>
        </is>
      </c>
      <c r="G42" s="16">
        <f>Tham_so_DC!$D$36</f>
        <v/>
      </c>
    </row>
    <row r="43">
      <c r="A43" t="inlineStr">
        <is>
          <t>Xm</t>
        </is>
      </c>
      <c r="B43" t="inlineStr">
        <is>
          <t>Điện kháng từ hóa</t>
        </is>
      </c>
      <c r="C43" t="inlineStr">
        <is>
          <t>X_m</t>
        </is>
      </c>
      <c r="D43" s="10">
        <f>Tham_so_DC!$D$10*Tham_so_DC!$D$42</f>
        <v/>
      </c>
      <c r="E43" t="inlineStr">
        <is>
          <t>Ω</t>
        </is>
      </c>
      <c r="G43" s="10">
        <f>Tham_so_DC!$D$10*Tham_so_DC!$G$42</f>
        <v/>
      </c>
    </row>
    <row r="44">
      <c r="A44" t="inlineStr">
        <is>
          <t>Xls</t>
        </is>
      </c>
      <c r="B44" t="inlineStr">
        <is>
          <t>Điện kháng tản stator</t>
        </is>
      </c>
      <c r="C44" t="inlineStr">
        <is>
          <t>X_σs</t>
        </is>
      </c>
      <c r="D44" s="10">
        <f>Tham_so_DC!$D$10*Tham_so_DC!$D$40</f>
        <v/>
      </c>
      <c r="E44" t="inlineStr">
        <is>
          <t>Ω</t>
        </is>
      </c>
      <c r="G44" s="10">
        <f>Tham_so_DC!$D$10*Tham_so_DC!$G$40</f>
        <v/>
      </c>
    </row>
    <row r="45">
      <c r="A45" t="inlineStr">
        <is>
          <t>Xlr</t>
        </is>
      </c>
      <c r="B45" t="inlineStr">
        <is>
          <t>Điện kháng tản rotor</t>
        </is>
      </c>
      <c r="C45" t="inlineStr">
        <is>
          <t>X_σr</t>
        </is>
      </c>
      <c r="D45" s="10">
        <f>Tham_so_DC!$D$10*Tham_so_DC!$D$41</f>
        <v/>
      </c>
      <c r="E45" t="inlineStr">
        <is>
          <t>Ω</t>
        </is>
      </c>
      <c r="G45" s="10">
        <f>Tham_so_DC!$D$10*Tham_so_DC!$G$41</f>
        <v/>
      </c>
    </row>
    <row r="46">
      <c r="A46" t="inlineStr">
        <is>
          <t>a1</t>
        </is>
      </c>
      <c r="B46" t="inlineStr">
        <is>
          <t>Re nhánh rotor R_r'/s</t>
        </is>
      </c>
      <c r="C46" t="inlineStr">
        <is>
          <t>a₁</t>
        </is>
      </c>
      <c r="D46" s="10">
        <f>Tham_so_DC!$D$39/Tham_so_DC!$D$15</f>
        <v/>
      </c>
      <c r="E46" t="inlineStr">
        <is>
          <t>Ω</t>
        </is>
      </c>
      <c r="G46" s="10">
        <f>Tham_so_DC!$G$39/Tham_so_DC!$D$15</f>
        <v/>
      </c>
    </row>
    <row r="47">
      <c r="A47" t="inlineStr">
        <is>
          <t>dd</t>
        </is>
      </c>
      <c r="B47" t="inlineStr">
        <is>
          <t>|Z_r + Z_m|²</t>
        </is>
      </c>
      <c r="C47" t="inlineStr"/>
      <c r="D47" s="11">
        <f>Tham_so_DC!$D$46^2+(Tham_so_DC!$D$45+Tham_so_DC!$D$43)^2</f>
        <v/>
      </c>
      <c r="E47" t="inlineStr">
        <is>
          <t>Ω²</t>
        </is>
      </c>
      <c r="G47" s="11">
        <f>Tham_so_DC!$G$46^2+(Tham_so_DC!$G$45+Tham_so_DC!$G$43)^2</f>
        <v/>
      </c>
    </row>
    <row r="48">
      <c r="A48" t="inlineStr">
        <is>
          <t>Rp</t>
        </is>
      </c>
      <c r="B48" t="inlineStr">
        <is>
          <t>Re(Z_r ∥ Z_m)</t>
        </is>
      </c>
      <c r="C48" t="inlineStr"/>
      <c r="D48" s="10">
        <f>Tham_so_DC!$D$46*Tham_so_DC!$D$43^2/Tham_so_DC!$D$47</f>
        <v/>
      </c>
      <c r="E48" t="inlineStr">
        <is>
          <t>Ω</t>
        </is>
      </c>
      <c r="G48" s="10">
        <f>Tham_so_DC!$G$46*Tham_so_DC!$G$43^2/Tham_so_DC!$G$47</f>
        <v/>
      </c>
    </row>
    <row r="49">
      <c r="A49" t="inlineStr">
        <is>
          <t>Xp</t>
        </is>
      </c>
      <c r="B49" t="inlineStr">
        <is>
          <t>Im(Z_r ∥ Z_m)</t>
        </is>
      </c>
      <c r="C49" t="inlineStr"/>
      <c r="D49" s="10">
        <f>Tham_so_DC!$D$43*(Tham_so_DC!$D$46^2+Tham_so_DC!$D$45*(Tham_so_DC!$D$45+Tham_so_DC!$D$43))/Tham_so_DC!$D$47</f>
        <v/>
      </c>
      <c r="E49" t="inlineStr">
        <is>
          <t>Ω</t>
        </is>
      </c>
      <c r="G49" s="10">
        <f>Tham_so_DC!$G$43*(Tham_so_DC!$G$46^2+Tham_so_DC!$G$45*(Tham_so_DC!$G$45+Tham_so_DC!$G$43))/Tham_so_DC!$G$47</f>
        <v/>
      </c>
    </row>
    <row r="50">
      <c r="A50" t="inlineStr">
        <is>
          <t>Zin</t>
        </is>
      </c>
      <c r="B50" t="inlineStr">
        <is>
          <t>|Z_vào|</t>
        </is>
      </c>
      <c r="C50" t="inlineStr">
        <is>
          <t>|Z|</t>
        </is>
      </c>
      <c r="D50" s="10">
        <f>SQRT((Tham_so_DC!$D$38+Tham_so_DC!$D$48)^2+(Tham_so_DC!$D$44+Tham_so_DC!$D$49)^2)</f>
        <v/>
      </c>
      <c r="E50" t="inlineStr">
        <is>
          <t>Ω</t>
        </is>
      </c>
      <c r="G50" s="10">
        <f>SQRT((Tham_so_DC!$G$38+Tham_so_DC!$G$48)^2+(Tham_so_DC!$G$44+Tham_so_DC!$G$49)^2)</f>
        <v/>
      </c>
    </row>
    <row r="51">
      <c r="A51" t="inlineStr">
        <is>
          <t>Is</t>
        </is>
      </c>
      <c r="B51" t="inlineStr">
        <is>
          <t>Dòng stator</t>
        </is>
      </c>
      <c r="C51" t="inlineStr">
        <is>
          <t>I_s</t>
        </is>
      </c>
      <c r="D51" s="9">
        <f>Tham_so_DC!$D$4/Tham_so_DC!$D$50</f>
        <v/>
      </c>
      <c r="E51" t="inlineStr">
        <is>
          <t>A</t>
        </is>
      </c>
      <c r="G51" s="9">
        <f>Tham_so_DC!$D$4/Tham_so_DC!$G$50</f>
        <v/>
      </c>
    </row>
    <row r="52">
      <c r="A52" t="inlineStr">
        <is>
          <t>cosm</t>
        </is>
      </c>
      <c r="B52" t="inlineStr">
        <is>
          <t>Hệ số công suất</t>
        </is>
      </c>
      <c r="C52" t="inlineStr">
        <is>
          <t>cosφ</t>
        </is>
      </c>
      <c r="D52" s="9">
        <f>(Tham_so_DC!$D$38+Tham_so_DC!$D$48)/Tham_so_DC!$D$50</f>
        <v/>
      </c>
      <c r="E52" t="inlineStr">
        <is>
          <t>-</t>
        </is>
      </c>
      <c r="G52" s="9">
        <f>(Tham_so_DC!$G$38+Tham_so_DC!$G$48)/Tham_so_DC!$G$50</f>
        <v/>
      </c>
    </row>
    <row r="53">
      <c r="A53" t="inlineStr">
        <is>
          <t>Ir</t>
        </is>
      </c>
      <c r="B53" t="inlineStr">
        <is>
          <t>Dòng rotor quy đổi</t>
        </is>
      </c>
      <c r="C53" t="inlineStr">
        <is>
          <t>I_r'</t>
        </is>
      </c>
      <c r="D53" s="9">
        <f>Tham_so_DC!$D$51*Tham_so_DC!$D$43/SQRT(Tham_so_DC!$D$47)</f>
        <v/>
      </c>
      <c r="E53" t="inlineStr">
        <is>
          <t>A</t>
        </is>
      </c>
      <c r="G53" s="9">
        <f>Tham_so_DC!$G$51*Tham_so_DC!$G$43/SQRT(Tham_so_DC!$G$47)</f>
        <v/>
      </c>
    </row>
    <row r="54">
      <c r="A54" t="inlineStr">
        <is>
          <t>Mm</t>
        </is>
      </c>
      <c r="B54" t="inlineStr">
        <is>
          <t>Mô-men tại s_n</t>
        </is>
      </c>
      <c r="C54" t="inlineStr">
        <is>
          <t>M</t>
        </is>
      </c>
      <c r="D54" s="9">
        <f>3*Tham_so_DC!$D$53^2*Tham_so_DC!$D$46/(2*PI()*Tham_so_DC!$D$11/60)</f>
        <v/>
      </c>
      <c r="E54" t="inlineStr">
        <is>
          <t>N·m</t>
        </is>
      </c>
      <c r="G54" s="9">
        <f>3*Tham_so_DC!$G$53^2*Tham_so_DC!$G$46/(2*PI()*Tham_so_DC!$D$11/60)</f>
        <v/>
      </c>
    </row>
    <row r="55">
      <c r="A55" t="inlineStr">
        <is>
          <t>Uth</t>
        </is>
      </c>
      <c r="B55" t="inlineStr">
        <is>
          <t>Điện áp Thevenin</t>
        </is>
      </c>
      <c r="C55" t="inlineStr">
        <is>
          <t>U_th</t>
        </is>
      </c>
      <c r="D55" s="10">
        <f>Tham_so_DC!$D$4*Tham_so_DC!$D$43/SQRT(Tham_so_DC!$D$38^2+(Tham_so_DC!$D$44+Tham_so_DC!$D$43)^2)</f>
        <v/>
      </c>
      <c r="E55" t="inlineStr">
        <is>
          <t>V</t>
        </is>
      </c>
      <c r="G55" s="10">
        <f>Tham_so_DC!$D$4*Tham_so_DC!$G$43/SQRT(Tham_so_DC!$G$38^2+(Tham_so_DC!$G$44+Tham_so_DC!$G$43)^2)</f>
        <v/>
      </c>
    </row>
    <row r="56">
      <c r="A56" t="inlineStr">
        <is>
          <t>dth</t>
        </is>
      </c>
      <c r="B56" t="inlineStr">
        <is>
          <t>|R_s + j(X_σs + X_m)|²</t>
        </is>
      </c>
      <c r="C56" t="inlineStr"/>
      <c r="D56" s="11">
        <f>Tham_so_DC!$D$38^2+(Tham_so_DC!$D$44+Tham_so_DC!$D$43)^2</f>
        <v/>
      </c>
      <c r="E56" t="inlineStr">
        <is>
          <t>Ω²</t>
        </is>
      </c>
      <c r="G56" s="11">
        <f>Tham_so_DC!$G$38^2+(Tham_so_DC!$G$44+Tham_so_DC!$G$43)^2</f>
        <v/>
      </c>
    </row>
    <row r="57">
      <c r="A57" t="inlineStr">
        <is>
          <t>Rth</t>
        </is>
      </c>
      <c r="B57" t="inlineStr">
        <is>
          <t>R_th</t>
        </is>
      </c>
      <c r="C57" t="inlineStr">
        <is>
          <t>R_th</t>
        </is>
      </c>
      <c r="D57" s="9">
        <f>Tham_so_DC!$D$38*Tham_so_DC!$D$43^2/Tham_so_DC!$D$56</f>
        <v/>
      </c>
      <c r="E57" t="inlineStr">
        <is>
          <t>Ω</t>
        </is>
      </c>
      <c r="G57" s="9">
        <f>Tham_so_DC!$G$38*Tham_so_DC!$G$43^2/Tham_so_DC!$G$56</f>
        <v/>
      </c>
    </row>
    <row r="58">
      <c r="A58" t="inlineStr">
        <is>
          <t>Xth</t>
        </is>
      </c>
      <c r="B58" t="inlineStr">
        <is>
          <t>X_th</t>
        </is>
      </c>
      <c r="C58" t="inlineStr">
        <is>
          <t>X_th</t>
        </is>
      </c>
      <c r="D58" s="9">
        <f>Tham_so_DC!$D$43*(Tham_so_DC!$D$38^2+Tham_so_DC!$D$44*(Tham_so_DC!$D$44+Tham_so_DC!$D$43))/Tham_so_DC!$D$56</f>
        <v/>
      </c>
      <c r="E58" t="inlineStr">
        <is>
          <t>Ω</t>
        </is>
      </c>
      <c r="G58" s="9">
        <f>Tham_so_DC!$G$43*(Tham_so_DC!$G$38^2+Tham_so_DC!$G$44*(Tham_so_DC!$G$44+Tham_so_DC!$G$43))/Tham_so_DC!$G$56</f>
        <v/>
      </c>
    </row>
    <row r="59">
      <c r="A59" t="inlineStr">
        <is>
          <t>Mk</t>
        </is>
      </c>
      <c r="B59" t="inlineStr">
        <is>
          <t>Mô-men tới hạn</t>
        </is>
      </c>
      <c r="C59" t="inlineStr">
        <is>
          <t>M_K</t>
        </is>
      </c>
      <c r="D59" s="9">
        <f>3*Tham_so_DC!$D$55^2/(2*(2*PI()*Tham_so_DC!$D$11/60)*(Tham_so_DC!$D$57+SQRT(Tham_so_DC!$D$57^2+(Tham_so_DC!$D$58+Tham_so_DC!$D$45)^2)))</f>
        <v/>
      </c>
      <c r="E59" t="inlineStr">
        <is>
          <t>N·m</t>
        </is>
      </c>
      <c r="G59" s="9">
        <f>3*Tham_so_DC!$G$55^2/(2*(2*PI()*Tham_so_DC!$D$11/60)*(Tham_so_DC!$G$57+SQRT(Tham_so_DC!$G$57^2+(Tham_so_DC!$G$58+Tham_so_DC!$G$45)^2)))</f>
        <v/>
      </c>
    </row>
    <row r="60">
      <c r="A60" t="inlineStr">
        <is>
          <t>lam</t>
        </is>
      </c>
      <c r="B60" t="inlineStr">
        <is>
          <t>Bội số mô-men tới hạn</t>
        </is>
      </c>
      <c r="C60" t="inlineStr">
        <is>
          <t>λ_K</t>
        </is>
      </c>
      <c r="D60" s="9">
        <f>Tham_so_DC!$D$59/Tham_so_DC!$D$8</f>
        <v/>
      </c>
      <c r="E60" t="inlineStr">
        <is>
          <t>-</t>
        </is>
      </c>
      <c r="G60" s="9">
        <f>Tham_so_DC!$G$59/Tham_so_DC!$D$8</f>
        <v/>
      </c>
    </row>
    <row r="61">
      <c r="A61" t="inlineStr">
        <is>
          <t>eI</t>
        </is>
      </c>
      <c r="B61" t="inlineStr">
        <is>
          <t>Sai số dòng định mức</t>
        </is>
      </c>
      <c r="C61" t="inlineStr">
        <is>
          <t>ε_I</t>
        </is>
      </c>
      <c r="D61" s="19">
        <f>Tham_so_DC!$D$51/Tham_so_DC!$D$5-1</f>
        <v/>
      </c>
      <c r="E61" t="inlineStr">
        <is>
          <t>-</t>
        </is>
      </c>
      <c r="G61" s="19">
        <f>Tham_so_DC!$G$51/Tham_so_DC!$D$5-1</f>
        <v/>
      </c>
    </row>
    <row r="62">
      <c r="A62" t="inlineStr">
        <is>
          <t>ec</t>
        </is>
      </c>
      <c r="B62" t="inlineStr">
        <is>
          <t>Sai số cosφ</t>
        </is>
      </c>
      <c r="C62" t="inlineStr">
        <is>
          <t>ε_cos</t>
        </is>
      </c>
      <c r="D62" s="19">
        <f>Tham_so_DC!$D$52/Tham_so_DC!$D$7-1</f>
        <v/>
      </c>
      <c r="E62" t="inlineStr">
        <is>
          <t>-</t>
        </is>
      </c>
      <c r="G62" s="19">
        <f>Tham_so_DC!$G$52/Tham_so_DC!$D$7-1</f>
        <v/>
      </c>
    </row>
    <row r="63">
      <c r="A63" t="inlineStr">
        <is>
          <t>eM</t>
        </is>
      </c>
      <c r="B63" t="inlineStr">
        <is>
          <t>Sai số mô-men định mức</t>
        </is>
      </c>
      <c r="C63" t="inlineStr">
        <is>
          <t>ε_M</t>
        </is>
      </c>
      <c r="D63" s="19">
        <f>Tham_so_DC!$D$54/Tham_so_DC!$D$8-1</f>
        <v/>
      </c>
      <c r="E63" t="inlineStr">
        <is>
          <t>-</t>
        </is>
      </c>
      <c r="G63" s="19">
        <f>Tham_so_DC!$G$54/Tham_so_DC!$D$8-1</f>
        <v/>
      </c>
    </row>
    <row r="64">
      <c r="A64" t="inlineStr">
        <is>
          <t>el</t>
        </is>
      </c>
      <c r="B64" t="inlineStr">
        <is>
          <t>Sai số λ_K</t>
        </is>
      </c>
      <c r="C64" t="inlineStr">
        <is>
          <t>ε_λ</t>
        </is>
      </c>
      <c r="D64" s="19">
        <f>Tham_so_DC!$D$60/Tham_so_DC!$D$9-1</f>
        <v/>
      </c>
      <c r="E64" t="inlineStr">
        <is>
          <t>-</t>
        </is>
      </c>
      <c r="G64" s="19">
        <f>Tham_so_DC!$G$60/Tham_so_DC!$D$9-1</f>
        <v/>
      </c>
    </row>
    <row r="65">
      <c r="A65" t="inlineStr">
        <is>
          <t>emax</t>
        </is>
      </c>
      <c r="B65" t="inlineStr">
        <is>
          <t>Sai số lớn nhất</t>
        </is>
      </c>
      <c r="C65" t="inlineStr">
        <is>
          <t>ε_max</t>
        </is>
      </c>
      <c r="D65" s="19">
        <f>MAX(ABS(Tham_so_DC!$D$61),ABS(Tham_so_DC!$D$62),ABS(Tham_so_DC!$D$63),ABS(Tham_so_DC!$D$64))</f>
        <v/>
      </c>
      <c r="E65" t="inlineStr">
        <is>
          <t>-</t>
        </is>
      </c>
      <c r="G65" s="19">
        <f>MAX(ABS(Tham_so_DC!$G$61),ABS(Tham_so_DC!$G$62),ABS(Tham_so_DC!$G$63),ABS(Tham_so_DC!$G$64))</f>
        <v/>
      </c>
    </row>
    <row r="66">
      <c r="A66" t="inlineStr">
        <is>
          <t>SS</t>
        </is>
      </c>
      <c r="B66" t="inlineStr">
        <is>
          <t>Tổng bình phương sai số (Solver tối thiểu ô G)</t>
        </is>
      </c>
      <c r="C66" t="inlineStr"/>
      <c r="D66" s="15">
        <f>Tham_so_DC!$D$61^2+Tham_so_DC!$D$62^2+Tham_so_DC!$D$63^2+Tham_so_DC!$D$64^2</f>
        <v/>
      </c>
      <c r="E66" t="inlineStr">
        <is>
          <t>-</t>
        </is>
      </c>
      <c r="G66" s="15">
        <f>Tham_so_DC!$G$61^2+Tham_so_DC!$G$62^2+Tham_so_DC!$G$63^2+Tham_so_DC!$G$64^2</f>
        <v/>
      </c>
    </row>
    <row r="67">
      <c r="B67" s="18" t="inlineStr">
        <is>
          <t>Kết luận: bộ hiệu chỉnh (cột G) dùng cho thiết kế FOC và mô phỏng; bộ 14 công thức (cột D) là ước lượng ban đầu theo bài giảng.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4" customWidth="1" min="3" max="3"/>
    <col width="14" customWidth="1" min="4" max="4"/>
    <col width="10" customWidth="1" min="5" max="5"/>
    <col width="52" customWidth="1" min="6" max="6"/>
    <col width="30" customWidth="1" min="7" max="7"/>
  </cols>
  <sheetData>
    <row r="1">
      <c r="A1" s="4" t="inlineStr">
        <is>
          <t>Mã</t>
        </is>
      </c>
      <c r="B1" s="4" t="inlineStr">
        <is>
          <t>Đại lượng</t>
        </is>
      </c>
      <c r="C1" s="4" t="inlineStr">
        <is>
          <t>Ký hiệu</t>
        </is>
      </c>
      <c r="D1" s="4" t="inlineStr">
        <is>
          <t>Giá trị</t>
        </is>
      </c>
      <c r="E1" s="4" t="inlineStr">
        <is>
          <t>Đơn vị</t>
        </is>
      </c>
      <c r="F1" s="4" t="inlineStr">
        <is>
          <t>Công thức / Ghi chú</t>
        </is>
      </c>
      <c r="G1" s="4" t="inlineStr">
        <is>
          <t>Nguồn</t>
        </is>
      </c>
    </row>
    <row r="2">
      <c r="A2" s="5" t="inlineStr">
        <is>
          <t>A. Biến tần — dòng đỉnh theo sơ đồ vòng tròn gần đúng (Bài 4 [R5])</t>
        </is>
      </c>
      <c r="B2" s="6" t="n"/>
      <c r="C2" s="6" t="n"/>
      <c r="D2" s="6" t="n"/>
      <c r="E2" s="6" t="n"/>
      <c r="F2" s="6" t="n"/>
      <c r="G2" s="6" t="n"/>
    </row>
    <row r="3">
      <c r="A3" t="inlineStr">
        <is>
          <t>inv</t>
        </is>
      </c>
      <c r="B3" s="7" t="inlineStr">
        <is>
          <t>Biến tần đang chọn</t>
        </is>
      </c>
      <c r="C3" t="inlineStr"/>
      <c r="D3">
        <f>Catalogue!$H$17</f>
        <v/>
      </c>
      <c r="E3" t="inlineStr"/>
      <c r="F3" s="7" t="inlineStr"/>
      <c r="G3" s="7" t="inlineStr"/>
    </row>
    <row r="4">
      <c r="A4" t="inlineStr">
        <is>
          <t>phi</t>
        </is>
      </c>
      <c r="B4" s="7" t="inlineStr">
        <is>
          <t>Góc pha định mức</t>
        </is>
      </c>
      <c r="C4" t="inlineStr">
        <is>
          <t>φ_N</t>
        </is>
      </c>
      <c r="D4" s="16">
        <f>ACOS(Catalogue!$H$11)</f>
        <v/>
      </c>
      <c r="E4" t="inlineStr">
        <is>
          <t>rad</t>
        </is>
      </c>
      <c r="F4" s="7" t="inlineStr"/>
      <c r="G4" s="7" t="inlineStr"/>
    </row>
    <row r="5">
      <c r="A5" t="inlineStr">
        <is>
          <t>b</t>
        </is>
      </c>
      <c r="B5" s="7" t="inlineStr">
        <is>
          <t>Hệ số vòng tròn</t>
        </is>
      </c>
      <c r="C5" t="inlineStr">
        <is>
          <t>b</t>
        </is>
      </c>
      <c r="D5" s="9">
        <f>Catalogue!$H$14+SQRT(Catalogue!$H$14^2-1)</f>
        <v/>
      </c>
      <c r="E5" t="inlineStr">
        <is>
          <t>-</t>
        </is>
      </c>
      <c r="F5" s="7" t="inlineStr">
        <is>
          <t>λ_K + √(λ_K² − 1)</t>
        </is>
      </c>
      <c r="G5" s="7" t="inlineStr"/>
    </row>
    <row r="6">
      <c r="A6" t="inlineStr">
        <is>
          <t>I0</t>
        </is>
      </c>
      <c r="B6" s="7" t="inlineStr">
        <is>
          <t>Dòng từ hóa (hiệu dụng)</t>
        </is>
      </c>
      <c r="C6" t="inlineStr">
        <is>
          <t>I_0</t>
        </is>
      </c>
      <c r="D6" s="9">
        <f>Catalogue!$H$10*(SIN(Thiet_bi!$D$4)-Catalogue!$H$11/Thiet_bi!$D$5)</f>
        <v/>
      </c>
      <c r="E6" t="inlineStr">
        <is>
          <t>A</t>
        </is>
      </c>
      <c r="F6" s="7" t="inlineStr">
        <is>
          <t>I_N(sinφ − cosφ/b)</t>
        </is>
      </c>
      <c r="G6" s="7" t="inlineStr"/>
    </row>
    <row r="7">
      <c r="A7" t="inlineStr">
        <is>
          <t>Iq</t>
        </is>
      </c>
      <c r="B7" s="7" t="inlineStr">
        <is>
          <t>Thành phần dòng mô-men định mức</t>
        </is>
      </c>
      <c r="C7" t="inlineStr">
        <is>
          <t>I_q,N</t>
        </is>
      </c>
      <c r="D7" s="9">
        <f>SQRT(Catalogue!$H$10^2-Thiet_bi!$D$6^2)</f>
        <v/>
      </c>
      <c r="E7" t="inlineStr">
        <is>
          <t>A</t>
        </is>
      </c>
      <c r="F7" s="7" t="inlineStr"/>
      <c r="G7" s="7" t="inlineStr"/>
    </row>
    <row r="8">
      <c r="A8" t="inlineStr">
        <is>
          <t>Ipk</t>
        </is>
      </c>
      <c r="B8" s="7" t="inlineStr">
        <is>
          <t>Dòng đỉnh khi tăng tốc đầy tải</t>
        </is>
      </c>
      <c r="C8" t="inlineStr">
        <is>
          <t>I_đỉnh</t>
        </is>
      </c>
      <c r="D8" s="9">
        <f>SQRT(Thiet_bi!$D$6^2+(Thiet_bi!$D$7*Phu_tai!$D$26/Catalogue!$H$8)^2)</f>
        <v/>
      </c>
      <c r="E8" t="inlineStr">
        <is>
          <t>A</t>
        </is>
      </c>
      <c r="F8" s="7" t="inlineStr">
        <is>
          <t>I_q tỉ lệ mô-men</t>
        </is>
      </c>
      <c r="G8" s="7" t="inlineStr"/>
    </row>
    <row r="9">
      <c r="A9" t="inlineStr">
        <is>
          <t>Iol</t>
        </is>
      </c>
      <c r="B9" s="7" t="inlineStr">
        <is>
          <t>Dòng quá tải cho phép của biến tần</t>
        </is>
      </c>
      <c r="C9" t="inlineStr">
        <is>
          <t>1.5·I_Hd</t>
        </is>
      </c>
      <c r="D9" s="10">
        <f>1.5*Catalogue!$H$19</f>
        <v/>
      </c>
      <c r="E9" t="inlineStr">
        <is>
          <t>A</t>
        </is>
      </c>
      <c r="F9" s="7" t="inlineStr">
        <is>
          <t>150% I_Hd trong 1 phút/10 phút [W-05] tr.12</t>
        </is>
      </c>
      <c r="G9" s="7" t="inlineStr"/>
    </row>
    <row r="10">
      <c r="A10" s="5" t="inlineStr">
        <is>
          <t>B. Điện trở hãm R_h — kiểm trường hợp giới hạn a = a_max (đề bài)</t>
        </is>
      </c>
      <c r="B10" s="6" t="n"/>
      <c r="C10" s="6" t="n"/>
      <c r="D10" s="6" t="n"/>
      <c r="E10" s="6" t="n"/>
      <c r="F10" s="6" t="n"/>
      <c r="G10" s="6" t="n"/>
    </row>
    <row r="11">
      <c r="A11" t="inlineStr">
        <is>
          <t>Fh</t>
        </is>
      </c>
      <c r="B11" s="7" t="inlineStr">
        <is>
          <t>Lực hãm cực đại (giảm tốc a_max, đầy tải, kể δ)</t>
        </is>
      </c>
      <c r="C11" t="inlineStr">
        <is>
          <t>F_h</t>
        </is>
      </c>
      <c r="D11" s="14">
        <f>Params!$D$28*Params!$D$6*Params!$D$13-Phu_tai!$D$4</f>
        <v/>
      </c>
      <c r="E11" t="inlineStr">
        <is>
          <t>N</t>
        </is>
      </c>
      <c r="F11" s="7" t="inlineStr">
        <is>
          <t>δM_Σa_max − F_c</t>
        </is>
      </c>
      <c r="G11" s="7" t="inlineStr"/>
    </row>
    <row r="12">
      <c r="A12" t="inlineStr">
        <is>
          <t>Pdc</t>
        </is>
      </c>
      <c r="B12" s="7" t="inlineStr">
        <is>
          <t>Công suất hãm đỉnh về DC-link</t>
        </is>
      </c>
      <c r="C12" t="inlineStr">
        <is>
          <t>P_dc</t>
        </is>
      </c>
      <c r="D12" s="11">
        <f>Thiet_bi!$D$11*Params!$D$12*Params!$D$18*Catalogue!$H$12*Params!$D$36</f>
        <v/>
      </c>
      <c r="E12" t="inlineStr">
        <is>
          <t>W</t>
        </is>
      </c>
      <c r="F12" s="7" t="inlineStr">
        <is>
          <t>F_h·v·η·η_đc·η_inv (bảo thủ: lấy tại v_max)</t>
        </is>
      </c>
      <c r="G12" s="7" t="inlineStr"/>
    </row>
    <row r="13">
      <c r="A13" t="inlineStr">
        <is>
          <t>Pdc_n</t>
        </is>
      </c>
      <c r="B13" s="7" t="inlineStr">
        <is>
          <t>Công suất hãm tại lượng đặt a* (vận hành bình thường)</t>
        </is>
      </c>
      <c r="C13" t="inlineStr">
        <is>
          <t>P_dc*</t>
        </is>
      </c>
      <c r="D13" s="11">
        <f>MAX(0,-Phu_tai!$D$29)*Phu_tai!$D$10*Catalogue!$H$12*Params!$D$36</f>
        <v/>
      </c>
      <c r="E13" t="inlineStr">
        <is>
          <t>W</t>
        </is>
      </c>
      <c r="F13" s="7" t="inlineStr">
        <is>
          <t>Chỉ có khi M_h &lt; 0 (không tải, do quán tính rotor)</t>
        </is>
      </c>
      <c r="G13" s="7" t="inlineStr"/>
    </row>
    <row r="14">
      <c r="A14" t="inlineStr">
        <is>
          <t>Rup</t>
        </is>
      </c>
      <c r="B14" s="7" t="inlineStr">
        <is>
          <t>Cận trên R_h theo công suất</t>
        </is>
      </c>
      <c r="C14" t="inlineStr">
        <is>
          <t>U_chop²/P_dc</t>
        </is>
      </c>
      <c r="D14" s="14">
        <f>Params!$D$41^2/Thiet_bi!$D$12</f>
        <v/>
      </c>
      <c r="E14" t="inlineStr">
        <is>
          <t>Ω</t>
        </is>
      </c>
      <c r="F14" s="7" t="inlineStr"/>
      <c r="G14" s="7" t="inlineStr"/>
    </row>
    <row r="15">
      <c r="A15" t="inlineStr">
        <is>
          <t>Rhi</t>
        </is>
      </c>
      <c r="B15" s="7" t="inlineStr">
        <is>
          <t>Cận trên R_h hiệu dụng</t>
        </is>
      </c>
      <c r="C15" t="inlineStr">
        <is>
          <t>R_h,max</t>
        </is>
      </c>
      <c r="D15" s="14">
        <f>MIN(Thiet_bi!$D$14,Catalogue!$H$23)</f>
        <v/>
      </c>
      <c r="E15" t="inlineStr">
        <is>
          <t>Ω</t>
        </is>
      </c>
      <c r="F15" s="7" t="inlineStr">
        <is>
          <t>min(U²/P, R_max biến tần)</t>
        </is>
      </c>
      <c r="G15" s="7" t="inlineStr"/>
    </row>
    <row r="16">
      <c r="A16" t="inlineStr">
        <is>
          <t>Rlo</t>
        </is>
      </c>
      <c r="B16" s="7" t="inlineStr">
        <is>
          <t>Cận dưới R_h</t>
        </is>
      </c>
      <c r="C16" t="inlineStr">
        <is>
          <t>R_h,min</t>
        </is>
      </c>
      <c r="D16">
        <f>Catalogue!$H$22</f>
        <v/>
      </c>
      <c r="E16" t="inlineStr">
        <is>
          <t>Ω</t>
        </is>
      </c>
      <c r="F16" s="7" t="inlineStr">
        <is>
          <t>R_min chopper [W-05] tr.24</t>
        </is>
      </c>
      <c r="G16" s="7" t="inlineStr"/>
    </row>
    <row r="17">
      <c r="A17" t="inlineStr">
        <is>
          <t>Rh</t>
        </is>
      </c>
      <c r="B17" s="7" t="inlineStr">
        <is>
          <t>R_h chọn</t>
        </is>
      </c>
      <c r="C17" t="inlineStr">
        <is>
          <t>R_h</t>
        </is>
      </c>
      <c r="D17">
        <f>Catalogue!$D$31</f>
        <v/>
      </c>
      <c r="E17" t="inlineStr">
        <is>
          <t>Ω</t>
        </is>
      </c>
      <c r="F17" s="7" t="inlineStr">
        <is>
          <t>Danotherm CBH 360 C T 406 210R</t>
        </is>
      </c>
      <c r="G17" s="7" t="inlineStr"/>
    </row>
    <row r="18">
      <c r="A18" t="inlineStr">
        <is>
          <t>Pch</t>
        </is>
      </c>
      <c r="B18" s="7" t="inlineStr">
        <is>
          <t>Công suất tức thời trên R_h khi chopper dẫn</t>
        </is>
      </c>
      <c r="C18" t="inlineStr">
        <is>
          <t>U_chop²/R_h</t>
        </is>
      </c>
      <c r="D18" s="14">
        <f>Params!$D$41^2/Thiet_bi!$D$17</f>
        <v/>
      </c>
      <c r="E18" t="inlineStr">
        <is>
          <t>W</t>
        </is>
      </c>
      <c r="F18" s="7" t="inlineStr">
        <is>
          <t>Phải ≥ P_dc</t>
        </is>
      </c>
      <c r="G18" s="7" t="inlineStr"/>
    </row>
    <row r="19">
      <c r="A19" s="5" t="inlineStr">
        <is>
          <t>C. Phanh cơ điện từ</t>
        </is>
      </c>
      <c r="B19" s="6" t="n"/>
      <c r="C19" s="6" t="n"/>
      <c r="D19" s="6" t="n"/>
      <c r="E19" s="6" t="n"/>
      <c r="F19" s="6" t="n"/>
      <c r="G19" s="6" t="n"/>
    </row>
    <row r="20">
      <c r="A20" t="inlineStr">
        <is>
          <t>MBlo</t>
        </is>
      </c>
      <c r="B20" s="7" t="inlineStr">
        <is>
          <t>Mô-men phanh tối thiểu</t>
        </is>
      </c>
      <c r="C20" t="inlineStr">
        <is>
          <t>M_B,min</t>
        </is>
      </c>
      <c r="D20" s="10">
        <f>MAX(Params!$D$37*Phu_tai!$D$12,Params!$D$39*Params!$D$38*Catalogue!$H$8)</f>
        <v/>
      </c>
      <c r="E20" t="inlineStr">
        <is>
          <t>N·m</t>
        </is>
      </c>
      <c r="F20" s="7" t="inlineStr">
        <is>
          <t>max(k_p·M_c; k_thử·M_hold)</t>
        </is>
      </c>
      <c r="G20" s="7" t="inlineStr"/>
    </row>
    <row r="21">
      <c r="A21" t="inlineStr">
        <is>
          <t>MBhi</t>
        </is>
      </c>
      <c r="B21" s="7" t="inlineStr">
        <is>
          <t>Mô-men phanh tối đa không trượt (đầy tải)</t>
        </is>
      </c>
      <c r="C21" t="inlineStr">
        <is>
          <t>M_B,max</t>
        </is>
      </c>
      <c r="D21" s="10">
        <f>Phu_tai!$D$7*Phu_tai!$D$9*Params!$D$18</f>
        <v/>
      </c>
      <c r="E21" t="inlineStr">
        <is>
          <t>N·m</t>
        </is>
      </c>
      <c r="F21" s="7" t="inlineStr">
        <is>
          <t>F_bám·k·η</t>
        </is>
      </c>
      <c r="G21" s="7" t="inlineStr"/>
    </row>
    <row r="22">
      <c r="A22" t="inlineStr">
        <is>
          <t>MB</t>
        </is>
      </c>
      <c r="B22" s="7" t="inlineStr">
        <is>
          <t>Mô-men phanh chọn (BE1)</t>
        </is>
      </c>
      <c r="C22" t="inlineStr">
        <is>
          <t>M_B</t>
        </is>
      </c>
      <c r="D22">
        <f>Catalogue!$D$29</f>
        <v/>
      </c>
      <c r="E22" t="inlineStr">
        <is>
          <t>N·m</t>
        </is>
      </c>
      <c r="F22" s="7" t="inlineStr">
        <is>
          <t>BE1: 5 / 7 / 10 N·m [W-07]</t>
        </is>
      </c>
      <c r="G22" s="7" t="inlineStr"/>
    </row>
    <row r="23">
      <c r="A23" s="5" t="inlineStr">
        <is>
          <t>D. Hộp số và đóng cắt</t>
        </is>
      </c>
      <c r="B23" s="6" t="n"/>
      <c r="C23" s="6" t="n"/>
      <c r="D23" s="6" t="n"/>
      <c r="E23" s="6" t="n"/>
      <c r="F23" s="6" t="n"/>
      <c r="G23" s="6" t="n"/>
    </row>
    <row r="24">
      <c r="A24" t="inlineStr">
        <is>
          <t>Mout</t>
        </is>
      </c>
      <c r="B24" s="7" t="inlineStr">
        <is>
          <t>Mô-men ra hộp số khi tăng tốc đầy tải</t>
        </is>
      </c>
      <c r="C24" t="inlineStr">
        <is>
          <t>M_ra</t>
        </is>
      </c>
      <c r="D24" s="14">
        <f>Phu_tai!$D$26*Params!$D$42*Params!$D$18</f>
        <v/>
      </c>
      <c r="E24" t="inlineStr">
        <is>
          <t>N·m</t>
        </is>
      </c>
      <c r="F24" s="7" t="inlineStr">
        <is>
          <t>M_max·i·η</t>
        </is>
      </c>
      <c r="G24" s="7" t="inlineStr"/>
    </row>
    <row r="25">
      <c r="A25" t="inlineStr">
        <is>
          <t>Mamax</t>
        </is>
      </c>
      <c r="B25" s="7" t="inlineStr">
        <is>
          <t>Mô-men ra cho phép R87</t>
        </is>
      </c>
      <c r="C25" t="inlineStr">
        <is>
          <t>M_a,max</t>
        </is>
      </c>
      <c r="D25">
        <f>Catalogue!$D$30</f>
        <v/>
      </c>
      <c r="E25" t="inlineStr">
        <is>
          <t>N·m</t>
        </is>
      </c>
      <c r="F25" s="7" t="inlineStr">
        <is>
          <t>[W-06] — có thể giảm cỡ hộp số; cần chạy lại SEW Drive Selection</t>
        </is>
      </c>
      <c r="G25" s="7" t="inlineStr"/>
    </row>
    <row r="26">
      <c r="A26" t="inlineStr">
        <is>
          <t>fuse</t>
        </is>
      </c>
      <c r="B26" s="7" t="inlineStr">
        <is>
          <t>Cầu chì gG</t>
        </is>
      </c>
      <c r="C26" t="inlineStr"/>
      <c r="D26">
        <f>Catalogue!$H$26</f>
        <v/>
      </c>
      <c r="E26" t="inlineStr"/>
      <c r="F26" s="7" t="inlineStr">
        <is>
          <t>[W-08]</t>
        </is>
      </c>
      <c r="G26" s="7" t="inlineStr"/>
    </row>
    <row r="27">
      <c r="A27" t="inlineStr">
        <is>
          <t>km</t>
        </is>
      </c>
      <c r="B27" s="7" t="inlineStr">
        <is>
          <t>Contactor nguồn</t>
        </is>
      </c>
      <c r="C27" t="inlineStr"/>
      <c r="D27" t="inlineStr">
        <is>
          <t>ABB AF09-30-10-13</t>
        </is>
      </c>
      <c r="E27" t="inlineStr"/>
      <c r="F27" s="7" t="inlineStr">
        <is>
          <t>AC-3 9 A @400 V [W-10]</t>
        </is>
      </c>
      <c r="G27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13" t="inlineStr">
        <is>
          <t>Mã</t>
        </is>
      </c>
      <c r="B1" s="13" t="inlineStr">
        <is>
          <t>Điều kiện</t>
        </is>
      </c>
      <c r="C1" s="13" t="inlineStr">
        <is>
          <t>Giá trị</t>
        </is>
      </c>
      <c r="D1" s="13" t="inlineStr">
        <is>
          <t>Ngưỡng</t>
        </is>
      </c>
      <c r="E1" s="13" t="inlineStr">
        <is>
          <t>Kết quả</t>
        </is>
      </c>
      <c r="F1" s="13" t="inlineStr">
        <is>
          <t>Căn cứ</t>
        </is>
      </c>
    </row>
    <row r="2">
      <c r="A2" t="inlineStr">
        <is>
          <t>KT-01</t>
        </is>
      </c>
      <c r="B2" t="inlineStr">
        <is>
          <t>S-curve có đủ 7 đoạn: a*²/ρ* &lt; v_max</t>
        </is>
      </c>
      <c r="C2" s="9">
        <f>Phu_tai!$D$16</f>
        <v/>
      </c>
      <c r="D2" s="9">
        <f>Params!$D$12</f>
        <v/>
      </c>
      <c r="E2">
        <f>IF(C2&lt;D2,"ĐẠT","KHÔNG ĐẠT")</f>
        <v/>
      </c>
      <c r="F2" t="inlineStr">
        <is>
          <t>SRS-FUNC-03</t>
        </is>
      </c>
    </row>
    <row r="3">
      <c r="A3" t="inlineStr">
        <is>
          <t>KT-02</t>
        </is>
      </c>
      <c r="B3" t="inlineStr">
        <is>
          <t>Lượng đặt trong giới hạn đề bài: a* ≤ a_max</t>
        </is>
      </c>
      <c r="C3" s="9">
        <f>Params!$D$26</f>
        <v/>
      </c>
      <c r="D3" s="9">
        <f>Params!$D$13</f>
        <v/>
      </c>
      <c r="E3">
        <f>IF(C3&lt;=D3,"ĐẠT","KHÔNG ĐẠT")</f>
        <v/>
      </c>
      <c r="F3" t="inlineStr">
        <is>
          <t>SRS-FUNC-03</t>
        </is>
      </c>
    </row>
    <row r="4">
      <c r="A4" t="inlineStr">
        <is>
          <t>KT-03</t>
        </is>
      </c>
      <c r="B4" t="inlineStr">
        <is>
          <t>Lượng đặt trong giới hạn đề bài: ρ* ≤ ρ_max</t>
        </is>
      </c>
      <c r="C4" s="9">
        <f>Params!$D$27</f>
        <v/>
      </c>
      <c r="D4" s="9">
        <f>Params!$D$14</f>
        <v/>
      </c>
      <c r="E4">
        <f>IF(C4&lt;=D4,"ĐẠT","KHÔNG ĐẠT")</f>
        <v/>
      </c>
      <c r="F4" t="inlineStr">
        <is>
          <t>SRS-FUNC-03</t>
        </is>
      </c>
    </row>
    <row r="5">
      <c r="A5" t="inlineStr">
        <is>
          <t>KT-04</t>
        </is>
      </c>
      <c r="B5" t="inlineStr">
        <is>
          <t>Chống trượt: k_bám = F_bám/(F_c + δM_Σa*) ≥ 1.2</t>
        </is>
      </c>
      <c r="C5" s="9">
        <f>Phu_tai!$D$7/(Phu_tai!$D$4+Params!$D$28*Params!$D$6*Params!$D$26)</f>
        <v/>
      </c>
      <c r="D5" s="9">
        <f>Params!$D$31</f>
        <v/>
      </c>
      <c r="E5">
        <f>IF(C5&gt;=D5,"ĐẠT","KHÔNG ĐẠT")</f>
        <v/>
      </c>
      <c r="F5" t="inlineStr">
        <is>
          <t>SRS-PERM-01</t>
        </is>
      </c>
    </row>
    <row r="6">
      <c r="A6" t="inlineStr">
        <is>
          <t>KT-05</t>
        </is>
      </c>
      <c r="B6" t="inlineStr">
        <is>
          <t>Chống trượt ở giới hạn a_max (tham khảo): k_bám ≥ 1.2</t>
        </is>
      </c>
      <c r="C6" s="9">
        <f>Phu_tai!$D$7/(Phu_tai!$D$4+Params!$D$6*Params!$D$13)</f>
        <v/>
      </c>
      <c r="D6" s="9">
        <f>Params!$D$31</f>
        <v/>
      </c>
      <c r="E6">
        <f>IF(C6&gt;=D6,"ĐẠT","KHÔNG ĐẠT")</f>
        <v/>
      </c>
      <c r="F6" t="inlineStr">
        <is>
          <t>SRS-PERM-01</t>
        </is>
      </c>
    </row>
    <row r="7">
      <c r="A7" t="inlineStr">
        <is>
          <t>KT-06</t>
        </is>
      </c>
      <c r="B7" t="inlineStr">
        <is>
          <t>Sai lệch vận tốc do i_thực ở tốc độ định mức ĐC ≤ 5%</t>
        </is>
      </c>
      <c r="C7" s="9">
        <f>ABS(INDEX(Chon_DC!$D$6:$G$6,Catalogue!$D$3)/Params!$D$42-1)</f>
        <v/>
      </c>
      <c r="D7" s="9">
        <f>0.05</f>
        <v/>
      </c>
      <c r="E7">
        <f>IF(C7&lt;=D7,"ĐẠT","KHÔNG ĐẠT")</f>
        <v/>
      </c>
      <c r="F7" t="inlineStr">
        <is>
          <t>SRS-PERM-02</t>
        </is>
      </c>
    </row>
    <row r="8">
      <c r="A8" t="inlineStr">
        <is>
          <t>KT-07</t>
        </is>
      </c>
      <c r="B8" t="inlineStr">
        <is>
          <t>Phát nhiệt: k_dt ≥ 1.2 (động cơ đang chọn)</t>
        </is>
      </c>
      <c r="C8" s="9">
        <f>INDEX(Chon_DC!$D$13:$G$13,Catalogue!$D$3)</f>
        <v/>
      </c>
      <c r="D8" s="9">
        <f>Params!$D$32</f>
        <v/>
      </c>
      <c r="E8">
        <f>IF(C8&gt;=D8,"ĐẠT","KHÔNG ĐẠT")</f>
        <v/>
      </c>
      <c r="F8" t="inlineStr">
        <is>
          <t>SRS-PERM-04</t>
        </is>
      </c>
    </row>
    <row r="9">
      <c r="A9" t="inlineStr">
        <is>
          <t>KT-08</t>
        </is>
      </c>
      <c r="B9" t="inlineStr">
        <is>
          <t>Quá tải mô-men ở lưới −10%: k_λ ≥ 1.2</t>
        </is>
      </c>
      <c r="C9" s="9">
        <f>INDEX(Chon_DC!$D$11:$G$11,Catalogue!$D$3)</f>
        <v/>
      </c>
      <c r="D9" s="9">
        <f>Params!$D$33</f>
        <v/>
      </c>
      <c r="E9">
        <f>IF(C9&gt;=D9,"ĐẠT","KHÔNG ĐẠT")</f>
        <v/>
      </c>
      <c r="F9" t="inlineStr">
        <is>
          <t>Downstream #7</t>
        </is>
      </c>
    </row>
    <row r="10">
      <c r="A10" t="inlineStr">
        <is>
          <t>KT-09</t>
        </is>
      </c>
      <c r="B10" t="inlineStr">
        <is>
          <t>Tải tĩnh không vượt M_N: M_c/M_N ≤ 1</t>
        </is>
      </c>
      <c r="C10" s="9">
        <f>Phu_tai!$D$12/Catalogue!$H$8</f>
        <v/>
      </c>
      <c r="D10" s="9">
        <f>1</f>
        <v/>
      </c>
      <c r="E10">
        <f>IF(C10&lt;=D10,"ĐẠT","KHÔNG ĐẠT")</f>
        <v/>
      </c>
      <c r="F10" t="inlineStr">
        <is>
          <t>Chọn động cơ</t>
        </is>
      </c>
    </row>
    <row r="11">
      <c r="A11" t="inlineStr">
        <is>
          <t>KT-10</t>
        </is>
      </c>
      <c r="B11" t="inlineStr">
        <is>
          <t>Biến tần: I_N động cơ ≤ I_Hd</t>
        </is>
      </c>
      <c r="C11" s="9">
        <f>Catalogue!$H$10</f>
        <v/>
      </c>
      <c r="D11" s="9">
        <f>Catalogue!$H$19</f>
        <v/>
      </c>
      <c r="E11">
        <f>IF(C11&lt;=D11,"ĐẠT","KHÔNG ĐẠT")</f>
        <v/>
      </c>
      <c r="F11" t="inlineStr">
        <is>
          <t>[W-05] tr.12</t>
        </is>
      </c>
    </row>
    <row r="12">
      <c r="A12" t="inlineStr">
        <is>
          <t>KT-11</t>
        </is>
      </c>
      <c r="B12" t="inlineStr">
        <is>
          <t>Biến tần: dòng đỉnh ≤ 1.5·I_Hd</t>
        </is>
      </c>
      <c r="C12" s="9">
        <f>Thiet_bi!$D$8</f>
        <v/>
      </c>
      <c r="D12" s="9">
        <f>Thiet_bi!$D$9</f>
        <v/>
      </c>
      <c r="E12">
        <f>IF(C12&lt;=D12,"ĐẠT","KHÔNG ĐẠT")</f>
        <v/>
      </c>
      <c r="F12" t="inlineStr">
        <is>
          <t>[W-05] tr.12</t>
        </is>
      </c>
    </row>
    <row r="13">
      <c r="A13" t="inlineStr">
        <is>
          <t>KT-12</t>
        </is>
      </c>
      <c r="B13" t="inlineStr">
        <is>
          <t>Hãm: P_dc (a_max) ≤ P_BRmax biến tần</t>
        </is>
      </c>
      <c r="C13" s="9">
        <f>Thiet_bi!$D$12</f>
        <v/>
      </c>
      <c r="D13" s="9">
        <f>Catalogue!$H$25*1000</f>
        <v/>
      </c>
      <c r="E13">
        <f>IF(C13&lt;=D13,"ĐẠT","KHÔNG ĐẠT")</f>
        <v/>
      </c>
      <c r="F13" t="inlineStr">
        <is>
          <t>SRS-FUNC-04</t>
        </is>
      </c>
    </row>
    <row r="14">
      <c r="A14" t="inlineStr">
        <is>
          <t>KT-13</t>
        </is>
      </c>
      <c r="B14" t="inlineStr">
        <is>
          <t>R_h ≥ R_min</t>
        </is>
      </c>
      <c r="C14" s="9">
        <f>Thiet_bi!$D$17</f>
        <v/>
      </c>
      <c r="D14" s="9">
        <f>Thiet_bi!$D$16</f>
        <v/>
      </c>
      <c r="E14">
        <f>IF(C14&gt;=D14,"ĐẠT","KHÔNG ĐẠT")</f>
        <v/>
      </c>
      <c r="F14" t="inlineStr">
        <is>
          <t>[W-05] tr.24</t>
        </is>
      </c>
    </row>
    <row r="15">
      <c r="A15" t="inlineStr">
        <is>
          <t>KT-14</t>
        </is>
      </c>
      <c r="B15" t="inlineStr">
        <is>
          <t>R_h ≤ R_h,max</t>
        </is>
      </c>
      <c r="C15" s="9">
        <f>Thiet_bi!$D$17</f>
        <v/>
      </c>
      <c r="D15" s="9">
        <f>Thiet_bi!$D$15</f>
        <v/>
      </c>
      <c r="E15">
        <f>IF(C15&lt;=D15,"ĐẠT","KHÔNG ĐẠT")</f>
        <v/>
      </c>
      <c r="F15" t="inlineStr">
        <is>
          <t>[W-05] tr.24</t>
        </is>
      </c>
    </row>
    <row r="16">
      <c r="A16" t="inlineStr">
        <is>
          <t>KT-15</t>
        </is>
      </c>
      <c r="B16" t="inlineStr">
        <is>
          <t>Phanh: M_B ≥ M_B,min</t>
        </is>
      </c>
      <c r="C16" s="9">
        <f>Thiet_bi!$D$22</f>
        <v/>
      </c>
      <c r="D16" s="9">
        <f>Thiet_bi!$D$20</f>
        <v/>
      </c>
      <c r="E16">
        <f>IF(C16&gt;=D16,"ĐẠT","KHÔNG ĐẠT")</f>
        <v/>
      </c>
      <c r="F16" t="inlineStr">
        <is>
          <t>SRS-FUNC-02</t>
        </is>
      </c>
    </row>
    <row r="17">
      <c r="A17" t="inlineStr">
        <is>
          <t>KT-16</t>
        </is>
      </c>
      <c r="B17" t="inlineStr">
        <is>
          <t>Phanh: M_B ≤ M_B,max (không trượt khi đầy tải)</t>
        </is>
      </c>
      <c r="C17" s="9">
        <f>Thiet_bi!$D$22</f>
        <v/>
      </c>
      <c r="D17" s="9">
        <f>Thiet_bi!$D$21</f>
        <v/>
      </c>
      <c r="E17">
        <f>IF(C17&lt;=D17,"ĐẠT","KHÔNG ĐẠT")</f>
        <v/>
      </c>
      <c r="F17" t="inlineStr">
        <is>
          <t>SRS-FUNC-02</t>
        </is>
      </c>
    </row>
    <row r="18">
      <c r="A18" t="inlineStr">
        <is>
          <t>KT-17</t>
        </is>
      </c>
      <c r="B18" t="inlineStr">
        <is>
          <t>Hộp số: M_ra ≤ M_a,max</t>
        </is>
      </c>
      <c r="C18" s="9">
        <f>Thiet_bi!$D$24</f>
        <v/>
      </c>
      <c r="D18" s="9">
        <f>Thiet_bi!$D$25</f>
        <v/>
      </c>
      <c r="E18">
        <f>IF(C18&lt;=D18,"ĐẠT","KHÔNG ĐẠT")</f>
        <v/>
      </c>
      <c r="F18" t="inlineStr">
        <is>
          <t>[W-06]</t>
        </is>
      </c>
    </row>
    <row r="19">
      <c r="A19" t="inlineStr">
        <is>
          <t>KT-18</t>
        </is>
      </c>
      <c r="B19" t="inlineStr">
        <is>
          <t>Bộ tham số hiệu chỉnh: sai số lớn nhất ≤ 5%</t>
        </is>
      </c>
      <c r="C19" s="9">
        <f>Tham_so_DC!$G$65</f>
        <v/>
      </c>
      <c r="D19" s="9">
        <f>0.05</f>
        <v/>
      </c>
      <c r="E19">
        <f>IF(C19&lt;=D19,"ĐẠT","KHÔNG ĐẠT")</f>
        <v/>
      </c>
      <c r="F19" t="inlineStr">
        <is>
          <t>Tham_so_DC mục D</t>
        </is>
      </c>
    </row>
    <row r="21">
      <c r="B21" s="18" t="inlineStr">
        <is>
          <t>Tổng số điều kiện KHÔNG ĐẠT</t>
        </is>
      </c>
      <c r="E21" s="18">
        <f>COUNTIF(E2:E19,"KHÔNG ĐẠT")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2026-10-28T16:15:34Z</dcterms:created>
  <dcterms:modified xmlns:dcterms="http://purl.org/dc/terms/" xmlns:xsi="http://www.w3.org/2001/XMLSchema-instance" xsi:type="dcterms:W3CDTF">2026-10-28T16:15:34Z</dcterms:modified>
</cp:coreProperties>
</file>